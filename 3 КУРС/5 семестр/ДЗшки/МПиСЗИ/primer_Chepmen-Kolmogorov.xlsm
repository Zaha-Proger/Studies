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0" yWindow="0" windowWidth="11496" windowHeight="0"/>
  </bookViews>
  <sheets>
    <sheet name="Лист1" sheetId="1" r:id="rId1"/>
    <sheet name="Лист2" sheetId="2" r:id="rId2"/>
    <sheet name="Лист3" sheetId="3" r:id="rId3"/>
    <sheet name="Лист4" sheetId="4" r:id="rId4"/>
  </sheets>
  <calcPr calcId="162913"/>
</workbook>
</file>

<file path=xl/calcChain.xml><?xml version="1.0" encoding="utf-8"?>
<calcChain xmlns="http://schemas.openxmlformats.org/spreadsheetml/2006/main">
  <c r="H18" i="4" l="1" a="1"/>
  <c r="J18" i="4" s="1"/>
  <c r="L21" i="4" l="1"/>
  <c r="H20" i="4"/>
  <c r="L19" i="4"/>
  <c r="H18" i="4"/>
  <c r="I21" i="4"/>
  <c r="K19" i="4"/>
  <c r="L22" i="4"/>
  <c r="H21" i="4"/>
  <c r="J19" i="4"/>
  <c r="K22" i="4"/>
  <c r="L20" i="4"/>
  <c r="I19" i="4"/>
  <c r="I20" i="4"/>
  <c r="K18" i="4"/>
  <c r="K21" i="4"/>
  <c r="I18" i="4"/>
  <c r="J21" i="4"/>
  <c r="J22" i="4"/>
  <c r="K20" i="4"/>
  <c r="H19" i="4"/>
  <c r="I22" i="4"/>
  <c r="J20" i="4"/>
  <c r="L18" i="4"/>
  <c r="H22" i="4"/>
  <c r="B30" i="4"/>
  <c r="C25" i="4" l="1" a="1"/>
  <c r="H3" i="3" a="1"/>
  <c r="H3" i="3" s="1"/>
  <c r="C25" i="4" l="1"/>
  <c r="C26" i="4"/>
  <c r="C30" i="4" s="1"/>
  <c r="C28" i="4"/>
  <c r="C29" i="4"/>
  <c r="C27" i="4"/>
  <c r="K7" i="3"/>
  <c r="I7" i="3"/>
  <c r="L6" i="3"/>
  <c r="J6" i="3"/>
  <c r="H6" i="3"/>
  <c r="K5" i="3"/>
  <c r="I5" i="3"/>
  <c r="L4" i="3"/>
  <c r="J4" i="3"/>
  <c r="H4" i="3"/>
  <c r="K3" i="3"/>
  <c r="I3" i="3"/>
  <c r="C9" i="3" s="1" a="1"/>
  <c r="L7" i="3"/>
  <c r="J7" i="3"/>
  <c r="H7" i="3"/>
  <c r="K6" i="3"/>
  <c r="I6" i="3"/>
  <c r="L5" i="3"/>
  <c r="J5" i="3"/>
  <c r="H5" i="3"/>
  <c r="K4" i="3"/>
  <c r="I4" i="3"/>
  <c r="L3" i="3"/>
  <c r="J3" i="3"/>
  <c r="C9" i="3" l="1"/>
  <c r="C12" i="3"/>
  <c r="C10" i="3"/>
  <c r="C13" i="3"/>
  <c r="C11" i="3"/>
  <c r="D25" i="4" a="1"/>
  <c r="D25" i="4" l="1"/>
  <c r="D26" i="4"/>
  <c r="D29" i="4"/>
  <c r="D27" i="4"/>
  <c r="D28" i="4"/>
  <c r="D9" i="3" a="1"/>
  <c r="D9" i="3" l="1"/>
  <c r="D12" i="3"/>
  <c r="D10" i="3"/>
  <c r="D13" i="3"/>
  <c r="D11" i="3"/>
  <c r="E9" i="3" s="1" a="1"/>
  <c r="E25" i="4" a="1"/>
  <c r="D30" i="4"/>
  <c r="H5" i="1" a="1"/>
  <c r="H5" i="1" s="1"/>
  <c r="I5" i="1"/>
  <c r="K5" i="1"/>
  <c r="H6" i="1"/>
  <c r="J6" i="1"/>
  <c r="L8" i="1"/>
  <c r="I9" i="1"/>
  <c r="K9" i="1"/>
  <c r="E25" i="4" l="1"/>
  <c r="E27" i="4"/>
  <c r="E29" i="4"/>
  <c r="E26" i="4"/>
  <c r="E28" i="4"/>
  <c r="J8" i="1"/>
  <c r="E13" i="3"/>
  <c r="E10" i="3"/>
  <c r="E9" i="3"/>
  <c r="E11" i="3"/>
  <c r="E12" i="3"/>
  <c r="H8" i="1"/>
  <c r="K7" i="1"/>
  <c r="I7" i="1"/>
  <c r="L6" i="1"/>
  <c r="L9" i="1"/>
  <c r="J9" i="1"/>
  <c r="H9" i="1"/>
  <c r="K8" i="1"/>
  <c r="I8" i="1"/>
  <c r="L7" i="1"/>
  <c r="J7" i="1"/>
  <c r="H7" i="1"/>
  <c r="K6" i="1"/>
  <c r="I6" i="1"/>
  <c r="L5" i="1"/>
  <c r="J5" i="1"/>
  <c r="D13" i="1" l="1" a="1"/>
  <c r="F9" i="3" a="1"/>
  <c r="F25" i="4" a="1"/>
  <c r="E30" i="4"/>
  <c r="N66" i="1"/>
  <c r="N68" i="1" s="1"/>
  <c r="F29" i="4" l="1"/>
  <c r="F26" i="4"/>
  <c r="F28" i="4"/>
  <c r="F25" i="4"/>
  <c r="F27" i="4"/>
  <c r="F9" i="3"/>
  <c r="F11" i="3"/>
  <c r="F10" i="3"/>
  <c r="F13" i="3"/>
  <c r="F12" i="3"/>
  <c r="D15" i="1"/>
  <c r="D16" i="1"/>
  <c r="D17" i="1"/>
  <c r="D13" i="1"/>
  <c r="E13" i="1" s="1" a="1"/>
  <c r="D14" i="1"/>
  <c r="D18" i="1"/>
  <c r="C18" i="1"/>
  <c r="E13" i="1" l="1"/>
  <c r="E14" i="1"/>
  <c r="E15" i="1"/>
  <c r="E16" i="1"/>
  <c r="E18" i="1" s="1"/>
  <c r="E17" i="1"/>
  <c r="G9" i="3" a="1"/>
  <c r="G25" i="4" a="1"/>
  <c r="F30" i="4"/>
  <c r="G9" i="3" l="1"/>
  <c r="G11" i="3"/>
  <c r="G13" i="3"/>
  <c r="G12" i="3"/>
  <c r="G10" i="3"/>
  <c r="G27" i="4"/>
  <c r="G29" i="4"/>
  <c r="G26" i="4"/>
  <c r="G28" i="4"/>
  <c r="G25" i="4"/>
  <c r="F13" i="1" a="1"/>
  <c r="F17" i="1" l="1"/>
  <c r="F15" i="1"/>
  <c r="F14" i="1"/>
  <c r="F16" i="1"/>
  <c r="F13" i="1"/>
  <c r="H25" i="4" a="1"/>
  <c r="G30" i="4"/>
  <c r="H9" i="3" a="1"/>
  <c r="H11" i="3" l="1"/>
  <c r="H13" i="3"/>
  <c r="H12" i="3"/>
  <c r="H9" i="3"/>
  <c r="I9" i="3" s="1" a="1"/>
  <c r="H10" i="3"/>
  <c r="H28" i="4"/>
  <c r="H25" i="4"/>
  <c r="H27" i="4"/>
  <c r="H29" i="4"/>
  <c r="H26" i="4"/>
  <c r="G13" i="1" a="1"/>
  <c r="F18" i="1"/>
  <c r="I25" i="4" l="1" a="1"/>
  <c r="H30" i="4"/>
  <c r="I12" i="3"/>
  <c r="I9" i="3"/>
  <c r="J9" i="3" s="1" a="1"/>
  <c r="J11" i="3" s="1"/>
  <c r="I11" i="3"/>
  <c r="I13" i="3"/>
  <c r="I10" i="3"/>
  <c r="G16" i="1"/>
  <c r="G13" i="1"/>
  <c r="G15" i="1"/>
  <c r="G17" i="1"/>
  <c r="G14" i="1"/>
  <c r="J9" i="3" l="1"/>
  <c r="J12" i="3"/>
  <c r="J10" i="3"/>
  <c r="J13" i="3"/>
  <c r="H13" i="1" a="1"/>
  <c r="G18" i="1"/>
  <c r="I25" i="4"/>
  <c r="I27" i="4"/>
  <c r="I26" i="4"/>
  <c r="I29" i="4"/>
  <c r="I28" i="4"/>
  <c r="K9" i="3" a="1"/>
  <c r="H14" i="1" l="1"/>
  <c r="H16" i="1"/>
  <c r="H15" i="1"/>
  <c r="H17" i="1"/>
  <c r="H13" i="1"/>
  <c r="J25" i="4" a="1"/>
  <c r="I30" i="4"/>
  <c r="K9" i="3"/>
  <c r="K11" i="3"/>
  <c r="K13" i="3"/>
  <c r="K10" i="3"/>
  <c r="K12" i="3"/>
  <c r="J25" i="4" l="1"/>
  <c r="J27" i="4"/>
  <c r="J29" i="4"/>
  <c r="J26" i="4"/>
  <c r="J28" i="4"/>
  <c r="L9" i="3" a="1"/>
  <c r="I13" i="1" a="1"/>
  <c r="H18" i="1"/>
  <c r="I15" i="1" l="1"/>
  <c r="I17" i="1"/>
  <c r="I14" i="1"/>
  <c r="I16" i="1"/>
  <c r="I13" i="1"/>
  <c r="L10" i="3"/>
  <c r="L12" i="3"/>
  <c r="L13" i="3"/>
  <c r="L11" i="3"/>
  <c r="L9" i="3"/>
  <c r="K25" i="4" a="1"/>
  <c r="J30" i="4"/>
  <c r="J13" i="1" l="1" a="1"/>
  <c r="I18" i="1"/>
  <c r="K28" i="4"/>
  <c r="K25" i="4"/>
  <c r="K27" i="4"/>
  <c r="K29" i="4"/>
  <c r="K26" i="4"/>
  <c r="M9" i="3" a="1"/>
  <c r="M13" i="3" l="1"/>
  <c r="M10" i="3"/>
  <c r="M12" i="3"/>
  <c r="M9" i="3"/>
  <c r="M11" i="3"/>
  <c r="K30" i="4"/>
  <c r="L25" i="4" a="1"/>
  <c r="J13" i="1"/>
  <c r="J16" i="1"/>
  <c r="J17" i="1"/>
  <c r="J15" i="1"/>
  <c r="J14" i="1"/>
  <c r="K13" i="1" l="1" a="1"/>
  <c r="J18" i="1"/>
  <c r="L27" i="4"/>
  <c r="L29" i="4"/>
  <c r="L28" i="4"/>
  <c r="L26" i="4"/>
  <c r="L25" i="4"/>
  <c r="N9" i="3" a="1"/>
  <c r="N11" i="3" l="1"/>
  <c r="N13" i="3"/>
  <c r="N10" i="3"/>
  <c r="N12" i="3"/>
  <c r="N9" i="3"/>
  <c r="O9" i="3" s="1" a="1"/>
  <c r="L30" i="4"/>
  <c r="M25" i="4" a="1"/>
  <c r="K14" i="1"/>
  <c r="K13" i="1"/>
  <c r="K16" i="1"/>
  <c r="K17" i="1"/>
  <c r="K15" i="1"/>
  <c r="M28" i="4" l="1"/>
  <c r="M26" i="4"/>
  <c r="M25" i="4"/>
  <c r="M27" i="4"/>
  <c r="M29" i="4"/>
  <c r="O10" i="3"/>
  <c r="O11" i="3"/>
  <c r="O9" i="3"/>
  <c r="P9" i="3" s="1" a="1"/>
  <c r="O13" i="3"/>
  <c r="O12" i="3"/>
  <c r="K18" i="1"/>
  <c r="P13" i="3" l="1"/>
  <c r="P9" i="3"/>
  <c r="P10" i="3"/>
  <c r="P12" i="3"/>
  <c r="P11" i="3"/>
  <c r="N25" i="4" a="1"/>
  <c r="M30" i="4"/>
  <c r="N26" i="4" l="1"/>
  <c r="N25" i="4"/>
  <c r="N27" i="4"/>
  <c r="N29" i="4"/>
  <c r="N28" i="4"/>
  <c r="Q9" i="3" a="1"/>
  <c r="Q13" i="3" l="1"/>
  <c r="Q12" i="3"/>
  <c r="Q9" i="3"/>
  <c r="Q11" i="3"/>
  <c r="Q10" i="3"/>
  <c r="O25" i="4" a="1"/>
  <c r="N30" i="4"/>
  <c r="O28" i="4" l="1"/>
  <c r="O26" i="4"/>
  <c r="O25" i="4"/>
  <c r="O27" i="4"/>
  <c r="O29" i="4"/>
  <c r="R9" i="3" a="1"/>
  <c r="R11" i="3" l="1"/>
  <c r="R13" i="3"/>
  <c r="R10" i="3"/>
  <c r="R12" i="3"/>
  <c r="R9" i="3"/>
  <c r="S9" i="3" s="1" a="1"/>
  <c r="O30" i="4"/>
  <c r="P25" i="4" a="1"/>
  <c r="P27" i="4" l="1"/>
  <c r="P25" i="4"/>
  <c r="P29" i="4"/>
  <c r="P28" i="4"/>
  <c r="P26" i="4"/>
  <c r="S13" i="3"/>
  <c r="S12" i="3"/>
  <c r="S9" i="3"/>
  <c r="T9" i="3" s="1" a="1"/>
  <c r="S11" i="3"/>
  <c r="S10" i="3"/>
  <c r="T11" i="3" l="1"/>
  <c r="T13" i="3"/>
  <c r="T9" i="3"/>
  <c r="T10" i="3"/>
  <c r="T12" i="3"/>
  <c r="P30" i="4"/>
  <c r="Q25" i="4" a="1"/>
  <c r="Q27" i="4" l="1"/>
  <c r="Q29" i="4"/>
  <c r="Q26" i="4"/>
  <c r="Q28" i="4"/>
  <c r="Q25" i="4"/>
  <c r="U9" i="3" a="1"/>
  <c r="U12" i="3" l="1"/>
  <c r="U9" i="3"/>
  <c r="U11" i="3"/>
  <c r="U13" i="3"/>
  <c r="U10" i="3"/>
  <c r="Q30" i="4"/>
  <c r="R25" i="4" a="1"/>
  <c r="R27" i="4" l="1"/>
  <c r="R29" i="4"/>
  <c r="R28" i="4"/>
  <c r="R26" i="4"/>
  <c r="R25" i="4"/>
  <c r="V9" i="3" a="1"/>
  <c r="V10" i="3" l="1"/>
  <c r="V12" i="3"/>
  <c r="V9" i="3"/>
  <c r="V11" i="3"/>
  <c r="V13" i="3"/>
  <c r="R30" i="4"/>
  <c r="S25" i="4" a="1"/>
  <c r="S27" i="4" l="1"/>
  <c r="S29" i="4"/>
  <c r="S26" i="4"/>
  <c r="S28" i="4"/>
  <c r="S25" i="4"/>
  <c r="S30" i="4" l="1"/>
  <c r="T25" i="4" a="1"/>
  <c r="T27" i="4" l="1"/>
  <c r="T25" i="4"/>
  <c r="T29" i="4"/>
  <c r="T28" i="4"/>
  <c r="T26" i="4"/>
  <c r="T30" i="4" l="1"/>
  <c r="U25" i="4" a="1"/>
  <c r="U27" i="4" l="1"/>
  <c r="U29" i="4"/>
  <c r="U26" i="4"/>
  <c r="U28" i="4"/>
  <c r="U25" i="4"/>
  <c r="U30" i="4" l="1"/>
  <c r="V25" i="4" a="1"/>
  <c r="V25" i="4" l="1"/>
  <c r="V27" i="4"/>
  <c r="V29" i="4"/>
  <c r="V28" i="4"/>
  <c r="V26" i="4"/>
  <c r="V30" i="4" l="1"/>
</calcChain>
</file>

<file path=xl/sharedStrings.xml><?xml version="1.0" encoding="utf-8"?>
<sst xmlns="http://schemas.openxmlformats.org/spreadsheetml/2006/main" count="28" uniqueCount="25">
  <si>
    <t>Уравнения Чэпмена-Колмогорова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</si>
  <si>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0</t>
    </r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</si>
  <si>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1</t>
    </r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</si>
  <si>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3</t>
    </r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</si>
  <si>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4</t>
    </r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</si>
  <si>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2</t>
    </r>
  </si>
  <si>
    <t>Модель вероятностного автомата Мура со случайными переходами</t>
  </si>
  <si>
    <t>Матрица условных вероятностей перехода</t>
  </si>
  <si>
    <t>Вычисления вероятностей состояний в первый момент автоматного времени:</t>
  </si>
  <si>
    <t>Вычисления вероятностей состояний во второй момент автоматного времени</t>
  </si>
  <si>
    <t>Момент автоматного времени</t>
  </si>
  <si>
    <t>Рекуррентная формула Чэпмена-Колмогорова:</t>
  </si>
  <si>
    <t>Решаем систему методом подстановки:</t>
  </si>
  <si>
    <t>r</t>
  </si>
  <si>
    <t>T</t>
  </si>
  <si>
    <t>Номера состояний автомата</t>
  </si>
  <si>
    <t>транспонированная матрица</t>
  </si>
  <si>
    <t>Вычисление финитного состояния автомата (исключаем модельное время влевой и правой частях уравнений Ч.-К.</t>
  </si>
  <si>
    <t>добавляем уравнение для суммы вероятностей положений автомата</t>
  </si>
  <si>
    <t>ВРВ на предыдущем шаге модельного времени</t>
  </si>
  <si>
    <t>МУВП вероятностного автомата</t>
  </si>
  <si>
    <t>ВРВ на следующем шаге модельного времени</t>
  </si>
  <si>
    <t>№</t>
  </si>
  <si>
    <t>Алгоритм рекуррентной процедуры Чепмэна-Колмогорова вычисления вероятностей нахождения системы в состояниях на t=1,2,…,k,… шагах автоматного времени</t>
  </si>
  <si>
    <t>Матричный способ вычислений на листе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</si>
</sst>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0000"/>
    <numFmt numFmtId="165" formatCode="0.00000"/>
  </numFmts>
  <fonts count="8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color rgb="FFFF0000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2" fillId="0" borderId="0" xfId="0" applyFont="1"/>
    <xf numFmtId="164" fontId="0" fillId="3" borderId="0" xfId="0" applyNumberFormat="1" applyFill="1"/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3" fillId="0" borderId="0" xfId="0" applyFont="1"/>
    <xf numFmtId="0" fontId="4" fillId="0" borderId="0" xfId="0" applyFont="1"/>
    <xf numFmtId="0" fontId="4" fillId="0" borderId="0" xfId="0" applyFont="1" applyFill="1" applyBorder="1" applyAlignment="1">
      <alignment horizontal="left" vertical="top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7" borderId="1" xfId="0" applyNumberFormat="1" applyFill="1" applyBorder="1" applyAlignment="1">
      <alignment horizontal="center" vertical="center"/>
    </xf>
    <xf numFmtId="0" fontId="7" fillId="0" borderId="0" xfId="0" applyFont="1"/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pPr>
              <a:ln>
                <a:solidFill>
                  <a:srgbClr val="FF0000"/>
                </a:solidFill>
              </a:ln>
            </c:spPr>
          </c:marker>
          <c:val>
            <c:numRef>
              <c:f>Лист1!$L$73:$L$123</c:f>
              <c:numCache>
                <c:formatCode>General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1</c:v>
                </c:pt>
                <c:pt idx="11">
                  <c:v>3</c:v>
                </c:pt>
                <c:pt idx="12">
                  <c:v>4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4</c:v>
                </c:pt>
                <c:pt idx="17">
                  <c:v>1</c:v>
                </c:pt>
                <c:pt idx="18">
                  <c:v>3</c:v>
                </c:pt>
                <c:pt idx="19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1</c:v>
                </c:pt>
                <c:pt idx="24">
                  <c:v>3</c:v>
                </c:pt>
                <c:pt idx="25">
                  <c:v>4</c:v>
                </c:pt>
                <c:pt idx="26">
                  <c:v>1</c:v>
                </c:pt>
                <c:pt idx="27">
                  <c:v>3</c:v>
                </c:pt>
                <c:pt idx="28">
                  <c:v>4</c:v>
                </c:pt>
                <c:pt idx="29">
                  <c:v>1</c:v>
                </c:pt>
                <c:pt idx="30">
                  <c:v>3</c:v>
                </c:pt>
                <c:pt idx="31">
                  <c:v>4</c:v>
                </c:pt>
                <c:pt idx="32">
                  <c:v>1</c:v>
                </c:pt>
                <c:pt idx="33">
                  <c:v>3</c:v>
                </c:pt>
                <c:pt idx="34">
                  <c:v>4</c:v>
                </c:pt>
                <c:pt idx="35">
                  <c:v>1</c:v>
                </c:pt>
                <c:pt idx="36">
                  <c:v>3</c:v>
                </c:pt>
                <c:pt idx="37">
                  <c:v>4</c:v>
                </c:pt>
                <c:pt idx="38">
                  <c:v>1</c:v>
                </c:pt>
                <c:pt idx="39">
                  <c:v>3</c:v>
                </c:pt>
                <c:pt idx="40">
                  <c:v>4</c:v>
                </c:pt>
                <c:pt idx="41">
                  <c:v>1</c:v>
                </c:pt>
                <c:pt idx="42">
                  <c:v>3</c:v>
                </c:pt>
                <c:pt idx="43">
                  <c:v>4</c:v>
                </c:pt>
                <c:pt idx="44">
                  <c:v>1</c:v>
                </c:pt>
                <c:pt idx="45">
                  <c:v>3</c:v>
                </c:pt>
                <c:pt idx="46">
                  <c:v>2</c:v>
                </c:pt>
                <c:pt idx="47">
                  <c:v>2</c:v>
                </c:pt>
                <c:pt idx="48">
                  <c:v>4</c:v>
                </c:pt>
                <c:pt idx="49">
                  <c:v>1</c:v>
                </c:pt>
                <c:pt idx="5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33-4DF1-8884-111283D60374}"/>
            </c:ext>
          </c:extLst>
        </c:ser>
        <c:ser>
          <c:idx val="1"/>
          <c:order val="1"/>
          <c:spPr>
            <a:ln w="19050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Лист1!$M$73:$M$123</c:f>
              <c:numCache>
                <c:formatCode>General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33-4DF1-8884-111283D60374}"/>
            </c:ext>
          </c:extLst>
        </c:ser>
        <c:ser>
          <c:idx val="2"/>
          <c:order val="2"/>
          <c:spPr>
            <a:ln w="19050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Лист1!$N$73:$N$123</c:f>
              <c:numCache>
                <c:formatCode>General</c:formatCode>
                <c:ptCount val="5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33-4DF1-8884-111283D60374}"/>
            </c:ext>
          </c:extLst>
        </c:ser>
        <c:ser>
          <c:idx val="3"/>
          <c:order val="3"/>
          <c:spPr>
            <a:ln w="19050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Лист1!$O$73:$O$123</c:f>
              <c:numCache>
                <c:formatCode>General</c:formatCode>
                <c:ptCount val="5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33-4DF1-8884-111283D60374}"/>
            </c:ext>
          </c:extLst>
        </c:ser>
        <c:ser>
          <c:idx val="4"/>
          <c:order val="4"/>
          <c:spPr>
            <a:ln w="19050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Лист1!$P$73:$P$123</c:f>
              <c:numCache>
                <c:formatCode>General</c:formatCode>
                <c:ptCount val="5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533-4DF1-8884-111283D60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226880"/>
        <c:axId val="175228416"/>
      </c:lineChart>
      <c:catAx>
        <c:axId val="17522688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75228416"/>
        <c:crosses val="autoZero"/>
        <c:auto val="1"/>
        <c:lblAlgn val="ctr"/>
        <c:lblOffset val="100"/>
        <c:noMultiLvlLbl val="0"/>
      </c:catAx>
      <c:valAx>
        <c:axId val="175228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226880"/>
        <c:crosses val="autoZero"/>
        <c:crossBetween val="between"/>
        <c:majorUnit val="1"/>
        <c:minorUnit val="1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183931</xdr:colOff>
      <xdr:row>0</xdr:row>
      <xdr:rowOff>7327</xdr:rowOff>
    </xdr:from>
    <xdr:to>
      <xdr:col>15</xdr:col>
      <xdr:colOff>100576</xdr:colOff>
      <xdr:row>5</xdr:row>
      <xdr:rowOff>64345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50469" y="7327"/>
          <a:ext cx="2048781" cy="1060806"/>
        </a:xfrm>
        <a:prstGeom prst="rect">
          <a:avLst/>
        </a:prstGeom>
      </xdr:spPr>
    </xdr:pic>
    <xdr:clientData/>
  </xdr:twoCellAnchor>
  <xdr:twoCellAnchor editAs="oneCell">
    <xdr:from>
      <xdr:col>12</xdr:col>
      <xdr:colOff>124810</xdr:colOff>
      <xdr:row>6</xdr:row>
      <xdr:rowOff>96773</xdr:rowOff>
    </xdr:from>
    <xdr:to>
      <xdr:col>15</xdr:col>
      <xdr:colOff>157654</xdr:colOff>
      <xdr:row>15</xdr:row>
      <xdr:rowOff>210190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72551" y="1239773"/>
          <a:ext cx="2167759" cy="1946158"/>
        </a:xfrm>
        <a:prstGeom prst="rect">
          <a:avLst/>
        </a:prstGeom>
      </xdr:spPr>
    </xdr:pic>
    <xdr:clientData/>
  </xdr:twoCellAnchor>
  <xdr:oneCellAnchor>
    <xdr:from>
      <xdr:col>0</xdr:col>
      <xdr:colOff>525879</xdr:colOff>
      <xdr:row>19</xdr:row>
      <xdr:rowOff>171450</xdr:rowOff>
    </xdr:from>
    <xdr:ext cx="4086225" cy="2783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525879" y="3988019"/>
              <a:ext cx="4086225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latin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=0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4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=0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525879" y="3988019"/>
              <a:ext cx="4086225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0^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latin typeface="Cambria Math"/>
                </a:rPr>
                <a:t>1=0</a:t>
              </a:r>
              <a:r>
                <a:rPr lang="en-US" sz="1100" b="0" i="0">
                  <a:latin typeface="Cambria Math"/>
                  <a:ea typeface="Cambria Math"/>
                </a:rPr>
                <a:t>∙〖𝑃_0〗^0+0∙〖𝑃_1〗^0+0∙〖𝑃_2〗^0+0∙〖𝑃_3〗^0+0∙〖𝑃_4〗^0=0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0</xdr:col>
      <xdr:colOff>652696</xdr:colOff>
      <xdr:row>21</xdr:row>
      <xdr:rowOff>21332</xdr:rowOff>
    </xdr:from>
    <xdr:ext cx="4086225" cy="2783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652696" y="4264884"/>
              <a:ext cx="4086225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latin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=0,5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+1∙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4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=0,5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652696" y="4264884"/>
              <a:ext cx="4086225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1^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latin typeface="Cambria Math"/>
                </a:rPr>
                <a:t>1=0,5</a:t>
              </a:r>
              <a:r>
                <a:rPr lang="en-US" sz="1100" b="0" i="0">
                  <a:latin typeface="Cambria Math"/>
                  <a:ea typeface="Cambria Math"/>
                </a:rPr>
                <a:t>∙〖𝑃_0〗^0+0∙〖𝑃_1〗^0+0∙〖𝑃_2〗^0+0∙〖𝑃_3〗^0+1∙〖𝑃_4〗^0=0,5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0</xdr:col>
      <xdr:colOff>788277</xdr:colOff>
      <xdr:row>22</xdr:row>
      <xdr:rowOff>113919</xdr:rowOff>
    </xdr:from>
    <xdr:ext cx="3842706" cy="2783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788277" y="4547971"/>
              <a:ext cx="3842706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latin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=0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+0,75∙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+0,4∙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4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=0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788277" y="4547971"/>
              <a:ext cx="3842706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latin typeface="Cambria Math"/>
                </a:rPr>
                <a:t>1=0</a:t>
              </a:r>
              <a:r>
                <a:rPr lang="en-US" sz="1100" b="0" i="0">
                  <a:latin typeface="Cambria Math"/>
                  <a:ea typeface="Cambria Math"/>
                </a:rPr>
                <a:t>∙〖𝑃_0〗^0+0∙〖𝑃_1〗^0+0,75∙〖𝑃_2〗^0+0,4∙〖𝑃_3〗^0+0∙〖𝑃_4〗^0=0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0</xdr:col>
      <xdr:colOff>702879</xdr:colOff>
      <xdr:row>24</xdr:row>
      <xdr:rowOff>31289</xdr:rowOff>
    </xdr:from>
    <xdr:ext cx="3702632" cy="2783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702879" y="4846341"/>
              <a:ext cx="3702632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3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latin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=0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+1∙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4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=0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702879" y="4846341"/>
              <a:ext cx="3702632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3^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latin typeface="Cambria Math"/>
                </a:rPr>
                <a:t>1=0</a:t>
              </a:r>
              <a:r>
                <a:rPr lang="en-US" sz="1100" b="0" i="0">
                  <a:latin typeface="Cambria Math"/>
                  <a:ea typeface="Cambria Math"/>
                </a:rPr>
                <a:t>∙〖𝑃_0〗^0+1∙〖𝑃_1〗^0+0∙〖𝑃_2〗^0+0∙〖𝑃_3〗^0+0∙〖𝑃_4〗^0=0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0</xdr:col>
      <xdr:colOff>723280</xdr:colOff>
      <xdr:row>25</xdr:row>
      <xdr:rowOff>140368</xdr:rowOff>
    </xdr:from>
    <xdr:ext cx="4086225" cy="2783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723280" y="5145920"/>
              <a:ext cx="4086225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4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latin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=0,5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+0,25∙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+0,6∙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4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0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=0,5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723280" y="5145920"/>
              <a:ext cx="4086225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4^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latin typeface="Cambria Math"/>
                </a:rPr>
                <a:t>1=0,5</a:t>
              </a:r>
              <a:r>
                <a:rPr lang="en-US" sz="1100" b="0" i="0">
                  <a:latin typeface="Cambria Math"/>
                  <a:ea typeface="Cambria Math"/>
                </a:rPr>
                <a:t>∙〖𝑃_0〗^0+0∙〖𝑃_1〗^0+0,25∙〖𝑃_2〗^0+0,6∙〖𝑃_3〗^0+0∙〖𝑃_4〗^0=0,5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518950</xdr:colOff>
      <xdr:row>40</xdr:row>
      <xdr:rowOff>46640</xdr:rowOff>
    </xdr:from>
    <xdr:ext cx="788276" cy="2932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6233950" y="7909692"/>
              <a:ext cx="788276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  <m:sup/>
                        </m:sSubSup>
                      </m:e>
                      <m:sup/>
                    </m:sSup>
                    <m:r>
                      <a:rPr lang="en-US" sz="1100" b="0" i="1">
                        <a:latin typeface="Cambria Math"/>
                      </a:rPr>
                      <m:t>=0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6233950" y="7909692"/>
              <a:ext cx="788276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0^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</a:t>
              </a:r>
              <a:r>
                <a:rPr lang="en-US" sz="1100" b="0" i="0">
                  <a:latin typeface="Cambria Math"/>
                </a:rPr>
                <a:t>=0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554162</xdr:colOff>
      <xdr:row>41</xdr:row>
      <xdr:rowOff>119865</xdr:rowOff>
    </xdr:from>
    <xdr:ext cx="1685856" cy="2932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6269162" y="8173417"/>
              <a:ext cx="1685856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  <m:sup/>
                        </m:sSubSup>
                      </m:e>
                      <m:sup/>
                    </m:sSup>
                    <m:r>
                      <a:rPr lang="en-US" sz="1100" b="0" i="1">
                        <a:latin typeface="Cambria Math"/>
                      </a:rPr>
                      <m:t>=0,5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0</m:t>
                            </m:r>
                          </m:sub>
                        </m:sSub>
                      </m:e>
                      <m:sup/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+1∙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4</m:t>
                            </m:r>
                          </m:sub>
                        </m:sSub>
                      </m:e>
                      <m:sup/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6269162" y="8173417"/>
              <a:ext cx="1685856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1^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</a:t>
              </a:r>
              <a:r>
                <a:rPr lang="en-US" sz="1100" b="0" i="0">
                  <a:latin typeface="Cambria Math"/>
                </a:rPr>
                <a:t>=0,5</a:t>
              </a:r>
              <a:r>
                <a:rPr lang="en-US" sz="1100" b="0" i="0">
                  <a:latin typeface="Cambria Math"/>
                  <a:ea typeface="Cambria Math"/>
                </a:rPr>
                <a:t>∙〖𝑃_0〗^ +1∙〖𝑃_4〗^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485637</xdr:colOff>
      <xdr:row>41</xdr:row>
      <xdr:rowOff>422661</xdr:rowOff>
    </xdr:from>
    <xdr:ext cx="2049984" cy="2932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/>
            <xdr:cNvSpPr txBox="1"/>
          </xdr:nvSpPr>
          <xdr:spPr>
            <a:xfrm>
              <a:off x="6200637" y="8476213"/>
              <a:ext cx="2049984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  <m:sup/>
                        </m:sSubSup>
                      </m:e>
                      <m:sup/>
                    </m:sSup>
                    <m:r>
                      <a:rPr lang="en-US" sz="1100" b="0" i="1">
                        <a:latin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0,75∙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/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+0,4∙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/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>
              <a:off x="6200637" y="8476213"/>
              <a:ext cx="2049984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</a:t>
              </a:r>
              <a:r>
                <a:rPr lang="en-US" sz="1100" b="0" i="0">
                  <a:latin typeface="Cambria Math"/>
                </a:rPr>
                <a:t>=</a:t>
              </a:r>
              <a:r>
                <a:rPr lang="en-US" sz="1100" b="0" i="0">
                  <a:latin typeface="Cambria Math"/>
                  <a:ea typeface="Cambria Math"/>
                </a:rPr>
                <a:t>0,75∙〖𝑃_2〗^ +0,4∙〖𝑃_3〗^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522924</xdr:colOff>
      <xdr:row>42</xdr:row>
      <xdr:rowOff>129823</xdr:rowOff>
    </xdr:from>
    <xdr:ext cx="1099610" cy="2932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/>
            <xdr:cNvSpPr txBox="1"/>
          </xdr:nvSpPr>
          <xdr:spPr>
            <a:xfrm>
              <a:off x="6237924" y="8754875"/>
              <a:ext cx="1099610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3</m:t>
                            </m:r>
                          </m:sub>
                          <m:sup/>
                        </m:sSubSup>
                      </m:e>
                      <m:sup/>
                    </m:sSup>
                    <m:r>
                      <a:rPr lang="en-US" sz="1100" b="0" i="1">
                        <a:latin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1∙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/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2" name="TextBox 11"/>
            <xdr:cNvSpPr txBox="1"/>
          </xdr:nvSpPr>
          <xdr:spPr>
            <a:xfrm>
              <a:off x="6237924" y="8754875"/>
              <a:ext cx="1099610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3^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</a:t>
              </a:r>
              <a:r>
                <a:rPr lang="en-US" sz="1100" b="0" i="0">
                  <a:latin typeface="Cambria Math"/>
                </a:rPr>
                <a:t>=</a:t>
              </a:r>
              <a:r>
                <a:rPr lang="en-US" sz="1100" b="0" i="0">
                  <a:latin typeface="Cambria Math"/>
                  <a:ea typeface="Cambria Math"/>
                </a:rPr>
                <a:t>1∙〖𝑃_1〗^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572195</xdr:colOff>
      <xdr:row>44</xdr:row>
      <xdr:rowOff>35265</xdr:rowOff>
    </xdr:from>
    <xdr:ext cx="2574339" cy="2932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/>
            <xdr:cNvSpPr txBox="1"/>
          </xdr:nvSpPr>
          <xdr:spPr>
            <a:xfrm>
              <a:off x="6287195" y="9041317"/>
              <a:ext cx="2574339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4</m:t>
                            </m:r>
                          </m:sub>
                          <m:sup/>
                        </m:sSubSup>
                      </m:e>
                      <m:sup/>
                    </m:sSup>
                    <m:r>
                      <a:rPr lang="en-US" sz="1100" b="0" i="1">
                        <a:latin typeface="Cambria Math"/>
                      </a:rPr>
                      <m:t>=0,5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0</m:t>
                            </m:r>
                          </m:sub>
                        </m:sSub>
                      </m:e>
                      <m:sup/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+0,25∙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/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+0,6∙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/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3" name="TextBox 12"/>
            <xdr:cNvSpPr txBox="1"/>
          </xdr:nvSpPr>
          <xdr:spPr>
            <a:xfrm>
              <a:off x="6287195" y="9041317"/>
              <a:ext cx="2574339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4^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</a:t>
              </a:r>
              <a:r>
                <a:rPr lang="en-US" sz="1100" b="0" i="0">
                  <a:latin typeface="Cambria Math"/>
                </a:rPr>
                <a:t>=0,5</a:t>
              </a:r>
              <a:r>
                <a:rPr lang="en-US" sz="1100" b="0" i="0">
                  <a:latin typeface="Cambria Math"/>
                  <a:ea typeface="Cambria Math"/>
                </a:rPr>
                <a:t>∙〖𝑃_0〗^ +0,25∙〖𝑃_2〗^ +0,6∙〖𝑃_3〗^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0</xdr:col>
      <xdr:colOff>525879</xdr:colOff>
      <xdr:row>29</xdr:row>
      <xdr:rowOff>171450</xdr:rowOff>
    </xdr:from>
    <xdr:ext cx="4086225" cy="2783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/>
            <xdr:cNvSpPr txBox="1"/>
          </xdr:nvSpPr>
          <xdr:spPr>
            <a:xfrm>
              <a:off x="525879" y="7189871"/>
              <a:ext cx="4086225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latin typeface="Cambria Math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=0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4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=0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4" name="TextBox 13"/>
            <xdr:cNvSpPr txBox="1"/>
          </xdr:nvSpPr>
          <xdr:spPr>
            <a:xfrm>
              <a:off x="525879" y="7189871"/>
              <a:ext cx="4086225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0^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latin typeface="Cambria Math"/>
                </a:rPr>
                <a:t>2=0</a:t>
              </a:r>
              <a:r>
                <a:rPr lang="en-US" sz="1100" b="0" i="0">
                  <a:latin typeface="Cambria Math"/>
                  <a:ea typeface="Cambria Math"/>
                </a:rPr>
                <a:t>∙〖𝑃_0〗^1+0∙〖𝑃_1〗^1+0∙〖𝑃_2〗^1+0∙〖𝑃_3〗^1+0∙〖𝑃_4〗^1=0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0</xdr:col>
      <xdr:colOff>527885</xdr:colOff>
      <xdr:row>31</xdr:row>
      <xdr:rowOff>113297</xdr:rowOff>
    </xdr:from>
    <xdr:ext cx="4086225" cy="2783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/>
            <xdr:cNvSpPr txBox="1"/>
          </xdr:nvSpPr>
          <xdr:spPr>
            <a:xfrm>
              <a:off x="527885" y="7512718"/>
              <a:ext cx="4086225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latin typeface="Cambria Math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=0,5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+1∙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4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=0,5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5" name="TextBox 14"/>
            <xdr:cNvSpPr txBox="1"/>
          </xdr:nvSpPr>
          <xdr:spPr>
            <a:xfrm>
              <a:off x="527885" y="7512718"/>
              <a:ext cx="4086225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1^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latin typeface="Cambria Math"/>
                </a:rPr>
                <a:t>2=0,5</a:t>
              </a:r>
              <a:r>
                <a:rPr lang="en-US" sz="1100" b="0" i="0">
                  <a:latin typeface="Cambria Math"/>
                  <a:ea typeface="Cambria Math"/>
                </a:rPr>
                <a:t>∙〖𝑃_0〗^1+0∙〖𝑃_1〗^1+0∙〖𝑃_2〗^1+0∙〖𝑃_3〗^1+1∙〖𝑃_4〗^1=0,5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</xdr:col>
      <xdr:colOff>58653</xdr:colOff>
      <xdr:row>33</xdr:row>
      <xdr:rowOff>35092</xdr:rowOff>
    </xdr:from>
    <xdr:ext cx="4086225" cy="2783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/>
            <xdr:cNvSpPr txBox="1"/>
          </xdr:nvSpPr>
          <xdr:spPr>
            <a:xfrm>
              <a:off x="670258" y="7815513"/>
              <a:ext cx="4086225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latin typeface="Cambria Math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=0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+0,75∙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+0,4∙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4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=0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670258" y="7815513"/>
              <a:ext cx="4086225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latin typeface="Cambria Math"/>
                </a:rPr>
                <a:t>2=0</a:t>
              </a:r>
              <a:r>
                <a:rPr lang="en-US" sz="1100" b="0" i="0">
                  <a:latin typeface="Cambria Math"/>
                  <a:ea typeface="Cambria Math"/>
                </a:rPr>
                <a:t>∙〖𝑃_0〗^1+0∙〖𝑃_1〗^1+0,75∙〖𝑃_2〗^1+0,4∙〖𝑃_3〗^1+0∙〖𝑃_4〗^1=0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0</xdr:col>
      <xdr:colOff>516355</xdr:colOff>
      <xdr:row>35</xdr:row>
      <xdr:rowOff>5013</xdr:rowOff>
    </xdr:from>
    <xdr:ext cx="4086225" cy="2783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/>
            <xdr:cNvSpPr txBox="1"/>
          </xdr:nvSpPr>
          <xdr:spPr>
            <a:xfrm>
              <a:off x="516355" y="8166434"/>
              <a:ext cx="4086225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3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latin typeface="Cambria Math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=0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+1∙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4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=0</m:t>
                    </m:r>
                    <m:r>
                      <a:rPr lang="ru-RU" sz="1100" b="0" i="1">
                        <a:latin typeface="Cambria Math"/>
                        <a:ea typeface="Cambria Math"/>
                      </a:rPr>
                      <m:t>,5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>
              <a:off x="516355" y="8166434"/>
              <a:ext cx="4086225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3^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latin typeface="Cambria Math"/>
                </a:rPr>
                <a:t>2=0</a:t>
              </a:r>
              <a:r>
                <a:rPr lang="en-US" sz="1100" b="0" i="0">
                  <a:latin typeface="Cambria Math"/>
                  <a:ea typeface="Cambria Math"/>
                </a:rPr>
                <a:t>∙〖𝑃_0〗^1+1∙〖𝑃_1〗^1+0∙〖𝑃_2〗^1+0∙〖𝑃_3〗^1+0∙〖𝑃_4〗^1=0</a:t>
              </a:r>
              <a:r>
                <a:rPr lang="ru-RU" sz="1100" b="0" i="0">
                  <a:latin typeface="Cambria Math"/>
                  <a:ea typeface="Cambria Math"/>
                </a:rPr>
                <a:t>,5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</xdr:col>
      <xdr:colOff>40107</xdr:colOff>
      <xdr:row>36</xdr:row>
      <xdr:rowOff>140368</xdr:rowOff>
    </xdr:from>
    <xdr:ext cx="4086225" cy="2783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/>
            <xdr:cNvSpPr txBox="1"/>
          </xdr:nvSpPr>
          <xdr:spPr>
            <a:xfrm>
              <a:off x="651712" y="8492289"/>
              <a:ext cx="4086225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4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latin typeface="Cambria Math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=0,5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+0,25∙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+0,6∙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4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=0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8" name="TextBox 17"/>
            <xdr:cNvSpPr txBox="1"/>
          </xdr:nvSpPr>
          <xdr:spPr>
            <a:xfrm>
              <a:off x="651712" y="8492289"/>
              <a:ext cx="4086225" cy="278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4^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latin typeface="Cambria Math"/>
                </a:rPr>
                <a:t>2=0,5</a:t>
              </a:r>
              <a:r>
                <a:rPr lang="en-US" sz="1100" b="0" i="0">
                  <a:latin typeface="Cambria Math"/>
                  <a:ea typeface="Cambria Math"/>
                </a:rPr>
                <a:t>∙〖𝑃_0〗^1+0∙〖𝑃_1〗^1+0,25∙〖𝑃_2〗^1+0,6∙〖𝑃_3〗^1+0∙〖𝑃_4〗^1=0</a:t>
              </a:r>
              <a:endParaRPr lang="ru-RU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38</xdr:row>
          <xdr:rowOff>7620</xdr:rowOff>
        </xdr:from>
        <xdr:to>
          <xdr:col>7</xdr:col>
          <xdr:colOff>83820</xdr:colOff>
          <xdr:row>39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28903</xdr:colOff>
      <xdr:row>18</xdr:row>
      <xdr:rowOff>166851</xdr:rowOff>
    </xdr:from>
    <xdr:ext cx="4943804" cy="5933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/>
            <xdr:cNvSpPr txBox="1"/>
          </xdr:nvSpPr>
          <xdr:spPr>
            <a:xfrm>
              <a:off x="5743903" y="3792920"/>
              <a:ext cx="4943804" cy="5933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ru-RU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</a:rPr>
                              <m:t>𝑖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</a:rPr>
                          <m:t>𝑘</m:t>
                        </m:r>
                        <m:r>
                          <a:rPr lang="en-US" sz="1100" b="0" i="1">
                            <a:latin typeface="Cambria Math"/>
                          </a:rPr>
                          <m:t>+1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100" b="0" i="1">
                            <a:latin typeface="Cambria Math"/>
                          </a:rPr>
                          <m:t>𝑗</m:t>
                        </m:r>
                        <m:r>
                          <a:rPr lang="en-US" sz="1100" b="0" i="1">
                            <a:latin typeface="Cambria Math"/>
                          </a:rPr>
                          <m:t>=0</m:t>
                        </m:r>
                      </m:sub>
                      <m:sup>
                        <m:r>
                          <a:rPr lang="en-US" sz="1100" b="0" i="1">
                            <a:latin typeface="Cambria Math"/>
                          </a:rPr>
                          <m:t>𝑗</m:t>
                        </m:r>
                        <m:r>
                          <a:rPr lang="en-US" sz="1100" b="0" i="1">
                            <a:latin typeface="Cambria Math"/>
                          </a:rPr>
                          <m:t>=</m:t>
                        </m:r>
                        <m:r>
                          <a:rPr lang="en-US" sz="1100" b="0" i="1">
                            <a:latin typeface="Cambria Math"/>
                          </a:rPr>
                          <m:t>𝑁</m:t>
                        </m:r>
                        <m:r>
                          <a:rPr lang="en-US" sz="1100" b="0" i="1">
                            <a:latin typeface="Cambria Math"/>
                          </a:rPr>
                          <m:t>−1</m:t>
                        </m:r>
                      </m:sup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</a:rPr>
                              <m:t>𝑝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</a:rPr>
                              <m:t>𝑗</m:t>
                            </m:r>
                            <m:r>
                              <a:rPr lang="en-US" sz="1100" b="0" i="1">
                                <a:latin typeface="Cambria Math"/>
                              </a:rPr>
                              <m:t>,</m:t>
                            </m:r>
                            <m:r>
                              <a:rPr lang="en-US" sz="1100" b="0" i="1">
                                <a:latin typeface="Cambria Math"/>
                              </a:rPr>
                              <m:t>𝑖</m:t>
                            </m:r>
                          </m:sub>
                        </m:sSub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/>
                                  </a:rPr>
                                  <m:t>𝑗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latin typeface="Cambria Math"/>
                              </a:rPr>
                              <m:t>𝑘</m:t>
                            </m:r>
                          </m:sup>
                        </m:sSup>
                      </m:e>
                    </m:nary>
                    <m:r>
                      <a:rPr lang="en-US" sz="1100" b="0" i="1">
                        <a:latin typeface="Cambria Math"/>
                      </a:rPr>
                      <m:t>,</m:t>
                    </m:r>
                    <m:r>
                      <a:rPr lang="ru-RU" sz="1100" b="0" i="1">
                        <a:latin typeface="Cambria Math"/>
                      </a:rPr>
                      <m:t> где </m:t>
                    </m:r>
                    <m:r>
                      <a:rPr lang="en-US" sz="1100" b="0" i="1">
                        <a:latin typeface="Cambria Math"/>
                      </a:rPr>
                      <m:t>𝑘</m:t>
                    </m:r>
                    <m:r>
                      <a:rPr lang="en-US" sz="1100" b="0" i="1">
                        <a:latin typeface="Cambria Math"/>
                      </a:rPr>
                      <m:t>=0,1,2,…−моменты автоматного времени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9" name="TextBox 18"/>
            <xdr:cNvSpPr txBox="1"/>
          </xdr:nvSpPr>
          <xdr:spPr>
            <a:xfrm>
              <a:off x="5743903" y="3792920"/>
              <a:ext cx="4943804" cy="5933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latin typeface="Cambria Math"/>
                </a:rPr>
                <a:t>𝑃</a:t>
              </a:r>
              <a:r>
                <a:rPr lang="ru-RU" sz="1100" b="0" i="0">
                  <a:latin typeface="Cambria Math"/>
                </a:rPr>
                <a:t>_</a:t>
              </a:r>
              <a:r>
                <a:rPr lang="en-US" sz="1100" b="0" i="0">
                  <a:latin typeface="Cambria Math"/>
                </a:rPr>
                <a:t>𝑖</a:t>
              </a:r>
              <a:r>
                <a:rPr lang="ru-RU" sz="1100" b="0" i="0">
                  <a:latin typeface="Cambria Math"/>
                </a:rPr>
                <a:t>〗^(</a:t>
              </a:r>
              <a:r>
                <a:rPr lang="en-US" sz="1100" b="0" i="0">
                  <a:latin typeface="Cambria Math"/>
                </a:rPr>
                <a:t>𝑘+1</a:t>
              </a:r>
              <a:r>
                <a:rPr lang="ru-RU" sz="1100" b="0" i="0">
                  <a:latin typeface="Cambria Math"/>
                </a:rPr>
                <a:t>)</a:t>
              </a:r>
              <a:r>
                <a:rPr lang="en-US" sz="1100" b="0" i="0">
                  <a:latin typeface="Cambria Math"/>
                </a:rPr>
                <a:t>=∑24_(𝑗=0)^(𝑗=𝑁−1)▒〖𝑝_(𝑗,𝑖) 〖𝑃_𝑗〗^𝑘 〗,</a:t>
              </a:r>
              <a:r>
                <a:rPr lang="ru-RU" sz="1100" b="0" i="0">
                  <a:latin typeface="Cambria Math"/>
                </a:rPr>
                <a:t> где </a:t>
              </a:r>
              <a:r>
                <a:rPr lang="en-US" sz="1100" b="0" i="0">
                  <a:latin typeface="Cambria Math"/>
                </a:rPr>
                <a:t>𝑘=0,1,2,…−</a:t>
              </a:r>
              <a:r>
                <a:rPr lang="ru-RU" sz="1100" b="0" i="0">
                  <a:latin typeface="Cambria Math"/>
                </a:rPr>
                <a:t>моменты автоматного времени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487780</xdr:colOff>
      <xdr:row>22</xdr:row>
      <xdr:rowOff>113643</xdr:rowOff>
    </xdr:from>
    <xdr:ext cx="4086225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/>
            <xdr:cNvSpPr txBox="1"/>
          </xdr:nvSpPr>
          <xdr:spPr>
            <a:xfrm>
              <a:off x="5591866" y="4357195"/>
              <a:ext cx="408622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+1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=0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4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9" name="TextBox 28"/>
            <xdr:cNvSpPr txBox="1"/>
          </xdr:nvSpPr>
          <xdr:spPr>
            <a:xfrm>
              <a:off x="5591866" y="4357195"/>
              <a:ext cx="408622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0^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𝑘+1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US" sz="1100" b="0" i="0">
                  <a:latin typeface="Cambria Math"/>
                </a:rPr>
                <a:t>=0</a:t>
              </a:r>
              <a:r>
                <a:rPr lang="en-US" sz="1100" b="0" i="0">
                  <a:latin typeface="Cambria Math"/>
                  <a:ea typeface="Cambria Math"/>
                </a:rPr>
                <a:t>∙〖𝑃_0〗^𝑘+0∙〖𝑃_1〗^𝑘+0∙〖𝑃_2〗^𝑘+0∙〖𝑃_3〗^𝑘+0∙〖𝑃_4〗^𝑘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516063</xdr:colOff>
      <xdr:row>23</xdr:row>
      <xdr:rowOff>180301</xdr:rowOff>
    </xdr:from>
    <xdr:ext cx="4086225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/>
            <xdr:cNvSpPr txBox="1"/>
          </xdr:nvSpPr>
          <xdr:spPr>
            <a:xfrm>
              <a:off x="5620149" y="4614353"/>
              <a:ext cx="408622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+1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=0,5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+1∙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4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0" name="TextBox 29"/>
            <xdr:cNvSpPr txBox="1"/>
          </xdr:nvSpPr>
          <xdr:spPr>
            <a:xfrm>
              <a:off x="5620149" y="4614353"/>
              <a:ext cx="408622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1^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𝑘+1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US" sz="1100" b="0" i="0">
                  <a:latin typeface="Cambria Math"/>
                </a:rPr>
                <a:t>=0,5</a:t>
              </a:r>
              <a:r>
                <a:rPr lang="en-US" sz="1100" b="0" i="0">
                  <a:latin typeface="Cambria Math"/>
                  <a:ea typeface="Cambria Math"/>
                </a:rPr>
                <a:t>∙〖𝑃_0〗^𝑘+0∙〖𝑃_1〗^𝑘+0∙〖𝑃_2〗^𝑘+0∙〖𝑃_3〗^𝑘+1∙〖𝑃_4〗^𝑘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106419</xdr:colOff>
      <xdr:row>25</xdr:row>
      <xdr:rowOff>42974</xdr:rowOff>
    </xdr:from>
    <xdr:ext cx="3842706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/>
            <xdr:cNvSpPr txBox="1"/>
          </xdr:nvSpPr>
          <xdr:spPr>
            <a:xfrm>
              <a:off x="5821419" y="4858026"/>
              <a:ext cx="3842706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+1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=0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+0,75∙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+0,4∙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4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1" name="TextBox 30"/>
            <xdr:cNvSpPr txBox="1"/>
          </xdr:nvSpPr>
          <xdr:spPr>
            <a:xfrm>
              <a:off x="5821419" y="4858026"/>
              <a:ext cx="3842706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𝑘+1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US" sz="1100" b="0" i="0">
                  <a:latin typeface="Cambria Math"/>
                </a:rPr>
                <a:t>=0</a:t>
              </a:r>
              <a:r>
                <a:rPr lang="en-US" sz="1100" b="0" i="0">
                  <a:latin typeface="Cambria Math"/>
                  <a:ea typeface="Cambria Math"/>
                </a:rPr>
                <a:t>∙〖𝑃_0〗^𝑘+0∙〖𝑃_1〗^𝑘+0,75∙〖𝑃_2〗^𝑘+0,4∙〖𝑃_3〗^𝑘+0∙〖𝑃_4〗^𝑘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7883</xdr:colOff>
      <xdr:row>26</xdr:row>
      <xdr:rowOff>104861</xdr:rowOff>
    </xdr:from>
    <xdr:ext cx="3702632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/>
            <xdr:cNvSpPr txBox="1"/>
          </xdr:nvSpPr>
          <xdr:spPr>
            <a:xfrm>
              <a:off x="5722883" y="5110413"/>
              <a:ext cx="3702632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3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+1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=0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+1∙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4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2" name="TextBox 31"/>
            <xdr:cNvSpPr txBox="1"/>
          </xdr:nvSpPr>
          <xdr:spPr>
            <a:xfrm>
              <a:off x="5722883" y="5110413"/>
              <a:ext cx="3702632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3^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𝑘+1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US" sz="1100" b="0" i="0">
                  <a:latin typeface="Cambria Math"/>
                </a:rPr>
                <a:t>=0</a:t>
              </a:r>
              <a:r>
                <a:rPr lang="en-US" sz="1100" b="0" i="0">
                  <a:latin typeface="Cambria Math"/>
                  <a:ea typeface="Cambria Math"/>
                </a:rPr>
                <a:t>∙〖𝑃_0〗^𝑘+1∙〖𝑃_1〗^𝑘+0∙〖𝑃_2〗^𝑘+0∙〖𝑃_3〗^𝑘+0∙〖𝑃_4〗^𝑘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2007</xdr:colOff>
      <xdr:row>27</xdr:row>
      <xdr:rowOff>154820</xdr:rowOff>
    </xdr:from>
    <xdr:ext cx="4086225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/>
            <xdr:cNvSpPr txBox="1"/>
          </xdr:nvSpPr>
          <xdr:spPr>
            <a:xfrm>
              <a:off x="5717007" y="5350872"/>
              <a:ext cx="408622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4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+1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=0,5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+0,25∙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+0,6∙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4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3" name="TextBox 32"/>
            <xdr:cNvSpPr txBox="1"/>
          </xdr:nvSpPr>
          <xdr:spPr>
            <a:xfrm>
              <a:off x="5717007" y="5350872"/>
              <a:ext cx="408622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4^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𝑘+1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US" sz="1100" b="0" i="0">
                  <a:latin typeface="Cambria Math"/>
                </a:rPr>
                <a:t>=0,5</a:t>
              </a:r>
              <a:r>
                <a:rPr lang="en-US" sz="1100" b="0" i="0">
                  <a:latin typeface="Cambria Math"/>
                  <a:ea typeface="Cambria Math"/>
                </a:rPr>
                <a:t>∙〖𝑃_0〗^𝑘+0∙〖𝑃_1〗^𝑘+0,25∙〖𝑃_2〗^𝑘+0,6∙〖𝑃_3〗^𝑘+0∙〖𝑃_4〗^𝑘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487780</xdr:colOff>
      <xdr:row>29</xdr:row>
      <xdr:rowOff>113643</xdr:rowOff>
    </xdr:from>
    <xdr:ext cx="4086225" cy="2921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/>
            <xdr:cNvSpPr txBox="1"/>
          </xdr:nvSpPr>
          <xdr:spPr>
            <a:xfrm>
              <a:off x="6202780" y="5881195"/>
              <a:ext cx="4086225" cy="2921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+1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=0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𝑘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𝑘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𝑘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𝑘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4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𝑘</m:t>
                            </m:r>
                          </m:sup>
                        </m:sSup>
                      </m:e>
                    </m:d>
                    <m:r>
                      <a:rPr lang="en-US" sz="1100" b="0" i="1">
                        <a:latin typeface="Cambria Math"/>
                        <a:ea typeface="Cambria Math"/>
                      </a:rPr>
                      <m:t>=0∙1=0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4" name="TextBox 33"/>
            <xdr:cNvSpPr txBox="1"/>
          </xdr:nvSpPr>
          <xdr:spPr>
            <a:xfrm>
              <a:off x="6202780" y="5881195"/>
              <a:ext cx="4086225" cy="2921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0^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𝑘+1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US" sz="1100" b="0" i="0">
                  <a:latin typeface="Cambria Math"/>
                </a:rPr>
                <a:t>=0</a:t>
              </a:r>
              <a:r>
                <a:rPr lang="en-US" sz="1100" b="0" i="0">
                  <a:latin typeface="Cambria Math"/>
                  <a:ea typeface="Cambria Math"/>
                </a:rPr>
                <a:t>∙(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𝑃_0〗^𝑘+〖𝑃_1〗^𝑘+〖𝑃_2〗^𝑘+〖𝑃_3〗^𝑘+〖𝑃_4〗^𝑘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 )</a:t>
              </a:r>
              <a:r>
                <a:rPr lang="en-US" sz="1100" b="0" i="0">
                  <a:latin typeface="Cambria Math"/>
                  <a:ea typeface="Cambria Math"/>
                </a:rPr>
                <a:t>=0∙1=0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45981</xdr:colOff>
      <xdr:row>30</xdr:row>
      <xdr:rowOff>186870</xdr:rowOff>
    </xdr:from>
    <xdr:ext cx="2007547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/>
            <xdr:cNvSpPr txBox="1"/>
          </xdr:nvSpPr>
          <xdr:spPr>
            <a:xfrm>
              <a:off x="6371895" y="6144922"/>
              <a:ext cx="2007547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+1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=0,5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+1∙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4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5" name="TextBox 34"/>
            <xdr:cNvSpPr txBox="1"/>
          </xdr:nvSpPr>
          <xdr:spPr>
            <a:xfrm>
              <a:off x="6371895" y="6144922"/>
              <a:ext cx="2007547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1^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𝑘+1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US" sz="1100" b="0" i="0">
                  <a:latin typeface="Cambria Math"/>
                </a:rPr>
                <a:t>=0,5</a:t>
              </a:r>
              <a:r>
                <a:rPr lang="en-US" sz="1100" b="0" i="0">
                  <a:latin typeface="Cambria Math"/>
                  <a:ea typeface="Cambria Math"/>
                </a:rPr>
                <a:t>∙〖𝑃_0〗^𝑘+1∙〖𝑃_4〗^𝑘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85397</xdr:colOff>
      <xdr:row>32</xdr:row>
      <xdr:rowOff>56111</xdr:rowOff>
    </xdr:from>
    <xdr:ext cx="211638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35"/>
            <xdr:cNvSpPr txBox="1"/>
          </xdr:nvSpPr>
          <xdr:spPr>
            <a:xfrm>
              <a:off x="6411311" y="6395163"/>
              <a:ext cx="2116383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+1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0,75∙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+0,4∙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6" name="TextBox 35"/>
            <xdr:cNvSpPr txBox="1"/>
          </xdr:nvSpPr>
          <xdr:spPr>
            <a:xfrm>
              <a:off x="6411311" y="6395163"/>
              <a:ext cx="2116383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𝑘+1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US" sz="1100" b="0" i="0">
                  <a:latin typeface="Cambria Math"/>
                </a:rPr>
                <a:t>=</a:t>
              </a:r>
              <a:r>
                <a:rPr lang="en-US" sz="1100" b="0" i="0">
                  <a:latin typeface="Cambria Math"/>
                  <a:ea typeface="Cambria Math"/>
                </a:rPr>
                <a:t>0,75∙〖𝑃_2〗^𝑘+0,4∙〖𝑃_3〗^𝑘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6569</xdr:colOff>
      <xdr:row>33</xdr:row>
      <xdr:rowOff>124568</xdr:rowOff>
    </xdr:from>
    <xdr:ext cx="1411376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/>
            <xdr:cNvSpPr txBox="1"/>
          </xdr:nvSpPr>
          <xdr:spPr>
            <a:xfrm>
              <a:off x="6332483" y="6654120"/>
              <a:ext cx="1411376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3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+1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1∙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7" name="TextBox 36"/>
            <xdr:cNvSpPr txBox="1"/>
          </xdr:nvSpPr>
          <xdr:spPr>
            <a:xfrm>
              <a:off x="6332483" y="6654120"/>
              <a:ext cx="1411376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3^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𝑘+1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US" sz="1100" b="0" i="0">
                  <a:latin typeface="Cambria Math"/>
                </a:rPr>
                <a:t>=</a:t>
              </a:r>
              <a:r>
                <a:rPr lang="en-US" sz="1100" b="0" i="0">
                  <a:latin typeface="Cambria Math"/>
                  <a:ea typeface="Cambria Math"/>
                </a:rPr>
                <a:t>1∙〖𝑃_1〗^𝑘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98533</xdr:colOff>
      <xdr:row>34</xdr:row>
      <xdr:rowOff>187665</xdr:rowOff>
    </xdr:from>
    <xdr:ext cx="268904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/>
            <xdr:cNvSpPr txBox="1"/>
          </xdr:nvSpPr>
          <xdr:spPr>
            <a:xfrm>
              <a:off x="6424447" y="6907717"/>
              <a:ext cx="2689043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4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+1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=0,5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+0,25∙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+0,6∙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𝑘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8" name="TextBox 37"/>
            <xdr:cNvSpPr txBox="1"/>
          </xdr:nvSpPr>
          <xdr:spPr>
            <a:xfrm>
              <a:off x="6424447" y="6907717"/>
              <a:ext cx="2689043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4^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𝑘+1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US" sz="1100" b="0" i="0">
                  <a:latin typeface="Cambria Math"/>
                </a:rPr>
                <a:t>=0,5</a:t>
              </a:r>
              <a:r>
                <a:rPr lang="en-US" sz="1100" b="0" i="0">
                  <a:latin typeface="Cambria Math"/>
                  <a:ea typeface="Cambria Math"/>
                </a:rPr>
                <a:t>∙〖𝑃_0〗^𝑘+0,25∙〖𝑃_2〗^𝑘+0,6∙〖𝑃_3〗^𝑘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592883</xdr:colOff>
      <xdr:row>45</xdr:row>
      <xdr:rowOff>139919</xdr:rowOff>
    </xdr:from>
    <xdr:ext cx="2356582" cy="2932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TextBox 38"/>
            <xdr:cNvSpPr txBox="1"/>
          </xdr:nvSpPr>
          <xdr:spPr>
            <a:xfrm>
              <a:off x="6307883" y="9336471"/>
              <a:ext cx="2356582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  <a:ea typeface="Cambria Math"/>
                        </a:rPr>
                      </m:ctrlPr>
                    </m:sSupPr>
                    <m:e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𝑃</m:t>
                          </m:r>
                        </m:e>
                        <m:sub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0</m:t>
                          </m:r>
                        </m:sub>
                      </m:sSub>
                    </m:e>
                    <m:sup/>
                  </m:sSup>
                  <m:r>
                    <a:rPr lang="en-US" sz="1100" b="0" i="1">
                      <a:latin typeface="Cambria Math"/>
                      <a:ea typeface="Cambria Math"/>
                    </a:rPr>
                    <m:t>+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  <a:ea typeface="Cambria Math"/>
                        </a:rPr>
                      </m:ctrlPr>
                    </m:sSupPr>
                    <m:e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𝑃</m:t>
                          </m:r>
                        </m:e>
                        <m:sub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1</m:t>
                          </m:r>
                        </m:sub>
                      </m:sSub>
                    </m:e>
                    <m:sup/>
                  </m:sSup>
                  <m:r>
                    <a:rPr lang="en-US" sz="1100" b="0" i="1">
                      <a:latin typeface="Cambria Math"/>
                      <a:ea typeface="Cambria Math"/>
                    </a:rPr>
                    <m:t>+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  <a:ea typeface="Cambria Math"/>
                        </a:rPr>
                      </m:ctrlPr>
                    </m:sSupPr>
                    <m:e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𝑃</m:t>
                          </m:r>
                        </m:e>
                        <m:sub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2</m:t>
                          </m:r>
                        </m:sub>
                      </m:sSub>
                    </m:e>
                    <m:sup/>
                  </m:sSup>
                  <m:r>
                    <a:rPr lang="en-US" sz="1100" b="0" i="1">
                      <a:latin typeface="Cambria Math"/>
                      <a:ea typeface="Cambria Math"/>
                    </a:rPr>
                    <m:t>+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  <a:ea typeface="Cambria Math"/>
                        </a:rPr>
                      </m:ctrlPr>
                    </m:sSupPr>
                    <m:e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𝑃</m:t>
                          </m:r>
                        </m:e>
                        <m:sub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3</m:t>
                          </m:r>
                        </m:sub>
                      </m:sSub>
                    </m:e>
                    <m:sup/>
                  </m:sSup>
                  <m:r>
                    <a:rPr lang="en-US" sz="1100" b="0" i="1">
                      <a:latin typeface="Cambria Math"/>
                      <a:ea typeface="Cambria Math"/>
                    </a:rPr>
                    <m:t>+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  <a:ea typeface="Cambria Math"/>
                        </a:rPr>
                      </m:ctrlPr>
                    </m:sSupPr>
                    <m:e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𝑃</m:t>
                          </m:r>
                        </m:e>
                        <m:sub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4</m:t>
                          </m:r>
                        </m:sub>
                      </m:sSub>
                    </m:e>
                    <m:sup/>
                  </m:sSup>
                </m:oMath>
              </a14:m>
              <a:r>
                <a:rPr lang="en-US" sz="1100"/>
                <a:t>=1</a:t>
              </a:r>
              <a:endParaRPr lang="ru-RU" sz="1100"/>
            </a:p>
          </xdr:txBody>
        </xdr:sp>
      </mc:Choice>
      <mc:Fallback xmlns="">
        <xdr:sp macro="" textlink="">
          <xdr:nvSpPr>
            <xdr:cNvPr id="39" name="TextBox 38"/>
            <xdr:cNvSpPr txBox="1"/>
          </xdr:nvSpPr>
          <xdr:spPr>
            <a:xfrm>
              <a:off x="6307883" y="9336471"/>
              <a:ext cx="2356582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0" i="0">
                  <a:latin typeface="Cambria Math"/>
                  <a:ea typeface="Cambria Math"/>
                </a:rPr>
                <a:t>〖𝑃_0〗^ +〖𝑃_1〗^ +〖𝑃_2〗^ +〖𝑃_3〗^ +〖𝑃_4〗^</a:t>
              </a:r>
              <a:r>
                <a:rPr lang="en-US" sz="1100"/>
                <a:t>=1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525519</xdr:colOff>
      <xdr:row>48</xdr:row>
      <xdr:rowOff>657</xdr:rowOff>
    </xdr:from>
    <xdr:ext cx="788276" cy="2932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/>
            <xdr:cNvSpPr txBox="1"/>
          </xdr:nvSpPr>
          <xdr:spPr>
            <a:xfrm>
              <a:off x="6240519" y="9768709"/>
              <a:ext cx="788276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  <m:sup/>
                        </m:sSubSup>
                      </m:e>
                      <m:sup/>
                    </m:sSup>
                    <m:r>
                      <a:rPr lang="en-US" sz="1100" b="0" i="1">
                        <a:latin typeface="Cambria Math"/>
                      </a:rPr>
                      <m:t>=0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40" name="TextBox 39"/>
            <xdr:cNvSpPr txBox="1"/>
          </xdr:nvSpPr>
          <xdr:spPr>
            <a:xfrm>
              <a:off x="6240519" y="9768709"/>
              <a:ext cx="788276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0^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</a:t>
              </a:r>
              <a:r>
                <a:rPr lang="en-US" sz="1100" b="0" i="0">
                  <a:latin typeface="Cambria Math"/>
                </a:rPr>
                <a:t>=0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532088</xdr:colOff>
      <xdr:row>49</xdr:row>
      <xdr:rowOff>113296</xdr:rowOff>
    </xdr:from>
    <xdr:ext cx="1037896" cy="2932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/>
            <xdr:cNvSpPr txBox="1"/>
          </xdr:nvSpPr>
          <xdr:spPr>
            <a:xfrm>
              <a:off x="6247088" y="10071848"/>
              <a:ext cx="1037896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1100" b="0" i="1">
                            <a:latin typeface="Cambria Math"/>
                          </a:rPr>
                          <m:t>1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1∙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4</m:t>
                            </m:r>
                          </m:sub>
                        </m:sSub>
                      </m:e>
                      <m:sup/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41" name="TextBox 40"/>
            <xdr:cNvSpPr txBox="1"/>
          </xdr:nvSpPr>
          <xdr:spPr>
            <a:xfrm>
              <a:off x="6247088" y="10071848"/>
              <a:ext cx="1037896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1^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latin typeface="Cambria Math"/>
                </a:rPr>
                <a:t>1=</a:t>
              </a:r>
              <a:r>
                <a:rPr lang="en-US" sz="1100" b="0" i="0">
                  <a:latin typeface="Cambria Math"/>
                  <a:ea typeface="Cambria Math"/>
                </a:rPr>
                <a:t>1∙〖𝑃_4〗^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498774</xdr:colOff>
      <xdr:row>51</xdr:row>
      <xdr:rowOff>36406</xdr:rowOff>
    </xdr:from>
    <xdr:ext cx="2049984" cy="2932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TextBox 41"/>
            <xdr:cNvSpPr txBox="1"/>
          </xdr:nvSpPr>
          <xdr:spPr>
            <a:xfrm>
              <a:off x="6213774" y="10375958"/>
              <a:ext cx="2049984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  <m:sup/>
                        </m:sSubSup>
                      </m:e>
                      <m:sup/>
                    </m:sSup>
                    <m:r>
                      <a:rPr lang="en-US" sz="1100" b="0" i="1">
                        <a:latin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0,75∙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/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+0,4∙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/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42" name="TextBox 41"/>
            <xdr:cNvSpPr txBox="1"/>
          </xdr:nvSpPr>
          <xdr:spPr>
            <a:xfrm>
              <a:off x="6213774" y="10375958"/>
              <a:ext cx="2049984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</a:t>
              </a:r>
              <a:r>
                <a:rPr lang="en-US" sz="1100" b="0" i="0">
                  <a:latin typeface="Cambria Math"/>
                </a:rPr>
                <a:t>=</a:t>
              </a:r>
              <a:r>
                <a:rPr lang="en-US" sz="1100" b="0" i="0">
                  <a:latin typeface="Cambria Math"/>
                  <a:ea typeface="Cambria Math"/>
                </a:rPr>
                <a:t>0,75∙〖𝑃_2〗^ +0,4∙〖𝑃_3〗^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529493</xdr:colOff>
      <xdr:row>52</xdr:row>
      <xdr:rowOff>129822</xdr:rowOff>
    </xdr:from>
    <xdr:ext cx="1099610" cy="2932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42"/>
            <xdr:cNvSpPr txBox="1"/>
          </xdr:nvSpPr>
          <xdr:spPr>
            <a:xfrm>
              <a:off x="6244493" y="10659874"/>
              <a:ext cx="1099610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3</m:t>
                            </m:r>
                          </m:sub>
                          <m:sup/>
                        </m:sSubSup>
                      </m:e>
                      <m:sup/>
                    </m:sSup>
                    <m:r>
                      <a:rPr lang="en-US" sz="1100" b="0" i="1">
                        <a:latin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1∙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/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43" name="TextBox 42"/>
            <xdr:cNvSpPr txBox="1"/>
          </xdr:nvSpPr>
          <xdr:spPr>
            <a:xfrm>
              <a:off x="6244493" y="10659874"/>
              <a:ext cx="1099610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3^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</a:t>
              </a:r>
              <a:r>
                <a:rPr lang="en-US" sz="1100" b="0" i="0">
                  <a:latin typeface="Cambria Math"/>
                </a:rPr>
                <a:t>=</a:t>
              </a:r>
              <a:r>
                <a:rPr lang="en-US" sz="1100" b="0" i="0">
                  <a:latin typeface="Cambria Math"/>
                  <a:ea typeface="Cambria Math"/>
                </a:rPr>
                <a:t>1∙〖𝑃_1〗^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539350</xdr:colOff>
      <xdr:row>54</xdr:row>
      <xdr:rowOff>68110</xdr:rowOff>
    </xdr:from>
    <xdr:ext cx="1950288" cy="2932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/>
            <xdr:cNvSpPr txBox="1"/>
          </xdr:nvSpPr>
          <xdr:spPr>
            <a:xfrm>
              <a:off x="6254350" y="10979162"/>
              <a:ext cx="1950288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ru-RU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4</m:t>
                            </m:r>
                          </m:sub>
                          <m:sup/>
                        </m:sSubSup>
                      </m:e>
                      <m:sup/>
                    </m:sSup>
                    <m:r>
                      <a:rPr lang="en-US" sz="1100" b="0" i="1">
                        <a:latin typeface="Cambria Math"/>
                      </a:rPr>
                      <m:t>=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0,25∙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/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+0,6∙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3</m:t>
                            </m:r>
                          </m:sub>
                        </m:sSub>
                      </m:e>
                      <m:sup/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44" name="TextBox 43"/>
            <xdr:cNvSpPr txBox="1"/>
          </xdr:nvSpPr>
          <xdr:spPr>
            <a:xfrm>
              <a:off x="6254350" y="10979162"/>
              <a:ext cx="1950288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i="0">
                  <a:latin typeface="Cambria Math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4^ 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</a:t>
              </a:r>
              <a:r>
                <a:rPr lang="en-US" sz="1100" b="0" i="0">
                  <a:latin typeface="Cambria Math"/>
                </a:rPr>
                <a:t>=</a:t>
              </a:r>
              <a:r>
                <a:rPr lang="en-US" sz="1100" b="0" i="0">
                  <a:latin typeface="Cambria Math"/>
                  <a:ea typeface="Cambria Math"/>
                </a:rPr>
                <a:t>0,25∙〖𝑃_2〗^ +0,6∙〖𝑃_3〗^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599452</xdr:colOff>
      <xdr:row>56</xdr:row>
      <xdr:rowOff>8540</xdr:rowOff>
    </xdr:from>
    <xdr:ext cx="2356582" cy="2932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44"/>
            <xdr:cNvSpPr txBox="1"/>
          </xdr:nvSpPr>
          <xdr:spPr>
            <a:xfrm>
              <a:off x="6314452" y="11300592"/>
              <a:ext cx="2356582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  <a:ea typeface="Cambria Math"/>
                        </a:rPr>
                      </m:ctrlPr>
                    </m:sSupPr>
                    <m:e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𝑃</m:t>
                          </m:r>
                        </m:e>
                        <m:sub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1</m:t>
                          </m:r>
                        </m:sub>
                      </m:sSub>
                    </m:e>
                    <m:sup/>
                  </m:sSup>
                  <m:r>
                    <a:rPr lang="en-US" sz="1100" b="0" i="1">
                      <a:latin typeface="Cambria Math"/>
                      <a:ea typeface="Cambria Math"/>
                    </a:rPr>
                    <m:t>+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  <a:ea typeface="Cambria Math"/>
                        </a:rPr>
                      </m:ctrlPr>
                    </m:sSupPr>
                    <m:e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𝑃</m:t>
                          </m:r>
                        </m:e>
                        <m:sub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2</m:t>
                          </m:r>
                        </m:sub>
                      </m:sSub>
                    </m:e>
                    <m:sup/>
                  </m:sSup>
                  <m:r>
                    <a:rPr lang="en-US" sz="1100" b="0" i="1">
                      <a:latin typeface="Cambria Math"/>
                      <a:ea typeface="Cambria Math"/>
                    </a:rPr>
                    <m:t>+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  <a:ea typeface="Cambria Math"/>
                        </a:rPr>
                      </m:ctrlPr>
                    </m:sSupPr>
                    <m:e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𝑃</m:t>
                          </m:r>
                        </m:e>
                        <m:sub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3</m:t>
                          </m:r>
                        </m:sub>
                      </m:sSub>
                    </m:e>
                    <m:sup/>
                  </m:sSup>
                  <m:r>
                    <a:rPr lang="en-US" sz="1100" b="0" i="1">
                      <a:latin typeface="Cambria Math"/>
                      <a:ea typeface="Cambria Math"/>
                    </a:rPr>
                    <m:t>+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  <a:ea typeface="Cambria Math"/>
                        </a:rPr>
                      </m:ctrlPr>
                    </m:sSupPr>
                    <m:e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𝑃</m:t>
                          </m:r>
                        </m:e>
                        <m:sub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4</m:t>
                          </m:r>
                        </m:sub>
                      </m:sSub>
                    </m:e>
                    <m:sup/>
                  </m:sSup>
                </m:oMath>
              </a14:m>
              <a:r>
                <a:rPr lang="en-US" sz="1100"/>
                <a:t>=1</a:t>
              </a:r>
              <a:endParaRPr lang="ru-RU" sz="1100"/>
            </a:p>
          </xdr:txBody>
        </xdr:sp>
      </mc:Choice>
      <mc:Fallback xmlns="">
        <xdr:sp macro="" textlink="">
          <xdr:nvSpPr>
            <xdr:cNvPr id="45" name="TextBox 44"/>
            <xdr:cNvSpPr txBox="1"/>
          </xdr:nvSpPr>
          <xdr:spPr>
            <a:xfrm>
              <a:off x="6314452" y="11300592"/>
              <a:ext cx="2356582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0" i="0">
                  <a:latin typeface="Cambria Math"/>
                  <a:ea typeface="Cambria Math"/>
                </a:rPr>
                <a:t>〖𝑃_1〗^ +〖𝑃_2〗^ +〖𝑃_3〗^ +〖𝑃_4〗^</a:t>
              </a:r>
              <a:r>
                <a:rPr lang="en-US" sz="1100"/>
                <a:t>=1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574491</xdr:colOff>
      <xdr:row>59</xdr:row>
      <xdr:rowOff>101820</xdr:rowOff>
    </xdr:from>
    <xdr:ext cx="1396199" cy="2932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/>
            <xdr:cNvSpPr txBox="1"/>
          </xdr:nvSpPr>
          <xdr:spPr>
            <a:xfrm>
              <a:off x="6289491" y="11965372"/>
              <a:ext cx="1396199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/>
                    </m:sSup>
                    <m:r>
                      <a:rPr lang="en-US" sz="1100" b="0" i="0">
                        <a:latin typeface="Cambria Math"/>
                        <a:ea typeface="Cambria Math"/>
                      </a:rPr>
                      <m:t>=1−3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  <m:sup/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46" name="TextBox 45"/>
            <xdr:cNvSpPr txBox="1"/>
          </xdr:nvSpPr>
          <xdr:spPr>
            <a:xfrm>
              <a:off x="6289491" y="11965372"/>
              <a:ext cx="1396199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0" i="0">
                  <a:latin typeface="Cambria Math"/>
                  <a:ea typeface="Cambria Math"/>
                </a:rPr>
                <a:t>〖𝑃_2〗^ =1−3∙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〖𝑃_1〗^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564931</xdr:colOff>
      <xdr:row>60</xdr:row>
      <xdr:rowOff>174528</xdr:rowOff>
    </xdr:from>
    <xdr:ext cx="1937844" cy="2932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TextBox 46"/>
            <xdr:cNvSpPr txBox="1"/>
          </xdr:nvSpPr>
          <xdr:spPr>
            <a:xfrm>
              <a:off x="6279931" y="12228580"/>
              <a:ext cx="1937844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/>
                        <a:ea typeface="Cambria Math"/>
                      </a:rPr>
                      <m:t>0,25∙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/>
                    </m:sSup>
                    <m:r>
                      <a:rPr lang="ru-RU" sz="1100" b="0" i="1">
                        <a:latin typeface="Cambria Math"/>
                        <a:ea typeface="Cambria Math"/>
                      </a:rPr>
                      <m:t>=</m:t>
                    </m:r>
                    <m:d>
                      <m:dPr>
                        <m:ctrlPr>
                          <a:rPr lang="ru-RU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dPr>
                      <m:e>
                        <m:r>
                          <a:rPr lang="ru-RU" sz="1100" b="0" i="1">
                            <a:latin typeface="Cambria Math"/>
                            <a:ea typeface="Cambria Math"/>
                          </a:rPr>
                          <m:t>1−0,6</m:t>
                        </m:r>
                      </m:e>
                    </m:d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ru-RU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/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47" name="TextBox 46"/>
            <xdr:cNvSpPr txBox="1"/>
          </xdr:nvSpPr>
          <xdr:spPr>
            <a:xfrm>
              <a:off x="6279931" y="12228580"/>
              <a:ext cx="1937844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0" i="0">
                  <a:latin typeface="Cambria Math"/>
                  <a:ea typeface="Cambria Math"/>
                </a:rPr>
                <a:t>0,25∙〖𝑃_2〗^</a:t>
              </a:r>
              <a:r>
                <a:rPr lang="ru-RU" sz="1100" b="0" i="0">
                  <a:latin typeface="Cambria Math"/>
                  <a:ea typeface="Cambria Math"/>
                </a:rPr>
                <a:t> =(1−0,6)</a:t>
              </a:r>
              <a:r>
                <a:rPr lang="en-US" sz="1100" b="0" i="0">
                  <a:latin typeface="Cambria Math"/>
                  <a:ea typeface="Cambria Math"/>
                </a:rPr>
                <a:t>∙〖𝑃_</a:t>
              </a:r>
              <a:r>
                <a:rPr lang="ru-RU" sz="1100" b="0" i="0">
                  <a:latin typeface="Cambria Math"/>
                  <a:ea typeface="Cambria Math"/>
                </a:rPr>
                <a:t>1</a:t>
              </a:r>
              <a:r>
                <a:rPr lang="en-US" sz="1100" b="0" i="0">
                  <a:latin typeface="Cambria Math"/>
                  <a:ea typeface="Cambria Math"/>
                </a:rPr>
                <a:t>〗^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575804</xdr:colOff>
      <xdr:row>62</xdr:row>
      <xdr:rowOff>175392</xdr:rowOff>
    </xdr:from>
    <xdr:ext cx="1591954" cy="2932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/>
            <xdr:cNvSpPr txBox="1"/>
          </xdr:nvSpPr>
          <xdr:spPr>
            <a:xfrm>
              <a:off x="6290804" y="12610444"/>
              <a:ext cx="1591954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100" b="0" i="1">
                        <a:latin typeface="Cambria Math"/>
                        <a:ea typeface="Cambria Math"/>
                      </a:rPr>
                      <m:t>1,6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ru-RU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/>
                    </m:sSup>
                    <m:r>
                      <a:rPr lang="en-US" sz="1100" b="0" i="0">
                        <a:latin typeface="Cambria Math"/>
                        <a:ea typeface="Cambria Math"/>
                      </a:rPr>
                      <m:t>=1−3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  <m:sup/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48" name="TextBox 47"/>
            <xdr:cNvSpPr txBox="1"/>
          </xdr:nvSpPr>
          <xdr:spPr>
            <a:xfrm>
              <a:off x="6290804" y="12610444"/>
              <a:ext cx="1591954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b="0" i="0">
                  <a:latin typeface="Cambria Math"/>
                  <a:ea typeface="Cambria Math"/>
                </a:rPr>
                <a:t>1,6</a:t>
              </a:r>
              <a:r>
                <a:rPr lang="en-US" sz="1100" b="0" i="0">
                  <a:latin typeface="Cambria Math"/>
                  <a:ea typeface="Cambria Math"/>
                </a:rPr>
                <a:t>∙〖𝑃_</a:t>
              </a:r>
              <a:r>
                <a:rPr lang="ru-RU" sz="1100" b="0" i="0">
                  <a:latin typeface="Cambria Math"/>
                  <a:ea typeface="Cambria Math"/>
                </a:rPr>
                <a:t>1</a:t>
              </a:r>
              <a:r>
                <a:rPr lang="en-US" sz="1100" b="0" i="0">
                  <a:latin typeface="Cambria Math"/>
                  <a:ea typeface="Cambria Math"/>
                </a:rPr>
                <a:t>〗^ =1−3∙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〖𝑃_1〗^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604346</xdr:colOff>
      <xdr:row>64</xdr:row>
      <xdr:rowOff>144517</xdr:rowOff>
    </xdr:from>
    <xdr:ext cx="1977258" cy="33387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/>
            <xdr:cNvSpPr txBox="1"/>
          </xdr:nvSpPr>
          <xdr:spPr>
            <a:xfrm>
              <a:off x="6319346" y="12960569"/>
              <a:ext cx="1977258" cy="3338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ru-RU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</m:e>
                      <m:sup/>
                    </m:sSup>
                    <m:r>
                      <a:rPr lang="en-US" sz="1100" b="0" i="1">
                        <a:latin typeface="Cambria Math"/>
                        <a:ea typeface="Cambria Math"/>
                      </a:rPr>
                      <m:t>=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3</m:t>
                            </m:r>
                          </m:sub>
                        </m:sSub>
                      </m:e>
                      <m:sup/>
                    </m:sSup>
                    <m:r>
                      <a:rPr lang="en-US" sz="1100" b="0" i="0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4</m:t>
                            </m:r>
                          </m:sub>
                        </m:sSub>
                      </m:e>
                      <m:sup/>
                    </m:sSup>
                    <m:r>
                      <a:rPr lang="en-US" sz="1100" b="0" i="0">
                        <a:latin typeface="Cambria Math"/>
                        <a:ea typeface="Cambria Math"/>
                      </a:rPr>
                      <m:t>=</m:t>
                    </m:r>
                    <m:f>
                      <m:fPr>
                        <m:type m:val="skw"/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fPr>
                      <m:num>
                        <m:r>
                          <a:rPr lang="ru-RU" sz="1100" b="0" i="1">
                            <a:latin typeface="Cambria Math"/>
                            <a:ea typeface="Cambria Math"/>
                          </a:rPr>
                          <m:t>1</m:t>
                        </m:r>
                      </m:num>
                      <m:den>
                        <m:r>
                          <a:rPr lang="ru-RU" sz="1100" b="0" i="1">
                            <a:latin typeface="Cambria Math"/>
                            <a:ea typeface="Cambria Math"/>
                          </a:rPr>
                          <m:t>4,6</m:t>
                        </m:r>
                      </m:den>
                    </m:f>
                    <m:r>
                      <a:rPr lang="ru-RU" sz="1100" b="0" i="1">
                        <a:latin typeface="Cambria Math"/>
                        <a:ea typeface="Cambria Math"/>
                      </a:rPr>
                      <m:t>=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49" name="TextBox 48"/>
            <xdr:cNvSpPr txBox="1"/>
          </xdr:nvSpPr>
          <xdr:spPr>
            <a:xfrm>
              <a:off x="6319346" y="12960569"/>
              <a:ext cx="1977258" cy="3338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0" i="0">
                  <a:latin typeface="Cambria Math"/>
                  <a:ea typeface="Cambria Math"/>
                </a:rPr>
                <a:t>〖𝑃_</a:t>
              </a:r>
              <a:r>
                <a:rPr lang="ru-RU" sz="1100" b="0" i="0">
                  <a:latin typeface="Cambria Math"/>
                  <a:ea typeface="Cambria Math"/>
                </a:rPr>
                <a:t>1</a:t>
              </a:r>
              <a:r>
                <a:rPr lang="en-US" sz="1100" b="0" i="0">
                  <a:latin typeface="Cambria Math"/>
                  <a:ea typeface="Cambria Math"/>
                </a:rPr>
                <a:t>〗^ 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〖𝑃_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3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〖𝑃_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4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 </a:t>
              </a:r>
              <a:r>
                <a:rPr lang="en-US" sz="1100" b="0" i="0">
                  <a:latin typeface="Cambria Math"/>
                  <a:ea typeface="Cambria Math"/>
                </a:rPr>
                <a:t>=</a:t>
              </a:r>
              <a:r>
                <a:rPr lang="ru-RU" sz="1100" b="0" i="0">
                  <a:latin typeface="Cambria Math"/>
                  <a:ea typeface="Cambria Math"/>
                </a:rPr>
                <a:t>1</a:t>
              </a:r>
              <a:r>
                <a:rPr lang="en-US" sz="1100" b="0" i="0">
                  <a:latin typeface="Cambria Math"/>
                  <a:ea typeface="Cambria Math"/>
                </a:rPr>
                <a:t>⁄</a:t>
              </a:r>
              <a:r>
                <a:rPr lang="ru-RU" sz="1100" b="0" i="0">
                  <a:latin typeface="Cambria Math"/>
                  <a:ea typeface="Cambria Math"/>
                </a:rPr>
                <a:t>4,6=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7</xdr:col>
      <xdr:colOff>136338</xdr:colOff>
      <xdr:row>66</xdr:row>
      <xdr:rowOff>151416</xdr:rowOff>
    </xdr:from>
    <xdr:ext cx="3496955" cy="2932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TextBox 49"/>
            <xdr:cNvSpPr txBox="1"/>
          </xdr:nvSpPr>
          <xdr:spPr>
            <a:xfrm>
              <a:off x="4622613" y="13343541"/>
              <a:ext cx="3496955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b>
                        </m:sSub>
                      </m:e>
                      <m:sup/>
                    </m:sSup>
                    <m:r>
                      <a:rPr lang="en-US" sz="1100" b="0" i="0">
                        <a:latin typeface="Cambria Math"/>
                        <a:ea typeface="Cambria Math"/>
                      </a:rPr>
                      <m:t>=1−3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  <m:sup/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=1,6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  <m:sup/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=1,6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∙0,217391304=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50" name="TextBox 49"/>
            <xdr:cNvSpPr txBox="1"/>
          </xdr:nvSpPr>
          <xdr:spPr>
            <a:xfrm>
              <a:off x="4622613" y="13343541"/>
              <a:ext cx="3496955" cy="2932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0" i="0">
                  <a:latin typeface="Cambria Math"/>
                  <a:ea typeface="Cambria Math"/>
                </a:rPr>
                <a:t>〖𝑃_2〗^ =1−3∙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〖𝑃_1〗^ =1,6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〖𝑃_1〗^ =1,6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∙0,217391304=</a:t>
              </a:r>
              <a:endParaRPr lang="ru-RU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118</xdr:row>
          <xdr:rowOff>152400</xdr:rowOff>
        </xdr:from>
        <xdr:to>
          <xdr:col>8</xdr:col>
          <xdr:colOff>304800</xdr:colOff>
          <xdr:row>120</xdr:row>
          <xdr:rowOff>30480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400050</xdr:colOff>
      <xdr:row>125</xdr:row>
      <xdr:rowOff>9525</xdr:rowOff>
    </xdr:from>
    <xdr:to>
      <xdr:col>15</xdr:col>
      <xdr:colOff>414618</xdr:colOff>
      <xdr:row>139</xdr:row>
      <xdr:rowOff>85725</xdr:rowOff>
    </xdr:to>
    <xdr:graphicFrame macro="">
      <xdr:nvGraphicFramePr>
        <xdr:cNvPr id="21" name="Диаграмма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220755</xdr:colOff>
      <xdr:row>3</xdr:row>
      <xdr:rowOff>65554</xdr:rowOff>
    </xdr:from>
    <xdr:ext cx="9808509" cy="16287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825873" y="1208554"/>
              <a:ext cx="9808509" cy="16287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["/>
                        <m:endChr m:val="]"/>
                        <m:ctrlPr>
                          <a:rPr lang="ru-RU" sz="18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3"/>
                                  <m:mcJc m:val="center"/>
                                </m:mcPr>
                              </m:mc>
                            </m:mcs>
                            <m:ctrlPr>
                              <a:rPr lang="ru-RU" sz="1800" i="1">
                                <a:latin typeface="Cambria Math" panose="02040503050406030204" pitchFamily="18" charset="0"/>
                              </a:rPr>
                            </m:ctrlPr>
                          </m:mPr>
                          <m:mr>
                            <m:e>
                              <m:sSub>
                                <m:sSubPr>
                                  <m:ctrlPr>
                                    <a:rPr lang="ru-RU" sz="180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</a:rPr>
                                    <m:t>𝑝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</a:rPr>
                                    <m:t>00</m:t>
                                  </m:r>
                                </m:sub>
                              </m:sSub>
                            </m:e>
                            <m:e>
                              <m:sSub>
                                <m:sSubPr>
                                  <m:ctrlPr>
                                    <a:rPr lang="ru-RU" sz="180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</a:rPr>
                                    <m:t>𝑝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</a:rPr>
                                    <m:t>01</m:t>
                                  </m:r>
                                </m:sub>
                              </m:sSub>
                            </m:e>
                            <m:e>
                              <m:m>
                                <m:mPr>
                                  <m:mcs>
                                    <m:mc>
                                      <m:mcPr>
                                        <m:count m:val="3"/>
                                        <m:mcJc m:val="center"/>
                                      </m:mcPr>
                                    </m:mc>
                                  </m:mcs>
                                  <m:ctrlPr>
                                    <a:rPr lang="ru-RU" sz="1800" i="1">
                                      <a:latin typeface="Cambria Math" panose="02040503050406030204" pitchFamily="18" charset="0"/>
                                    </a:rPr>
                                  </m:ctrlPr>
                                </m:mPr>
                                <m:mr>
                                  <m:e>
                                    <m:sSub>
                                      <m:sSubPr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</a:rPr>
                                          <m:t>02</m:t>
                                        </m:r>
                                      </m:sub>
                                    </m:sSub>
                                  </m:e>
                                  <m:e>
                                    <m:sSub>
                                      <m:sSubPr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</a:rPr>
                                          <m:t>03</m:t>
                                        </m:r>
                                      </m:sub>
                                    </m:sSub>
                                  </m:e>
                                  <m:e>
                                    <m:sSub>
                                      <m:sSubPr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</a:rPr>
                                          <m:t>04</m:t>
                                        </m:r>
                                      </m:sub>
                                    </m:sSub>
                                  </m:e>
                                </m:mr>
                              </m:m>
                            </m:e>
                          </m:mr>
                          <m:mr>
                            <m:e>
                              <m:sSub>
                                <m:sSubPr>
                                  <m:ctrlPr>
                                    <a:rPr lang="ru-RU" sz="180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</a:rPr>
                                    <m:t>𝑝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</a:rPr>
                                    <m:t>10</m:t>
                                  </m:r>
                                </m:sub>
                              </m:sSub>
                            </m:e>
                            <m:e>
                              <m:sSub>
                                <m:sSubPr>
                                  <m:ctrlPr>
                                    <a:rPr lang="ru-RU" sz="180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</a:rPr>
                                    <m:t>𝑝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</a:rPr>
                                    <m:t>11</m:t>
                                  </m:r>
                                </m:sub>
                              </m:sSub>
                            </m:e>
                            <m:e>
                              <m:m>
                                <m:mPr>
                                  <m:mcs>
                                    <m:mc>
                                      <m:mcPr>
                                        <m:count m:val="3"/>
                                        <m:mcJc m:val="center"/>
                                      </m:mcPr>
                                    </m:mc>
                                  </m:mcs>
                                  <m:ctrlPr>
                                    <a:rPr lang="ru-RU" sz="1800" i="1">
                                      <a:latin typeface="Cambria Math" panose="02040503050406030204" pitchFamily="18" charset="0"/>
                                    </a:rPr>
                                  </m:ctrlPr>
                                </m:mPr>
                                <m:mr>
                                  <m:e>
                                    <m:sSub>
                                      <m:sSubPr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</a:rPr>
                                          <m:t>12</m:t>
                                        </m:r>
                                      </m:sub>
                                    </m:sSub>
                                  </m:e>
                                  <m:e>
                                    <m:sSub>
                                      <m:sSubPr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</a:rPr>
                                          <m:t>13</m:t>
                                        </m:r>
                                      </m:sub>
                                    </m:sSub>
                                  </m:e>
                                  <m:e>
                                    <m:sSub>
                                      <m:sSubPr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</a:rPr>
                                          <m:t>14</m:t>
                                        </m:r>
                                      </m:sub>
                                    </m:sSub>
                                  </m:e>
                                </m:mr>
                              </m:m>
                            </m:e>
                          </m:mr>
                          <m:mr>
                            <m:e>
                              <m:m>
                                <m:mPr>
                                  <m:mcs>
                                    <m:mc>
                                      <m:mcPr>
                                        <m:count m:val="1"/>
                                        <m:mcJc m:val="center"/>
                                      </m:mcPr>
                                    </m:mc>
                                  </m:mcs>
                                  <m:ctrlPr>
                                    <a:rPr lang="ru-RU" sz="1800" i="1">
                                      <a:latin typeface="Cambria Math" panose="02040503050406030204" pitchFamily="18" charset="0"/>
                                    </a:rPr>
                                  </m:ctrlPr>
                                </m:mPr>
                                <m:mr>
                                  <m:e>
                                    <m:sSub>
                                      <m:sSubPr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</a:rPr>
                                          <m:t>20</m:t>
                                        </m:r>
                                      </m:sub>
                                    </m:sSub>
                                  </m:e>
                                </m:mr>
                                <m:mr>
                                  <m:e>
                                    <m:m>
                                      <m:mPr>
                                        <m:mcs>
                                          <m:mc>
                                            <m:mcPr>
                                              <m:count m:val="1"/>
                                              <m:mcJc m:val="center"/>
                                            </m:mcPr>
                                          </m:mc>
                                        </m:mcs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mPr>
                                      <m:mr>
                                        <m:e>
                                          <m:sSub>
                                            <m:sSubPr>
                                              <m:ctrlPr>
                                                <a:rPr lang="ru-RU" sz="1800" i="1">
                                                  <a:latin typeface="Cambria Math" panose="02040503050406030204" pitchFamily="18" charset="0"/>
                                                </a:rPr>
                                              </m:ctrlPr>
                                            </m:sSubPr>
                                            <m:e>
                                              <m:r>
                                                <a:rPr lang="en-US" sz="1800" b="0" i="1">
                                                  <a:latin typeface="Cambria Math"/>
                                                </a:rPr>
                                                <m:t>𝑝</m:t>
                                              </m:r>
                                            </m:e>
                                            <m:sub>
                                              <m:r>
                                                <a:rPr lang="en-US" sz="1800" b="0" i="1">
                                                  <a:latin typeface="Cambria Math"/>
                                                </a:rPr>
                                                <m:t>30</m:t>
                                              </m:r>
                                            </m:sub>
                                          </m:sSub>
                                        </m:e>
                                      </m:mr>
                                      <m:mr>
                                        <m:e>
                                          <m:sSub>
                                            <m:sSubPr>
                                              <m:ctrlPr>
                                                <a:rPr lang="ru-RU" sz="1800" i="1">
                                                  <a:latin typeface="Cambria Math" panose="02040503050406030204" pitchFamily="18" charset="0"/>
                                                </a:rPr>
                                              </m:ctrlPr>
                                            </m:sSubPr>
                                            <m:e>
                                              <m:r>
                                                <a:rPr lang="en-US" sz="1800" b="0" i="1">
                                                  <a:latin typeface="Cambria Math"/>
                                                </a:rPr>
                                                <m:t>𝑝</m:t>
                                              </m:r>
                                            </m:e>
                                            <m:sub>
                                              <m:r>
                                                <a:rPr lang="en-US" sz="1800" b="0" i="1">
                                                  <a:latin typeface="Cambria Math"/>
                                                </a:rPr>
                                                <m:t>40</m:t>
                                              </m:r>
                                            </m:sub>
                                          </m:sSub>
                                        </m:e>
                                      </m:mr>
                                    </m:m>
                                  </m:e>
                                </m:mr>
                              </m:m>
                            </m:e>
                            <m:e>
                              <m:m>
                                <m:mPr>
                                  <m:mcs>
                                    <m:mc>
                                      <m:mcPr>
                                        <m:count m:val="1"/>
                                        <m:mcJc m:val="center"/>
                                      </m:mcPr>
                                    </m:mc>
                                  </m:mcs>
                                  <m:ctrlPr>
                                    <a:rPr lang="ru-RU" sz="1800" i="1">
                                      <a:latin typeface="Cambria Math" panose="02040503050406030204" pitchFamily="18" charset="0"/>
                                    </a:rPr>
                                  </m:ctrlPr>
                                </m:mPr>
                                <m:mr>
                                  <m:e>
                                    <m:sSub>
                                      <m:sSubPr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</a:rPr>
                                          <m:t>21</m:t>
                                        </m:r>
                                      </m:sub>
                                    </m:sSub>
                                  </m:e>
                                </m:mr>
                                <m:mr>
                                  <m:e>
                                    <m:m>
                                      <m:mPr>
                                        <m:mcs>
                                          <m:mc>
                                            <m:mcPr>
                                              <m:count m:val="1"/>
                                              <m:mcJc m:val="center"/>
                                            </m:mcPr>
                                          </m:mc>
                                        </m:mcs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mPr>
                                      <m:mr>
                                        <m:e>
                                          <m:sSub>
                                            <m:sSubPr>
                                              <m:ctrlPr>
                                                <a:rPr lang="ru-RU" sz="1800" i="1">
                                                  <a:latin typeface="Cambria Math" panose="02040503050406030204" pitchFamily="18" charset="0"/>
                                                </a:rPr>
                                              </m:ctrlPr>
                                            </m:sSubPr>
                                            <m:e>
                                              <m:r>
                                                <a:rPr lang="en-US" sz="1800" b="0" i="1">
                                                  <a:latin typeface="Cambria Math"/>
                                                </a:rPr>
                                                <m:t>𝑝</m:t>
                                              </m:r>
                                            </m:e>
                                            <m:sub>
                                              <m:r>
                                                <a:rPr lang="en-US" sz="1800" b="0" i="1">
                                                  <a:latin typeface="Cambria Math"/>
                                                </a:rPr>
                                                <m:t>31</m:t>
                                              </m:r>
                                            </m:sub>
                                          </m:sSub>
                                        </m:e>
                                      </m:mr>
                                      <m:mr>
                                        <m:e>
                                          <m:sSub>
                                            <m:sSubPr>
                                              <m:ctrlPr>
                                                <a:rPr lang="ru-RU" sz="1800" i="1">
                                                  <a:latin typeface="Cambria Math" panose="02040503050406030204" pitchFamily="18" charset="0"/>
                                                </a:rPr>
                                              </m:ctrlPr>
                                            </m:sSubPr>
                                            <m:e>
                                              <m:r>
                                                <a:rPr lang="en-US" sz="1800" b="0" i="1">
                                                  <a:latin typeface="Cambria Math"/>
                                                </a:rPr>
                                                <m:t>𝑝</m:t>
                                              </m:r>
                                            </m:e>
                                            <m:sub>
                                              <m:r>
                                                <a:rPr lang="en-US" sz="1800" b="0" i="1">
                                                  <a:latin typeface="Cambria Math"/>
                                                </a:rPr>
                                                <m:t>41</m:t>
                                              </m:r>
                                            </m:sub>
                                          </m:sSub>
                                        </m:e>
                                      </m:mr>
                                    </m:m>
                                  </m:e>
                                </m:mr>
                              </m:m>
                            </m:e>
                            <m:e>
                              <m:m>
                                <m:mPr>
                                  <m:mcs>
                                    <m:mc>
                                      <m:mcPr>
                                        <m:count m:val="1"/>
                                        <m:mcJc m:val="center"/>
                                      </m:mcPr>
                                    </m:mc>
                                  </m:mcs>
                                  <m:ctrlPr>
                                    <a:rPr lang="ru-RU" sz="1800" i="1">
                                      <a:latin typeface="Cambria Math" panose="02040503050406030204" pitchFamily="18" charset="0"/>
                                    </a:rPr>
                                  </m:ctrlPr>
                                </m:mPr>
                                <m:mr>
                                  <m:e>
                                    <m:m>
                                      <m:mPr>
                                        <m:mcs>
                                          <m:mc>
                                            <m:mcPr>
                                              <m:count m:val="3"/>
                                              <m:mcJc m:val="center"/>
                                            </m:mcPr>
                                          </m:mc>
                                        </m:mcs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mPr>
                                      <m:mr>
                                        <m:e>
                                          <m:sSub>
                                            <m:sSubPr>
                                              <m:ctrlPr>
                                                <a:rPr lang="ru-RU" sz="1800" i="1">
                                                  <a:latin typeface="Cambria Math" panose="02040503050406030204" pitchFamily="18" charset="0"/>
                                                </a:rPr>
                                              </m:ctrlPr>
                                            </m:sSubPr>
                                            <m:e>
                                              <m:r>
                                                <a:rPr lang="en-US" sz="1800" b="0" i="1">
                                                  <a:latin typeface="Cambria Math"/>
                                                </a:rPr>
                                                <m:t>𝑝</m:t>
                                              </m:r>
                                            </m:e>
                                            <m:sub>
                                              <m:r>
                                                <a:rPr lang="en-US" sz="1800" b="0" i="1">
                                                  <a:latin typeface="Cambria Math"/>
                                                </a:rPr>
                                                <m:t>22</m:t>
                                              </m:r>
                                            </m:sub>
                                          </m:sSub>
                                        </m:e>
                                        <m:e>
                                          <m:sSub>
                                            <m:sSubPr>
                                              <m:ctrlPr>
                                                <a:rPr lang="ru-RU" sz="1800" i="1">
                                                  <a:latin typeface="Cambria Math" panose="02040503050406030204" pitchFamily="18" charset="0"/>
                                                </a:rPr>
                                              </m:ctrlPr>
                                            </m:sSubPr>
                                            <m:e>
                                              <m:r>
                                                <a:rPr lang="en-US" sz="1800" b="0" i="1">
                                                  <a:latin typeface="Cambria Math"/>
                                                </a:rPr>
                                                <m:t>𝑝</m:t>
                                              </m:r>
                                            </m:e>
                                            <m:sub>
                                              <m:r>
                                                <a:rPr lang="en-US" sz="1800" b="0" i="1">
                                                  <a:latin typeface="Cambria Math"/>
                                                </a:rPr>
                                                <m:t>23</m:t>
                                              </m:r>
                                            </m:sub>
                                          </m:sSub>
                                        </m:e>
                                        <m:e>
                                          <m:sSub>
                                            <m:sSubPr>
                                              <m:ctrlPr>
                                                <a:rPr lang="ru-RU" sz="1800" i="1">
                                                  <a:latin typeface="Cambria Math" panose="02040503050406030204" pitchFamily="18" charset="0"/>
                                                </a:rPr>
                                              </m:ctrlPr>
                                            </m:sSubPr>
                                            <m:e>
                                              <m:r>
                                                <a:rPr lang="en-US" sz="1800" b="0" i="1">
                                                  <a:latin typeface="Cambria Math"/>
                                                </a:rPr>
                                                <m:t>𝑝</m:t>
                                              </m:r>
                                            </m:e>
                                            <m:sub>
                                              <m:r>
                                                <a:rPr lang="en-US" sz="1800" b="0" i="1">
                                                  <a:latin typeface="Cambria Math"/>
                                                </a:rPr>
                                                <m:t>24</m:t>
                                              </m:r>
                                            </m:sub>
                                          </m:sSub>
                                        </m:e>
                                      </m:mr>
                                    </m:m>
                                  </m:e>
                                </m:mr>
                                <m:mr>
                                  <m:e>
                                    <m:m>
                                      <m:mPr>
                                        <m:mcs>
                                          <m:mc>
                                            <m:mcPr>
                                              <m:count m:val="1"/>
                                              <m:mcJc m:val="center"/>
                                            </m:mcPr>
                                          </m:mc>
                                        </m:mcs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mPr>
                                      <m:mr>
                                        <m:e>
                                          <m:m>
                                            <m:mPr>
                                              <m:mcs>
                                                <m:mc>
                                                  <m:mcPr>
                                                    <m:count m:val="3"/>
                                                    <m:mcJc m:val="center"/>
                                                  </m:mcPr>
                                                </m:mc>
                                              </m:mcs>
                                              <m:ctrlPr>
                                                <a:rPr lang="ru-RU" sz="1800" i="1">
                                                  <a:latin typeface="Cambria Math" panose="02040503050406030204" pitchFamily="18" charset="0"/>
                                                </a:rPr>
                                              </m:ctrlPr>
                                            </m:mPr>
                                            <m:mr>
                                              <m:e>
                                                <m:sSub>
                                                  <m:sSubPr>
                                                    <m:ctrlPr>
                                                      <a:rPr lang="ru-RU" sz="1800" i="1">
                                                        <a:latin typeface="Cambria Math" panose="02040503050406030204" pitchFamily="18" charset="0"/>
                                                      </a:rPr>
                                                    </m:ctrlPr>
                                                  </m:sSubPr>
                                                  <m:e>
                                                    <m:r>
                                                      <a:rPr lang="en-US" sz="1800" b="0" i="1">
                                                        <a:latin typeface="Cambria Math"/>
                                                      </a:rPr>
                                                      <m:t>𝑝</m:t>
                                                    </m:r>
                                                  </m:e>
                                                  <m:sub>
                                                    <m:r>
                                                      <a:rPr lang="en-US" sz="1800" b="0" i="1">
                                                        <a:latin typeface="Cambria Math"/>
                                                      </a:rPr>
                                                      <m:t>32</m:t>
                                                    </m:r>
                                                  </m:sub>
                                                </m:sSub>
                                              </m:e>
                                              <m:e>
                                                <m:sSub>
                                                  <m:sSubPr>
                                                    <m:ctrlPr>
                                                      <a:rPr lang="ru-RU" sz="1800" i="1">
                                                        <a:latin typeface="Cambria Math" panose="02040503050406030204" pitchFamily="18" charset="0"/>
                                                      </a:rPr>
                                                    </m:ctrlPr>
                                                  </m:sSubPr>
                                                  <m:e>
                                                    <m:r>
                                                      <a:rPr lang="en-US" sz="1800" b="0" i="1">
                                                        <a:latin typeface="Cambria Math"/>
                                                      </a:rPr>
                                                      <m:t>𝑝</m:t>
                                                    </m:r>
                                                  </m:e>
                                                  <m:sub>
                                                    <m:r>
                                                      <a:rPr lang="en-US" sz="1800" b="0" i="1">
                                                        <a:latin typeface="Cambria Math"/>
                                                      </a:rPr>
                                                      <m:t>33</m:t>
                                                    </m:r>
                                                  </m:sub>
                                                </m:sSub>
                                              </m:e>
                                              <m:e>
                                                <m:sSub>
                                                  <m:sSubPr>
                                                    <m:ctrlPr>
                                                      <a:rPr lang="ru-RU" sz="1800" i="1">
                                                        <a:latin typeface="Cambria Math" panose="02040503050406030204" pitchFamily="18" charset="0"/>
                                                      </a:rPr>
                                                    </m:ctrlPr>
                                                  </m:sSubPr>
                                                  <m:e>
                                                    <m:r>
                                                      <a:rPr lang="en-US" sz="1800" b="0" i="1">
                                                        <a:latin typeface="Cambria Math"/>
                                                      </a:rPr>
                                                      <m:t>𝑝</m:t>
                                                    </m:r>
                                                  </m:e>
                                                  <m:sub>
                                                    <m:r>
                                                      <a:rPr lang="en-US" sz="1800" b="0" i="1">
                                                        <a:latin typeface="Cambria Math"/>
                                                      </a:rPr>
                                                      <m:t>34</m:t>
                                                    </m:r>
                                                  </m:sub>
                                                </m:sSub>
                                              </m:e>
                                            </m:mr>
                                          </m:m>
                                        </m:e>
                                      </m:mr>
                                      <m:mr>
                                        <m:e>
                                          <m:m>
                                            <m:mPr>
                                              <m:mcs>
                                                <m:mc>
                                                  <m:mcPr>
                                                    <m:count m:val="3"/>
                                                    <m:mcJc m:val="center"/>
                                                  </m:mcPr>
                                                </m:mc>
                                              </m:mcs>
                                              <m:ctrlPr>
                                                <a:rPr lang="ru-RU" sz="1800" i="1">
                                                  <a:latin typeface="Cambria Math" panose="02040503050406030204" pitchFamily="18" charset="0"/>
                                                </a:rPr>
                                              </m:ctrlPr>
                                            </m:mPr>
                                            <m:mr>
                                              <m:e>
                                                <m:sSub>
                                                  <m:sSubPr>
                                                    <m:ctrlPr>
                                                      <a:rPr lang="ru-RU" sz="1800" i="1">
                                                        <a:latin typeface="Cambria Math" panose="02040503050406030204" pitchFamily="18" charset="0"/>
                                                      </a:rPr>
                                                    </m:ctrlPr>
                                                  </m:sSubPr>
                                                  <m:e>
                                                    <m:r>
                                                      <a:rPr lang="en-US" sz="1800" b="0" i="1">
                                                        <a:latin typeface="Cambria Math"/>
                                                      </a:rPr>
                                                      <m:t>𝑝</m:t>
                                                    </m:r>
                                                  </m:e>
                                                  <m:sub>
                                                    <m:r>
                                                      <a:rPr lang="en-US" sz="1800" b="0" i="1">
                                                        <a:latin typeface="Cambria Math"/>
                                                      </a:rPr>
                                                      <m:t>42</m:t>
                                                    </m:r>
                                                  </m:sub>
                                                </m:sSub>
                                              </m:e>
                                              <m:e>
                                                <m:sSub>
                                                  <m:sSubPr>
                                                    <m:ctrlPr>
                                                      <a:rPr lang="ru-RU" sz="1800" i="1">
                                                        <a:latin typeface="Cambria Math" panose="02040503050406030204" pitchFamily="18" charset="0"/>
                                                      </a:rPr>
                                                    </m:ctrlPr>
                                                  </m:sSubPr>
                                                  <m:e>
                                                    <m:r>
                                                      <a:rPr lang="en-US" sz="1800" b="0" i="1">
                                                        <a:latin typeface="Cambria Math"/>
                                                      </a:rPr>
                                                      <m:t>𝑝</m:t>
                                                    </m:r>
                                                  </m:e>
                                                  <m:sub>
                                                    <m:r>
                                                      <a:rPr lang="en-US" sz="1800" b="0" i="1">
                                                        <a:latin typeface="Cambria Math"/>
                                                      </a:rPr>
                                                      <m:t>43</m:t>
                                                    </m:r>
                                                  </m:sub>
                                                </m:sSub>
                                              </m:e>
                                              <m:e>
                                                <m:sSub>
                                                  <m:sSubPr>
                                                    <m:ctrlPr>
                                                      <a:rPr lang="ru-RU" sz="1800" i="1">
                                                        <a:latin typeface="Cambria Math" panose="02040503050406030204" pitchFamily="18" charset="0"/>
                                                      </a:rPr>
                                                    </m:ctrlPr>
                                                  </m:sSubPr>
                                                  <m:e>
                                                    <m:r>
                                                      <a:rPr lang="en-US" sz="1800" b="0" i="1">
                                                        <a:latin typeface="Cambria Math"/>
                                                      </a:rPr>
                                                      <m:t>𝑝</m:t>
                                                    </m:r>
                                                  </m:e>
                                                  <m:sub>
                                                    <m:r>
                                                      <a:rPr lang="en-US" sz="1800" b="0" i="1">
                                                        <a:latin typeface="Cambria Math"/>
                                                      </a:rPr>
                                                      <m:t>44</m:t>
                                                    </m:r>
                                                  </m:sub>
                                                </m:sSub>
                                              </m:e>
                                            </m:mr>
                                          </m:m>
                                        </m:e>
                                      </m:mr>
                                    </m:m>
                                  </m:e>
                                </m:mr>
                              </m:m>
                            </m:e>
                          </m:mr>
                        </m:m>
                      </m:e>
                    </m:d>
                    <m:groupChr>
                      <m:groupChrPr>
                        <m:chr m:val="→"/>
                        <m:vertJc m:val="bot"/>
                        <m:ctrlPr>
                          <a:rPr lang="ru-RU" sz="1800" i="1">
                            <a:latin typeface="Cambria Math" panose="02040503050406030204" pitchFamily="18" charset="0"/>
                          </a:rPr>
                        </m:ctrlPr>
                      </m:groupChrPr>
                      <m:e>
                        <m:r>
                          <m:rPr>
                            <m:brk m:alnAt="2"/>
                          </m:rPr>
                          <a:rPr lang="ru-RU" sz="1800" i="1">
                            <a:latin typeface="Cambria Math"/>
                            <a:ea typeface="Cambria Math"/>
                          </a:rPr>
                          <m:t>×</m:t>
                        </m:r>
                        <m:r>
                          <a:rPr lang="ru-RU" sz="1800" b="0" i="1">
                            <a:latin typeface="Cambria Math"/>
                            <a:ea typeface="Cambria Math"/>
                          </a:rPr>
                          <m:t>поэлементно на</m:t>
                        </m:r>
                      </m:e>
                    </m:groupChr>
                    <m:d>
                      <m:dPr>
                        <m:begChr m:val="["/>
                        <m:endChr m:val="]"/>
                        <m:ctrlPr>
                          <a:rPr lang="ru-RU" sz="180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ru-RU" sz="180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mPr>
                          <m:mr>
                            <m:e>
                              <m:sSub>
                                <m:sSubPr>
                                  <m:ctrlPr>
                                    <a:rPr lang="ru-RU" sz="180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𝑃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0</m:t>
                                  </m:r>
                                </m:sub>
                              </m:sSub>
                            </m:e>
                          </m:mr>
                          <m:mr>
                            <m:e>
                              <m:sSub>
                                <m:sSubPr>
                                  <m:ctrlPr>
                                    <a:rPr lang="ru-RU" sz="180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𝑃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1</m:t>
                                  </m:r>
                                </m:sub>
                              </m:sSub>
                            </m:e>
                          </m:mr>
                          <m:mr>
                            <m:e>
                              <m:m>
                                <m:mPr>
                                  <m:mcs>
                                    <m:mc>
                                      <m:mcPr>
                                        <m:count m:val="1"/>
                                        <m:mcJc m:val="center"/>
                                      </m:mcPr>
                                    </m:mc>
                                  </m:mcs>
                                  <m:ctrlPr>
                                    <a:rPr lang="ru-RU" sz="180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mPr>
                                <m:mr>
                                  <m:e>
                                    <m:sSub>
                                      <m:sSubPr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e>
                                </m:mr>
                                <m:mr>
                                  <m:e>
                                    <m:sSub>
                                      <m:sSubPr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3</m:t>
                                        </m:r>
                                      </m:sub>
                                    </m:sSub>
                                  </m:e>
                                </m:mr>
                                <m:mr>
                                  <m:e>
                                    <m:sSub>
                                      <m:sSubPr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4</m:t>
                                        </m:r>
                                      </m:sub>
                                    </m:sSub>
                                  </m:e>
                                </m:mr>
                              </m:m>
                            </m:e>
                          </m:mr>
                        </m:m>
                      </m:e>
                    </m:d>
                    <m:groupChr>
                      <m:groupChrPr>
                        <m:chr m:val="→"/>
                        <m:vertJc m:val="bot"/>
                        <m:ctrlPr>
                          <a:rPr lang="ru-RU" sz="180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groupChrPr>
                      <m:e>
                        <m:r>
                          <m:rPr>
                            <m:brk m:alnAt="2"/>
                          </m:rPr>
                          <a:rPr lang="ru-RU" sz="1800" b="0" i="1">
                            <a:latin typeface="Cambria Math"/>
                            <a:ea typeface="Cambria Math"/>
                          </a:rPr>
                          <m:t>р</m:t>
                        </m:r>
                        <m:r>
                          <a:rPr lang="ru-RU" sz="1800" b="0" i="1">
                            <a:latin typeface="Cambria Math"/>
                            <a:ea typeface="Cambria Math"/>
                          </a:rPr>
                          <m:t>езультат</m:t>
                        </m:r>
                      </m:e>
                    </m:groupChr>
                    <m:d>
                      <m:dPr>
                        <m:begChr m:val="["/>
                        <m:endChr m:val="]"/>
                        <m:ctrlPr>
                          <a:rPr lang="ru-RU" sz="180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ru-RU" sz="180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mPr>
                          <m:mr>
                            <m:e>
                              <m:sSub>
                                <m:sSubPr>
                                  <m:ctrlPr>
                                    <a:rPr lang="ru-RU" sz="180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𝑝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00</m:t>
                                  </m:r>
                                </m:sub>
                              </m:sSub>
                              <m:sSub>
                                <m:sSubPr>
                                  <m:ctrlPr>
                                    <a:rPr lang="ru-RU" sz="180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𝑃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0</m:t>
                                  </m:r>
                                </m:sub>
                              </m:sSub>
                              <m:r>
                                <m:rPr>
                                  <m:brk m:alnAt="7"/>
                                </m:rPr>
                                <a:rPr lang="ru-RU" sz="1800" b="0" i="1">
                                  <a:latin typeface="Cambria Math"/>
                                  <a:ea typeface="Cambria Math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ru-RU" sz="1800" b="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𝑝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01</m:t>
                                  </m:r>
                                </m:sub>
                              </m:sSub>
                              <m:sSub>
                                <m:sSubPr>
                                  <m:ctrlPr>
                                    <a:rPr lang="ru-RU" sz="1800" b="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𝑃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1</m:t>
                                  </m:r>
                                </m:sub>
                              </m:sSub>
                              <m:r>
                                <m:rPr>
                                  <m:brk m:alnAt="7"/>
                                </m:rPr>
                                <a:rPr lang="ru-RU" sz="1800" b="0" i="1">
                                  <a:latin typeface="Cambria Math"/>
                                  <a:ea typeface="Cambria Math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ru-RU" sz="1800" b="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𝑝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02</m:t>
                                  </m:r>
                                </m:sub>
                              </m:sSub>
                              <m:sSub>
                                <m:sSubPr>
                                  <m:ctrlPr>
                                    <a:rPr lang="ru-RU" sz="1800" b="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𝑃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2</m:t>
                                  </m:r>
                                </m:sub>
                              </m:sSub>
                              <m:r>
                                <m:rPr>
                                  <m:brk m:alnAt="7"/>
                                </m:rPr>
                                <a:rPr lang="ru-RU" sz="1800" b="0" i="1">
                                  <a:latin typeface="Cambria Math"/>
                                  <a:ea typeface="Cambria Math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ru-RU" sz="1800" b="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𝑝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03</m:t>
                                  </m:r>
                                </m:sub>
                              </m:sSub>
                              <m:sSub>
                                <m:sSubPr>
                                  <m:ctrlPr>
                                    <a:rPr lang="ru-RU" sz="1800" b="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𝑃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3</m:t>
                                  </m:r>
                                </m:sub>
                              </m:sSub>
                              <m:r>
                                <m:rPr>
                                  <m:brk m:alnAt="7"/>
                                </m:rPr>
                                <a:rPr lang="ru-RU" sz="1800" b="0" i="1">
                                  <a:latin typeface="Cambria Math"/>
                                  <a:ea typeface="Cambria Math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ru-RU" sz="1800" b="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𝑝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04</m:t>
                                  </m:r>
                                </m:sub>
                              </m:sSub>
                              <m:sSub>
                                <m:sSubPr>
                                  <m:ctrlPr>
                                    <a:rPr lang="ru-RU" sz="1800" b="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𝑃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4</m:t>
                                  </m:r>
                                </m:sub>
                              </m:sSub>
                            </m:e>
                          </m:mr>
                          <m:mr>
                            <m:e>
                              <m:sSub>
                                <m:sSubPr>
                                  <m:ctrlPr>
                                    <a:rPr lang="ru-RU" sz="180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𝑝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10</m:t>
                                  </m:r>
                                </m:sub>
                              </m:sSub>
                              <m:sSub>
                                <m:sSubPr>
                                  <m:ctrlPr>
                                    <a:rPr lang="ru-RU" sz="180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𝑃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0</m:t>
                                  </m:r>
                                </m:sub>
                              </m:sSub>
                              <m:r>
                                <a:rPr lang="ru-RU" sz="1800" b="0" i="1">
                                  <a:latin typeface="Cambria Math"/>
                                  <a:ea typeface="Cambria Math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ru-RU" sz="1800" b="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𝑝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11</m:t>
                                  </m:r>
                                </m:sub>
                              </m:sSub>
                              <m:sSub>
                                <m:sSubPr>
                                  <m:ctrlPr>
                                    <a:rPr lang="ru-RU" sz="1800" b="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𝑃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1</m:t>
                                  </m:r>
                                </m:sub>
                              </m:sSub>
                              <m:r>
                                <a:rPr lang="ru-RU" sz="1800" b="0" i="1">
                                  <a:latin typeface="Cambria Math"/>
                                  <a:ea typeface="Cambria Math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ru-RU" sz="1800" b="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𝑝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12</m:t>
                                  </m:r>
                                </m:sub>
                              </m:sSub>
                              <m:sSub>
                                <m:sSubPr>
                                  <m:ctrlPr>
                                    <a:rPr lang="ru-RU" sz="1800" b="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𝑃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2</m:t>
                                  </m:r>
                                </m:sub>
                              </m:sSub>
                              <m:r>
                                <a:rPr lang="ru-RU" sz="1800" b="0" i="1">
                                  <a:latin typeface="Cambria Math"/>
                                  <a:ea typeface="Cambria Math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ru-RU" sz="1800" b="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𝑝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13</m:t>
                                  </m:r>
                                </m:sub>
                              </m:sSub>
                              <m:sSub>
                                <m:sSubPr>
                                  <m:ctrlPr>
                                    <a:rPr lang="ru-RU" sz="1800" b="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𝑃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3</m:t>
                                  </m:r>
                                </m:sub>
                              </m:sSub>
                              <m:r>
                                <a:rPr lang="ru-RU" sz="1800" b="0" i="1">
                                  <a:latin typeface="Cambria Math"/>
                                  <a:ea typeface="Cambria Math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ru-RU" sz="1800" b="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𝑝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14</m:t>
                                  </m:r>
                                </m:sub>
                              </m:sSub>
                              <m:sSub>
                                <m:sSubPr>
                                  <m:ctrlPr>
                                    <a:rPr lang="ru-RU" sz="1800" b="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sSubPr>
                                <m:e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𝑃</m:t>
                                  </m:r>
                                </m:e>
                                <m:sub>
                                  <m:r>
                                    <a:rPr lang="en-US" sz="1800" b="0" i="1">
                                      <a:latin typeface="Cambria Math"/>
                                      <a:ea typeface="Cambria Math"/>
                                    </a:rPr>
                                    <m:t>4</m:t>
                                  </m:r>
                                </m:sub>
                              </m:sSub>
                            </m:e>
                          </m:mr>
                          <m:mr>
                            <m:e>
                              <m:m>
                                <m:mPr>
                                  <m:mcs>
                                    <m:mc>
                                      <m:mcPr>
                                        <m:count m:val="1"/>
                                        <m:mcJc m:val="center"/>
                                      </m:mcPr>
                                    </m:mc>
                                  </m:mcs>
                                  <m:ctrlPr>
                                    <a:rPr lang="ru-RU" sz="1800" i="1">
                                      <a:latin typeface="Cambria Math" panose="02040503050406030204" pitchFamily="18" charset="0"/>
                                      <a:ea typeface="Cambria Math"/>
                                    </a:rPr>
                                  </m:ctrlPr>
                                </m:mPr>
                                <m:mr>
                                  <m:e>
                                    <m:sSub>
                                      <m:sSubPr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20</m:t>
                                        </m:r>
                                      </m:sub>
                                    </m:sSub>
                                    <m:sSub>
                                      <m:sSubPr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0</m:t>
                                        </m:r>
                                      </m:sub>
                                    </m:sSub>
                                    <m:r>
                                      <m:rPr>
                                        <m:brk m:alnAt="7"/>
                                      </m:rPr>
                                      <a:rPr lang="ru-RU" sz="1800" b="0" i="1">
                                        <a:latin typeface="Cambria Math"/>
                                        <a:ea typeface="Cambria Math"/>
                                      </a:rPr>
                                      <m:t>+</m:t>
                                    </m:r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21</m:t>
                                        </m:r>
                                      </m:sub>
                                    </m:sSub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  <m:r>
                                      <m:rPr>
                                        <m:brk m:alnAt="7"/>
                                      </m:rPr>
                                      <a:rPr lang="ru-RU" sz="1800" b="0" i="1">
                                        <a:latin typeface="Cambria Math"/>
                                        <a:ea typeface="Cambria Math"/>
                                      </a:rPr>
                                      <m:t>+</m:t>
                                    </m:r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22</m:t>
                                        </m:r>
                                      </m:sub>
                                    </m:sSub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  <m:r>
                                      <m:rPr>
                                        <m:brk m:alnAt="7"/>
                                      </m:rPr>
                                      <a:rPr lang="ru-RU" sz="1800" b="0" i="1">
                                        <a:latin typeface="Cambria Math"/>
                                        <a:ea typeface="Cambria Math"/>
                                      </a:rPr>
                                      <m:t>+</m:t>
                                    </m:r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23</m:t>
                                        </m:r>
                                      </m:sub>
                                    </m:sSub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3</m:t>
                                        </m:r>
                                      </m:sub>
                                    </m:sSub>
                                    <m:r>
                                      <m:rPr>
                                        <m:brk m:alnAt="7"/>
                                      </m:rPr>
                                      <a:rPr lang="ru-RU" sz="1800" b="0" i="1">
                                        <a:latin typeface="Cambria Math"/>
                                        <a:ea typeface="Cambria Math"/>
                                      </a:rPr>
                                      <m:t>+</m:t>
                                    </m:r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24</m:t>
                                        </m:r>
                                      </m:sub>
                                    </m:sSub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4</m:t>
                                        </m:r>
                                      </m:sub>
                                    </m:sSub>
                                  </m:e>
                                </m:mr>
                                <m:mr>
                                  <m:e>
                                    <m:sSub>
                                      <m:sSubPr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30</m:t>
                                        </m:r>
                                      </m:sub>
                                    </m:sSub>
                                    <m:sSub>
                                      <m:sSubPr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0</m:t>
                                        </m:r>
                                      </m:sub>
                                    </m:sSub>
                                    <m:r>
                                      <a:rPr lang="ru-RU" sz="1800" b="0" i="1">
                                        <a:latin typeface="Cambria Math"/>
                                        <a:ea typeface="Cambria Math"/>
                                      </a:rPr>
                                      <m:t>+</m:t>
                                    </m:r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31</m:t>
                                        </m:r>
                                      </m:sub>
                                    </m:sSub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  <m:r>
                                      <a:rPr lang="ru-RU" sz="1800" b="0" i="1">
                                        <a:latin typeface="Cambria Math"/>
                                        <a:ea typeface="Cambria Math"/>
                                      </a:rPr>
                                      <m:t>+</m:t>
                                    </m:r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32</m:t>
                                        </m:r>
                                      </m:sub>
                                    </m:sSub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  <m:r>
                                      <a:rPr lang="ru-RU" sz="1800" b="0" i="1">
                                        <a:latin typeface="Cambria Math"/>
                                        <a:ea typeface="Cambria Math"/>
                                      </a:rPr>
                                      <m:t>+</m:t>
                                    </m:r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33</m:t>
                                        </m:r>
                                      </m:sub>
                                    </m:sSub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3</m:t>
                                        </m:r>
                                      </m:sub>
                                    </m:sSub>
                                    <m:r>
                                      <a:rPr lang="ru-RU" sz="1800" b="0" i="1">
                                        <a:latin typeface="Cambria Math"/>
                                        <a:ea typeface="Cambria Math"/>
                                      </a:rPr>
                                      <m:t>+</m:t>
                                    </m:r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34</m:t>
                                        </m:r>
                                      </m:sub>
                                    </m:sSub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4</m:t>
                                        </m:r>
                                      </m:sub>
                                    </m:sSub>
                                  </m:e>
                                </m:mr>
                                <m:mr>
                                  <m:e>
                                    <m:sSub>
                                      <m:sSubPr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40</m:t>
                                        </m:r>
                                      </m:sub>
                                    </m:sSub>
                                    <m:sSub>
                                      <m:sSubPr>
                                        <m:ctrlPr>
                                          <a:rPr lang="ru-RU" sz="180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0</m:t>
                                        </m:r>
                                      </m:sub>
                                    </m:sSub>
                                    <m:r>
                                      <a:rPr lang="ru-RU" sz="1800" b="0" i="1">
                                        <a:latin typeface="Cambria Math"/>
                                        <a:ea typeface="Cambria Math"/>
                                      </a:rPr>
                                      <m:t>+</m:t>
                                    </m:r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41</m:t>
                                        </m:r>
                                      </m:sub>
                                    </m:sSub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  <m:r>
                                      <a:rPr lang="ru-RU" sz="1800" b="0" i="1">
                                        <a:latin typeface="Cambria Math"/>
                                        <a:ea typeface="Cambria Math"/>
                                      </a:rPr>
                                      <m:t>+</m:t>
                                    </m:r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42</m:t>
                                        </m:r>
                                      </m:sub>
                                    </m:sSub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  <m:r>
                                      <a:rPr lang="ru-RU" sz="1800" b="0" i="1">
                                        <a:latin typeface="Cambria Math"/>
                                        <a:ea typeface="Cambria Math"/>
                                      </a:rPr>
                                      <m:t>+</m:t>
                                    </m:r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43</m:t>
                                        </m:r>
                                      </m:sub>
                                    </m:sSub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3</m:t>
                                        </m:r>
                                      </m:sub>
                                    </m:sSub>
                                    <m:r>
                                      <a:rPr lang="ru-RU" sz="1800" b="0" i="1">
                                        <a:latin typeface="Cambria Math"/>
                                        <a:ea typeface="Cambria Math"/>
                                      </a:rPr>
                                      <m:t>+</m:t>
                                    </m:r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𝑝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44</m:t>
                                        </m:r>
                                      </m:sub>
                                    </m:sSub>
                                    <m:sSub>
                                      <m:sSubPr>
                                        <m:ctrlPr>
                                          <a:rPr lang="ru-RU" sz="1800" b="0" i="1">
                                            <a:latin typeface="Cambria Math" panose="02040503050406030204" pitchFamily="18" charset="0"/>
                                            <a:ea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𝑃</m:t>
                                        </m:r>
                                      </m:e>
                                      <m:sub>
                                        <m:r>
                                          <a:rPr lang="en-US" sz="1800" b="0" i="1">
                                            <a:latin typeface="Cambria Math"/>
                                            <a:ea typeface="Cambria Math"/>
                                          </a:rPr>
                                          <m:t>4</m:t>
                                        </m:r>
                                      </m:sub>
                                    </m:sSub>
                                  </m:e>
                                </m:mr>
                              </m:m>
                            </m:e>
                          </m:mr>
                        </m:m>
                      </m:e>
                    </m:d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825873" y="1208554"/>
              <a:ext cx="9808509" cy="16287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ru-RU" sz="1800" i="0">
                  <a:latin typeface="Cambria Math"/>
                </a:rPr>
                <a:t>[■8(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00</a:t>
              </a:r>
              <a:r>
                <a:rPr lang="ru-RU" sz="1800" b="0" i="0">
                  <a:latin typeface="Cambria Math"/>
                </a:rPr>
                <a:t>&amp;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01</a:t>
              </a:r>
              <a:r>
                <a:rPr lang="ru-RU" sz="1800" b="0" i="0">
                  <a:latin typeface="Cambria Math"/>
                </a:rPr>
                <a:t>&amp;■8(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02</a:t>
              </a:r>
              <a:r>
                <a:rPr lang="ru-RU" sz="1800" b="0" i="0">
                  <a:latin typeface="Cambria Math"/>
                </a:rPr>
                <a:t>&amp;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03</a:t>
              </a:r>
              <a:r>
                <a:rPr lang="ru-RU" sz="1800" b="0" i="0">
                  <a:latin typeface="Cambria Math"/>
                </a:rPr>
                <a:t>&amp;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04</a:t>
              </a:r>
              <a:r>
                <a:rPr lang="ru-RU" sz="1800" b="0" i="0">
                  <a:latin typeface="Cambria Math"/>
                </a:rPr>
                <a:t> )@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10</a:t>
              </a:r>
              <a:r>
                <a:rPr lang="ru-RU" sz="1800" b="0" i="0">
                  <a:latin typeface="Cambria Math"/>
                </a:rPr>
                <a:t>&amp;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11</a:t>
              </a:r>
              <a:r>
                <a:rPr lang="ru-RU" sz="1800" b="0" i="0">
                  <a:latin typeface="Cambria Math"/>
                </a:rPr>
                <a:t>&amp;■8(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12</a:t>
              </a:r>
              <a:r>
                <a:rPr lang="ru-RU" sz="1800" b="0" i="0">
                  <a:latin typeface="Cambria Math"/>
                </a:rPr>
                <a:t>&amp;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13</a:t>
              </a:r>
              <a:r>
                <a:rPr lang="ru-RU" sz="1800" b="0" i="0">
                  <a:latin typeface="Cambria Math"/>
                </a:rPr>
                <a:t>&amp;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14</a:t>
              </a:r>
              <a:r>
                <a:rPr lang="ru-RU" sz="1800" b="0" i="0">
                  <a:latin typeface="Cambria Math"/>
                </a:rPr>
                <a:t> )@■8(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20</a:t>
              </a:r>
              <a:r>
                <a:rPr lang="ru-RU" sz="1800" b="0" i="0">
                  <a:latin typeface="Cambria Math"/>
                </a:rPr>
                <a:t>@■8(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30</a:t>
              </a:r>
              <a:r>
                <a:rPr lang="ru-RU" sz="1800" b="0" i="0">
                  <a:latin typeface="Cambria Math"/>
                </a:rPr>
                <a:t>@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40</a:t>
              </a:r>
              <a:r>
                <a:rPr lang="ru-RU" sz="1800" b="0" i="0">
                  <a:latin typeface="Cambria Math"/>
                </a:rPr>
                <a:t> ))&amp;■8(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21</a:t>
              </a:r>
              <a:r>
                <a:rPr lang="ru-RU" sz="1800" b="0" i="0">
                  <a:latin typeface="Cambria Math"/>
                </a:rPr>
                <a:t>@■8(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31</a:t>
              </a:r>
              <a:r>
                <a:rPr lang="ru-RU" sz="1800" b="0" i="0">
                  <a:latin typeface="Cambria Math"/>
                </a:rPr>
                <a:t>@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41</a:t>
              </a:r>
              <a:r>
                <a:rPr lang="ru-RU" sz="1800" b="0" i="0">
                  <a:latin typeface="Cambria Math"/>
                </a:rPr>
                <a:t> ))&amp;■8(■8(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22</a:t>
              </a:r>
              <a:r>
                <a:rPr lang="ru-RU" sz="1800" b="0" i="0">
                  <a:latin typeface="Cambria Math"/>
                </a:rPr>
                <a:t>&amp;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23</a:t>
              </a:r>
              <a:r>
                <a:rPr lang="ru-RU" sz="1800" b="0" i="0">
                  <a:latin typeface="Cambria Math"/>
                </a:rPr>
                <a:t>&amp;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24</a:t>
              </a:r>
              <a:r>
                <a:rPr lang="ru-RU" sz="1800" b="0" i="0">
                  <a:latin typeface="Cambria Math"/>
                </a:rPr>
                <a:t> )@■8(■8(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32</a:t>
              </a:r>
              <a:r>
                <a:rPr lang="ru-RU" sz="1800" b="0" i="0">
                  <a:latin typeface="Cambria Math"/>
                </a:rPr>
                <a:t>&amp;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33</a:t>
              </a:r>
              <a:r>
                <a:rPr lang="ru-RU" sz="1800" b="0" i="0">
                  <a:latin typeface="Cambria Math"/>
                </a:rPr>
                <a:t>&amp;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34</a:t>
              </a:r>
              <a:r>
                <a:rPr lang="ru-RU" sz="1800" b="0" i="0">
                  <a:latin typeface="Cambria Math"/>
                </a:rPr>
                <a:t> )@■8(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42</a:t>
              </a:r>
              <a:r>
                <a:rPr lang="ru-RU" sz="1800" b="0" i="0">
                  <a:latin typeface="Cambria Math"/>
                </a:rPr>
                <a:t>&amp;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43</a:t>
              </a:r>
              <a:r>
                <a:rPr lang="ru-RU" sz="1800" b="0" i="0">
                  <a:latin typeface="Cambria Math"/>
                </a:rPr>
                <a:t>&amp;</a:t>
              </a:r>
              <a:r>
                <a:rPr lang="en-US" sz="1800" b="0" i="0">
                  <a:latin typeface="Cambria Math"/>
                </a:rPr>
                <a:t>𝑝</a:t>
              </a:r>
              <a:r>
                <a:rPr lang="ru-RU" sz="1800" b="0" i="0">
                  <a:latin typeface="Cambria Math"/>
                </a:rPr>
                <a:t>_</a:t>
              </a:r>
              <a:r>
                <a:rPr lang="en-US" sz="1800" b="0" i="0">
                  <a:latin typeface="Cambria Math"/>
                </a:rPr>
                <a:t>44</a:t>
              </a:r>
              <a:r>
                <a:rPr lang="ru-RU" sz="1800" b="0" i="0">
                  <a:latin typeface="Cambria Math"/>
                </a:rPr>
                <a:t> ))))] </a:t>
              </a:r>
              <a:r>
                <a:rPr lang="ru-RU" sz="1800" i="0">
                  <a:latin typeface="Cambria Math"/>
                </a:rPr>
                <a:t>→┴(</a:t>
              </a:r>
              <a:r>
                <a:rPr lang="ru-RU" sz="1800" i="0">
                  <a:latin typeface="Cambria Math"/>
                  <a:ea typeface="Cambria Math"/>
                </a:rPr>
                <a:t>×</a:t>
              </a:r>
              <a:r>
                <a:rPr lang="ru-RU" sz="1800" b="0" i="0">
                  <a:latin typeface="Cambria Math"/>
                  <a:ea typeface="Cambria Math"/>
                </a:rPr>
                <a:t>поэлементно на) </a:t>
              </a:r>
              <a:r>
                <a:rPr lang="ru-RU" sz="1800" i="0">
                  <a:latin typeface="Cambria Math"/>
                  <a:ea typeface="Cambria Math"/>
                </a:rPr>
                <a:t>[■8(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0</a:t>
              </a:r>
              <a:r>
                <a:rPr lang="ru-RU" sz="1800" b="0" i="0">
                  <a:latin typeface="Cambria Math"/>
                  <a:ea typeface="Cambria Math"/>
                </a:rPr>
                <a:t>@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1</a:t>
              </a:r>
              <a:r>
                <a:rPr lang="ru-RU" sz="1800" b="0" i="0">
                  <a:latin typeface="Cambria Math"/>
                  <a:ea typeface="Cambria Math"/>
                </a:rPr>
                <a:t>@■8(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2</a:t>
              </a:r>
              <a:r>
                <a:rPr lang="ru-RU" sz="1800" b="0" i="0">
                  <a:latin typeface="Cambria Math"/>
                  <a:ea typeface="Cambria Math"/>
                </a:rPr>
                <a:t>@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3</a:t>
              </a:r>
              <a:r>
                <a:rPr lang="ru-RU" sz="1800" b="0" i="0">
                  <a:latin typeface="Cambria Math"/>
                  <a:ea typeface="Cambria Math"/>
                </a:rPr>
                <a:t>@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4</a:t>
              </a:r>
              <a:r>
                <a:rPr lang="ru-RU" sz="1800" b="0" i="0">
                  <a:latin typeface="Cambria Math"/>
                  <a:ea typeface="Cambria Math"/>
                </a:rPr>
                <a:t> ))] </a:t>
              </a:r>
              <a:r>
                <a:rPr lang="ru-RU" sz="1800" i="0">
                  <a:latin typeface="Cambria Math"/>
                  <a:ea typeface="Cambria Math"/>
                </a:rPr>
                <a:t>→┴</a:t>
              </a:r>
              <a:r>
                <a:rPr lang="ru-RU" sz="1800" b="0" i="0">
                  <a:latin typeface="Cambria Math"/>
                  <a:ea typeface="Cambria Math"/>
                </a:rPr>
                <a:t>результат </a:t>
              </a:r>
              <a:r>
                <a:rPr lang="ru-RU" sz="1800" i="0">
                  <a:latin typeface="Cambria Math"/>
                  <a:ea typeface="Cambria Math"/>
                </a:rPr>
                <a:t>[■8(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00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0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01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1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02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2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03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3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04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4</a:t>
              </a:r>
              <a:r>
                <a:rPr lang="ru-RU" sz="1800" b="0" i="0">
                  <a:latin typeface="Cambria Math"/>
                  <a:ea typeface="Cambria Math"/>
                </a:rPr>
                <a:t>@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10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0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11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1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12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2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13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3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14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4</a:t>
              </a:r>
              <a:r>
                <a:rPr lang="ru-RU" sz="1800" b="0" i="0">
                  <a:latin typeface="Cambria Math"/>
                  <a:ea typeface="Cambria Math"/>
                </a:rPr>
                <a:t>@■8(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20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0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21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1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22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2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23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3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24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4</a:t>
              </a:r>
              <a:r>
                <a:rPr lang="ru-RU" sz="1800" b="0" i="0">
                  <a:latin typeface="Cambria Math"/>
                  <a:ea typeface="Cambria Math"/>
                </a:rPr>
                <a:t>@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30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0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31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1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32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2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33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3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34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4</a:t>
              </a:r>
              <a:r>
                <a:rPr lang="ru-RU" sz="1800" b="0" i="0">
                  <a:latin typeface="Cambria Math"/>
                  <a:ea typeface="Cambria Math"/>
                </a:rPr>
                <a:t>@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40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0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41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1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42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2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43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3</a:t>
              </a:r>
              <a:r>
                <a:rPr lang="ru-RU" sz="1800" b="0" i="0">
                  <a:latin typeface="Cambria Math"/>
                  <a:ea typeface="Cambria Math"/>
                </a:rPr>
                <a:t>+</a:t>
              </a:r>
              <a:r>
                <a:rPr lang="en-US" sz="1800" b="0" i="0">
                  <a:latin typeface="Cambria Math"/>
                  <a:ea typeface="Cambria Math"/>
                </a:rPr>
                <a:t>𝑝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44</a:t>
              </a:r>
              <a:r>
                <a:rPr lang="ru-RU" sz="1800" b="0" i="0">
                  <a:latin typeface="Cambria Math"/>
                  <a:ea typeface="Cambria Math"/>
                </a:rPr>
                <a:t> </a:t>
              </a:r>
              <a:r>
                <a:rPr lang="en-US" sz="1800" b="0" i="0">
                  <a:latin typeface="Cambria Math"/>
                  <a:ea typeface="Cambria Math"/>
                </a:rPr>
                <a:t>𝑃</a:t>
              </a:r>
              <a:r>
                <a:rPr lang="ru-RU" sz="1800" b="0" i="0">
                  <a:latin typeface="Cambria Math"/>
                  <a:ea typeface="Cambria Math"/>
                </a:rPr>
                <a:t>_</a:t>
              </a:r>
              <a:r>
                <a:rPr lang="en-US" sz="1800" b="0" i="0">
                  <a:latin typeface="Cambria Math"/>
                  <a:ea typeface="Cambria Math"/>
                </a:rPr>
                <a:t>4</a:t>
              </a:r>
              <a:r>
                <a:rPr lang="ru-RU" sz="1800" b="0" i="0">
                  <a:latin typeface="Cambria Math"/>
                  <a:ea typeface="Cambria Math"/>
                </a:rPr>
                <a:t> ))]</a:t>
              </a:r>
              <a:endParaRPr lang="ru-RU" sz="1800"/>
            </a:p>
          </xdr:txBody>
        </xdr:sp>
      </mc:Fallback>
    </mc:AlternateContent>
    <xdr:clientData/>
  </xdr:oneCellAnchor>
  <xdr:twoCellAnchor>
    <xdr:from>
      <xdr:col>3</xdr:col>
      <xdr:colOff>515471</xdr:colOff>
      <xdr:row>2</xdr:row>
      <xdr:rowOff>0</xdr:rowOff>
    </xdr:from>
    <xdr:to>
      <xdr:col>4</xdr:col>
      <xdr:colOff>112058</xdr:colOff>
      <xdr:row>3</xdr:row>
      <xdr:rowOff>145676</xdr:rowOff>
    </xdr:to>
    <xdr:sp macro="" textlink="">
      <xdr:nvSpPr>
        <xdr:cNvPr id="3" name="Стрелка вниз 2"/>
        <xdr:cNvSpPr/>
      </xdr:nvSpPr>
      <xdr:spPr>
        <a:xfrm>
          <a:off x="2330824" y="952500"/>
          <a:ext cx="201705" cy="336176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488577</xdr:colOff>
      <xdr:row>2</xdr:row>
      <xdr:rowOff>6723</xdr:rowOff>
    </xdr:from>
    <xdr:to>
      <xdr:col>8</xdr:col>
      <xdr:colOff>690282</xdr:colOff>
      <xdr:row>3</xdr:row>
      <xdr:rowOff>152399</xdr:rowOff>
    </xdr:to>
    <xdr:sp macro="" textlink="">
      <xdr:nvSpPr>
        <xdr:cNvPr id="4" name="Стрелка вниз 3"/>
        <xdr:cNvSpPr/>
      </xdr:nvSpPr>
      <xdr:spPr>
        <a:xfrm>
          <a:off x="5329518" y="959223"/>
          <a:ext cx="201705" cy="336176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226359</xdr:colOff>
      <xdr:row>1</xdr:row>
      <xdr:rowOff>652182</xdr:rowOff>
    </xdr:from>
    <xdr:to>
      <xdr:col>12</xdr:col>
      <xdr:colOff>428064</xdr:colOff>
      <xdr:row>3</xdr:row>
      <xdr:rowOff>35858</xdr:rowOff>
    </xdr:to>
    <xdr:sp macro="" textlink="">
      <xdr:nvSpPr>
        <xdr:cNvPr id="5" name="Стрелка вниз 4"/>
        <xdr:cNvSpPr/>
      </xdr:nvSpPr>
      <xdr:spPr>
        <a:xfrm>
          <a:off x="8081683" y="842682"/>
          <a:ext cx="201705" cy="336176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2:P123"/>
  <sheetViews>
    <sheetView tabSelected="1" topLeftCell="A4" zoomScale="85" zoomScaleNormal="85" workbookViewId="0">
      <selection activeCell="I50" sqref="I50"/>
    </sheetView>
  </sheetViews>
  <sheetFormatPr defaultRowHeight="14.4" x14ac:dyDescent="0.3"/>
  <cols>
    <col min="1" max="1" width="12.44140625" customWidth="1"/>
    <col min="10" max="10" width="12.88671875" customWidth="1"/>
    <col min="11" max="11" width="12.33203125" customWidth="1"/>
    <col min="14" max="14" width="13.6640625" customWidth="1"/>
    <col min="16" max="16" width="12.88671875" customWidth="1"/>
  </cols>
  <sheetData>
    <row r="2" spans="2:12" ht="18" x14ac:dyDescent="0.35">
      <c r="B2" s="8" t="s">
        <v>6</v>
      </c>
    </row>
    <row r="3" spans="2:12" x14ac:dyDescent="0.3">
      <c r="C3" s="9" t="s">
        <v>7</v>
      </c>
    </row>
    <row r="4" spans="2:12" x14ac:dyDescent="0.3">
      <c r="C4" s="1">
        <v>0</v>
      </c>
      <c r="D4" s="1">
        <v>1</v>
      </c>
      <c r="E4" s="1">
        <v>2</v>
      </c>
      <c r="F4" s="1">
        <v>3</v>
      </c>
      <c r="G4" s="1">
        <v>4</v>
      </c>
      <c r="I4" s="9" t="s">
        <v>16</v>
      </c>
    </row>
    <row r="5" spans="2:12" x14ac:dyDescent="0.3">
      <c r="B5" s="1">
        <v>0</v>
      </c>
      <c r="C5" s="6">
        <v>0</v>
      </c>
      <c r="D5" s="6">
        <v>0.5</v>
      </c>
      <c r="E5" s="6">
        <v>0</v>
      </c>
      <c r="F5" s="6">
        <v>0</v>
      </c>
      <c r="G5" s="6">
        <v>0.5</v>
      </c>
      <c r="H5" s="7">
        <f t="array" ref="H5:L9">TRANSPOSE(C5:G9)</f>
        <v>0</v>
      </c>
      <c r="I5" s="7">
        <v>0</v>
      </c>
      <c r="J5" s="7">
        <v>0</v>
      </c>
      <c r="K5" s="7">
        <v>0</v>
      </c>
      <c r="L5" s="7">
        <v>0</v>
      </c>
    </row>
    <row r="6" spans="2:12" x14ac:dyDescent="0.3">
      <c r="B6" s="1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7">
        <v>0.5</v>
      </c>
      <c r="I6" s="7">
        <v>0</v>
      </c>
      <c r="J6" s="7">
        <v>0</v>
      </c>
      <c r="K6" s="7">
        <v>0</v>
      </c>
      <c r="L6" s="7">
        <v>1</v>
      </c>
    </row>
    <row r="7" spans="2:12" x14ac:dyDescent="0.3">
      <c r="B7" s="1">
        <v>2</v>
      </c>
      <c r="C7" s="6">
        <v>0</v>
      </c>
      <c r="D7" s="6">
        <v>0</v>
      </c>
      <c r="E7" s="6">
        <v>0.75</v>
      </c>
      <c r="F7" s="6">
        <v>0</v>
      </c>
      <c r="G7" s="6">
        <v>0.25</v>
      </c>
      <c r="H7" s="7">
        <v>0</v>
      </c>
      <c r="I7" s="7">
        <v>0</v>
      </c>
      <c r="J7" s="7">
        <v>0.75</v>
      </c>
      <c r="K7" s="7">
        <v>0.4</v>
      </c>
      <c r="L7" s="7">
        <v>0</v>
      </c>
    </row>
    <row r="8" spans="2:12" x14ac:dyDescent="0.3">
      <c r="B8" s="1">
        <v>3</v>
      </c>
      <c r="C8" s="6">
        <v>0</v>
      </c>
      <c r="D8" s="6">
        <v>0</v>
      </c>
      <c r="E8" s="6">
        <v>0.4</v>
      </c>
      <c r="F8" s="6">
        <v>0</v>
      </c>
      <c r="G8" s="6">
        <v>0.6</v>
      </c>
      <c r="H8" s="7">
        <v>0</v>
      </c>
      <c r="I8" s="7">
        <v>1</v>
      </c>
      <c r="J8" s="7">
        <v>0</v>
      </c>
      <c r="K8" s="7">
        <v>0</v>
      </c>
      <c r="L8" s="7">
        <v>0</v>
      </c>
    </row>
    <row r="9" spans="2:12" x14ac:dyDescent="0.3">
      <c r="B9" s="1">
        <v>4</v>
      </c>
      <c r="C9" s="6">
        <v>0</v>
      </c>
      <c r="D9" s="6">
        <v>1</v>
      </c>
      <c r="E9" s="6">
        <v>0</v>
      </c>
      <c r="F9" s="6">
        <v>0</v>
      </c>
      <c r="G9" s="6">
        <v>0</v>
      </c>
      <c r="H9" s="7">
        <v>0.5</v>
      </c>
      <c r="I9" s="7">
        <v>0</v>
      </c>
      <c r="J9" s="7">
        <v>0.25</v>
      </c>
      <c r="K9" s="7">
        <v>0.6</v>
      </c>
      <c r="L9" s="7">
        <v>0</v>
      </c>
    </row>
    <row r="11" spans="2:12" x14ac:dyDescent="0.3">
      <c r="B11" s="9" t="s">
        <v>0</v>
      </c>
    </row>
    <row r="12" spans="2:12" x14ac:dyDescent="0.3">
      <c r="C12" s="2">
        <v>0</v>
      </c>
      <c r="D12" s="2">
        <v>1</v>
      </c>
      <c r="E12" s="2">
        <v>2</v>
      </c>
      <c r="F12" s="2">
        <v>3</v>
      </c>
      <c r="G12" s="2">
        <v>4</v>
      </c>
      <c r="H12" s="6">
        <v>5</v>
      </c>
      <c r="I12" s="2">
        <v>6</v>
      </c>
      <c r="J12" s="2">
        <v>7</v>
      </c>
      <c r="K12" s="2">
        <v>8</v>
      </c>
    </row>
    <row r="13" spans="2:12" ht="15.6" x14ac:dyDescent="0.3">
      <c r="B13" s="2" t="s">
        <v>1</v>
      </c>
      <c r="C13" s="1">
        <v>1</v>
      </c>
      <c r="D13" s="1">
        <f t="array" ref="D13:D17">MMULT($H$5:$L$9,C13:C17)</f>
        <v>0</v>
      </c>
      <c r="E13" s="1">
        <f t="array" ref="E13:E17">MMULT($H$5:$L$9,D13:D17)</f>
        <v>0</v>
      </c>
      <c r="F13" s="1">
        <f t="array" ref="F13:F17">MMULT($H$5:$L$9,E13:E17)</f>
        <v>0</v>
      </c>
      <c r="G13" s="1">
        <f t="array" ref="G13:G17">MMULT($H$5:$L$9,F13:F17)</f>
        <v>0</v>
      </c>
      <c r="H13" s="1">
        <f t="array" ref="H13:H17">MMULT($H$5:$L$9,G13:G17)</f>
        <v>0</v>
      </c>
      <c r="I13" s="1">
        <f t="array" ref="I13:I17">MMULT($H$5:$L$9,H13:H17)</f>
        <v>0</v>
      </c>
      <c r="J13" s="1">
        <f t="array" ref="J13:J17">MMULT(H5:L9,I13:I17)</f>
        <v>0</v>
      </c>
      <c r="K13" s="1">
        <f t="array" ref="K13:K17">MMULT(H5:L9,J13:J17)</f>
        <v>0</v>
      </c>
    </row>
    <row r="14" spans="2:12" ht="15.6" x14ac:dyDescent="0.3">
      <c r="B14" s="2" t="s">
        <v>2</v>
      </c>
      <c r="C14" s="1">
        <v>0</v>
      </c>
      <c r="D14" s="1">
        <v>0.5</v>
      </c>
      <c r="E14" s="1">
        <v>0.5</v>
      </c>
      <c r="F14" s="1">
        <v>0</v>
      </c>
      <c r="G14" s="1">
        <v>0.3</v>
      </c>
      <c r="H14" s="1">
        <v>0.35</v>
      </c>
      <c r="I14" s="1">
        <v>8.7500000000000008E-2</v>
      </c>
      <c r="J14" s="1">
        <v>0.24562499999999998</v>
      </c>
      <c r="K14" s="1">
        <v>0.28921874999999997</v>
      </c>
    </row>
    <row r="15" spans="2:12" ht="15.6" x14ac:dyDescent="0.3">
      <c r="B15" s="6" t="s">
        <v>5</v>
      </c>
      <c r="C15" s="1">
        <v>0</v>
      </c>
      <c r="D15" s="1">
        <v>0</v>
      </c>
      <c r="E15" s="1">
        <v>0</v>
      </c>
      <c r="F15" s="1">
        <v>0.2</v>
      </c>
      <c r="G15" s="1">
        <v>0.35000000000000003</v>
      </c>
      <c r="H15" s="1">
        <v>0.26250000000000001</v>
      </c>
      <c r="I15" s="1">
        <v>0.31687500000000002</v>
      </c>
      <c r="J15" s="1">
        <v>0.37765625000000003</v>
      </c>
      <c r="K15" s="1">
        <v>0.3182421875</v>
      </c>
    </row>
    <row r="16" spans="2:12" ht="15.6" x14ac:dyDescent="0.3">
      <c r="B16" s="2" t="s">
        <v>3</v>
      </c>
      <c r="C16" s="1">
        <v>0</v>
      </c>
      <c r="D16" s="1">
        <v>0</v>
      </c>
      <c r="E16" s="1">
        <v>0.5</v>
      </c>
      <c r="F16" s="1">
        <v>0.5</v>
      </c>
      <c r="G16" s="1">
        <v>0</v>
      </c>
      <c r="H16" s="1">
        <v>0.3</v>
      </c>
      <c r="I16" s="1">
        <v>0.35</v>
      </c>
      <c r="J16" s="1">
        <v>8.7500000000000008E-2</v>
      </c>
      <c r="K16" s="1">
        <v>0.24562499999999998</v>
      </c>
    </row>
    <row r="17" spans="2:12" ht="15.6" x14ac:dyDescent="0.3">
      <c r="B17" s="2" t="s">
        <v>4</v>
      </c>
      <c r="C17" s="1">
        <v>0</v>
      </c>
      <c r="D17" s="1">
        <v>0.5</v>
      </c>
      <c r="E17" s="1">
        <v>0</v>
      </c>
      <c r="F17" s="1">
        <v>0.3</v>
      </c>
      <c r="G17" s="1">
        <v>0.35</v>
      </c>
      <c r="H17" s="1">
        <v>8.7500000000000008E-2</v>
      </c>
      <c r="I17" s="1">
        <v>0.24562499999999998</v>
      </c>
      <c r="J17" s="1">
        <v>0.28921874999999997</v>
      </c>
      <c r="K17" s="1">
        <v>0.1469140625</v>
      </c>
    </row>
    <row r="18" spans="2:12" x14ac:dyDescent="0.3">
      <c r="B18" s="1"/>
      <c r="C18" s="1">
        <f>SUM(C13:C17)</f>
        <v>1</v>
      </c>
      <c r="D18" s="1">
        <f t="shared" ref="D18:K18" si="0">SUM(D13:D17)</f>
        <v>1</v>
      </c>
      <c r="E18" s="1">
        <f t="shared" si="0"/>
        <v>1</v>
      </c>
      <c r="F18" s="1">
        <f t="shared" si="0"/>
        <v>1</v>
      </c>
      <c r="G18" s="1">
        <f t="shared" si="0"/>
        <v>1</v>
      </c>
      <c r="H18" s="1">
        <f t="shared" si="0"/>
        <v>1</v>
      </c>
      <c r="I18" s="1">
        <f t="shared" si="0"/>
        <v>1</v>
      </c>
      <c r="J18" s="1">
        <f t="shared" si="0"/>
        <v>1</v>
      </c>
      <c r="K18" s="1">
        <f t="shared" si="0"/>
        <v>1</v>
      </c>
      <c r="L18" s="9" t="s">
        <v>11</v>
      </c>
    </row>
    <row r="20" spans="2:12" ht="18" x14ac:dyDescent="0.35">
      <c r="B20" s="10" t="s">
        <v>8</v>
      </c>
      <c r="K20" s="4"/>
    </row>
    <row r="30" spans="2:12" x14ac:dyDescent="0.3">
      <c r="B30" s="10" t="s">
        <v>9</v>
      </c>
    </row>
    <row r="40" spans="1:11" x14ac:dyDescent="0.3">
      <c r="K40" s="9" t="s">
        <v>17</v>
      </c>
    </row>
    <row r="41" spans="1:11" x14ac:dyDescent="0.3">
      <c r="B41" s="26" t="s">
        <v>15</v>
      </c>
      <c r="C41" s="27"/>
      <c r="D41" s="27"/>
      <c r="E41" s="27"/>
      <c r="F41" s="28"/>
    </row>
    <row r="42" spans="1:11" ht="43.2" x14ac:dyDescent="0.3">
      <c r="A42" s="3" t="s">
        <v>10</v>
      </c>
      <c r="B42" s="1">
        <v>0</v>
      </c>
      <c r="C42" s="1">
        <v>1</v>
      </c>
      <c r="D42" s="1">
        <v>2</v>
      </c>
      <c r="E42" s="6">
        <v>3</v>
      </c>
      <c r="F42" s="1">
        <v>4</v>
      </c>
    </row>
    <row r="43" spans="1:11" x14ac:dyDescent="0.3">
      <c r="A43" s="1">
        <v>0</v>
      </c>
      <c r="B43" s="1">
        <v>1</v>
      </c>
      <c r="C43" s="1">
        <v>0</v>
      </c>
      <c r="D43" s="1">
        <v>0</v>
      </c>
      <c r="E43" s="1">
        <v>0</v>
      </c>
      <c r="F43" s="1">
        <v>0</v>
      </c>
    </row>
    <row r="44" spans="1:11" x14ac:dyDescent="0.3">
      <c r="A44" s="1">
        <v>1</v>
      </c>
      <c r="B44" s="1">
        <v>0</v>
      </c>
      <c r="C44" s="1">
        <v>0.5</v>
      </c>
      <c r="D44" s="1">
        <v>0</v>
      </c>
      <c r="E44" s="1">
        <v>0</v>
      </c>
      <c r="F44" s="1">
        <v>0.5</v>
      </c>
    </row>
    <row r="45" spans="1:11" x14ac:dyDescent="0.3">
      <c r="A45" s="1">
        <v>2</v>
      </c>
      <c r="B45" s="1">
        <v>0</v>
      </c>
      <c r="C45" s="1">
        <v>0.5</v>
      </c>
      <c r="D45" s="1">
        <v>0</v>
      </c>
      <c r="E45" s="1">
        <v>0.5</v>
      </c>
      <c r="F45" s="1">
        <v>0</v>
      </c>
    </row>
    <row r="46" spans="1:11" x14ac:dyDescent="0.3">
      <c r="A46" s="1">
        <v>3</v>
      </c>
      <c r="B46" s="1">
        <v>0</v>
      </c>
      <c r="C46" s="1">
        <v>0</v>
      </c>
      <c r="D46" s="1">
        <v>0.2</v>
      </c>
      <c r="E46" s="1">
        <v>0.5</v>
      </c>
      <c r="F46" s="1">
        <v>0.3</v>
      </c>
    </row>
    <row r="47" spans="1:11" x14ac:dyDescent="0.3">
      <c r="A47" s="1">
        <v>4</v>
      </c>
      <c r="B47" s="1">
        <v>0</v>
      </c>
      <c r="C47" s="1">
        <v>0.3</v>
      </c>
      <c r="D47" s="1">
        <v>0.35000000000000003</v>
      </c>
      <c r="E47" s="1">
        <v>0</v>
      </c>
      <c r="F47" s="1">
        <v>0.35</v>
      </c>
    </row>
    <row r="48" spans="1:11" x14ac:dyDescent="0.3">
      <c r="A48" s="1">
        <v>5</v>
      </c>
      <c r="B48" s="1">
        <v>0</v>
      </c>
      <c r="C48" s="1">
        <v>0.35</v>
      </c>
      <c r="D48" s="1">
        <v>0.26250000000000001</v>
      </c>
      <c r="E48" s="1">
        <v>0.3</v>
      </c>
      <c r="F48" s="1">
        <v>8.7500000000000008E-2</v>
      </c>
    </row>
    <row r="49" spans="1:14" x14ac:dyDescent="0.3">
      <c r="A49" s="1">
        <v>6</v>
      </c>
      <c r="B49" s="1">
        <v>0</v>
      </c>
      <c r="C49" s="1">
        <v>8.7500000000000008E-2</v>
      </c>
      <c r="D49" s="1">
        <v>0.31687500000000002</v>
      </c>
      <c r="E49" s="1">
        <v>0.35</v>
      </c>
      <c r="F49" s="1">
        <v>0.24562499999999998</v>
      </c>
    </row>
    <row r="50" spans="1:14" x14ac:dyDescent="0.3">
      <c r="A50" s="1">
        <v>7</v>
      </c>
      <c r="B50" s="1">
        <v>0</v>
      </c>
      <c r="C50" s="1">
        <v>0.24562499999999998</v>
      </c>
      <c r="D50" s="1">
        <v>0.37765625000000003</v>
      </c>
      <c r="E50" s="1">
        <v>8.7500000000000008E-2</v>
      </c>
      <c r="F50" s="1">
        <v>0.28921874999999997</v>
      </c>
    </row>
    <row r="51" spans="1:14" x14ac:dyDescent="0.3">
      <c r="A51" s="1">
        <v>8</v>
      </c>
      <c r="B51" s="1">
        <v>0</v>
      </c>
      <c r="C51" s="1">
        <v>0.28921874999999997</v>
      </c>
      <c r="D51" s="1">
        <v>0.3182421875</v>
      </c>
      <c r="E51" s="1">
        <v>0.24562499999999998</v>
      </c>
      <c r="F51" s="1">
        <v>0.1469140625</v>
      </c>
    </row>
    <row r="52" spans="1:14" x14ac:dyDescent="0.3">
      <c r="A52" s="1">
        <v>9</v>
      </c>
      <c r="B52" s="1">
        <v>0</v>
      </c>
      <c r="C52" s="1">
        <v>0.1469140625</v>
      </c>
      <c r="D52" s="1">
        <v>0.33693164062500003</v>
      </c>
      <c r="E52" s="1">
        <v>0.28921874999999997</v>
      </c>
      <c r="F52" s="1">
        <v>0.22693554687499998</v>
      </c>
    </row>
    <row r="53" spans="1:14" x14ac:dyDescent="0.3">
      <c r="A53" s="1">
        <v>10</v>
      </c>
      <c r="B53" s="1">
        <v>0</v>
      </c>
      <c r="C53" s="1">
        <v>0.22693554687499998</v>
      </c>
      <c r="D53" s="1">
        <v>0.36838623046875002</v>
      </c>
      <c r="E53" s="1">
        <v>0.1469140625</v>
      </c>
      <c r="F53" s="1">
        <v>0.25776416015624998</v>
      </c>
    </row>
    <row r="54" spans="1:14" x14ac:dyDescent="0.3">
      <c r="A54" s="1">
        <v>11</v>
      </c>
      <c r="B54" s="1">
        <v>0</v>
      </c>
      <c r="C54" s="1">
        <v>0.25776416015624998</v>
      </c>
      <c r="D54" s="1">
        <v>0.33505529785156252</v>
      </c>
      <c r="E54" s="1">
        <v>0.22693554687499998</v>
      </c>
      <c r="F54" s="1">
        <v>0.1802449951171875</v>
      </c>
    </row>
    <row r="55" spans="1:14" x14ac:dyDescent="0.3">
      <c r="A55" s="1">
        <v>12</v>
      </c>
      <c r="B55" s="1">
        <v>0</v>
      </c>
      <c r="C55" s="1">
        <v>0.1802449951171875</v>
      </c>
      <c r="D55" s="1">
        <v>0.34206569213867188</v>
      </c>
      <c r="E55" s="1">
        <v>0.25776416015624998</v>
      </c>
      <c r="F55" s="1">
        <v>0.21992515258789061</v>
      </c>
    </row>
    <row r="56" spans="1:14" x14ac:dyDescent="0.3">
      <c r="A56" s="1">
        <v>13</v>
      </c>
      <c r="B56" s="1">
        <v>0</v>
      </c>
      <c r="C56" s="1">
        <v>0.21992515258789061</v>
      </c>
      <c r="D56" s="1">
        <v>0.35965493316650388</v>
      </c>
      <c r="E56" s="1">
        <v>0.1802449951171875</v>
      </c>
      <c r="F56" s="1">
        <v>0.24017491912841796</v>
      </c>
    </row>
    <row r="57" spans="1:14" x14ac:dyDescent="0.3">
      <c r="A57" s="1">
        <v>14</v>
      </c>
      <c r="B57" s="1">
        <v>0</v>
      </c>
      <c r="C57" s="1">
        <v>0.24017491912841796</v>
      </c>
      <c r="D57" s="1">
        <v>0.34183919792175288</v>
      </c>
      <c r="E57" s="1">
        <v>0.21992515258789061</v>
      </c>
      <c r="F57" s="1">
        <v>0.19806073036193847</v>
      </c>
      <c r="N57" s="9" t="s">
        <v>18</v>
      </c>
    </row>
    <row r="58" spans="1:14" x14ac:dyDescent="0.3">
      <c r="A58" s="1">
        <v>15</v>
      </c>
      <c r="B58" s="1">
        <v>0</v>
      </c>
      <c r="C58" s="1">
        <v>0.19806073036193847</v>
      </c>
      <c r="D58" s="1">
        <v>0.34434945947647089</v>
      </c>
      <c r="E58" s="1">
        <v>0.24017491912841796</v>
      </c>
      <c r="F58" s="1">
        <v>0.21741489103317257</v>
      </c>
    </row>
    <row r="59" spans="1:14" x14ac:dyDescent="0.3">
      <c r="A59" s="1">
        <v>16</v>
      </c>
      <c r="B59" s="1">
        <v>0</v>
      </c>
      <c r="C59" s="1">
        <v>0.21741489103317257</v>
      </c>
      <c r="D59" s="1">
        <v>0.35433206225872038</v>
      </c>
      <c r="E59" s="1">
        <v>0.19806073036193847</v>
      </c>
      <c r="F59" s="1">
        <v>0.23019231634616849</v>
      </c>
      <c r="K59" s="9" t="s">
        <v>12</v>
      </c>
    </row>
    <row r="60" spans="1:14" x14ac:dyDescent="0.3">
      <c r="A60" s="1">
        <v>17</v>
      </c>
      <c r="B60" s="1">
        <v>0</v>
      </c>
      <c r="C60" s="1">
        <v>0.23019231634616849</v>
      </c>
      <c r="D60" s="1">
        <v>0.3449733388388157</v>
      </c>
      <c r="E60" s="1">
        <v>0.21741489103317257</v>
      </c>
      <c r="F60" s="1">
        <v>0.20741945378184318</v>
      </c>
    </row>
    <row r="61" spans="1:14" x14ac:dyDescent="0.3">
      <c r="A61" s="1">
        <v>18</v>
      </c>
      <c r="B61" s="1">
        <v>0</v>
      </c>
      <c r="C61" s="1">
        <v>0.20741945378184318</v>
      </c>
      <c r="D61" s="1">
        <v>0.34569596054238083</v>
      </c>
      <c r="E61" s="1">
        <v>0.23019231634616849</v>
      </c>
      <c r="F61" s="1">
        <v>0.21669226932960745</v>
      </c>
    </row>
    <row r="62" spans="1:14" x14ac:dyDescent="0.3">
      <c r="A62" s="1">
        <v>19</v>
      </c>
      <c r="B62" s="1">
        <v>0</v>
      </c>
      <c r="C62" s="1">
        <v>0.21669226932960745</v>
      </c>
      <c r="D62" s="1">
        <v>0.35134889694525301</v>
      </c>
      <c r="E62" s="1">
        <v>0.20741945378184318</v>
      </c>
      <c r="F62" s="1">
        <v>0.22453937994329629</v>
      </c>
    </row>
    <row r="63" spans="1:14" x14ac:dyDescent="0.3">
      <c r="A63" s="1">
        <v>20</v>
      </c>
      <c r="B63" s="1">
        <v>0</v>
      </c>
      <c r="C63" s="1">
        <v>0.22453937994329629</v>
      </c>
      <c r="D63" s="1">
        <v>0.34647945422167703</v>
      </c>
      <c r="E63" s="1">
        <v>0.21669226932960745</v>
      </c>
      <c r="F63" s="1">
        <v>0.21228889650541916</v>
      </c>
    </row>
    <row r="64" spans="1:14" x14ac:dyDescent="0.3">
      <c r="A64" s="6">
        <v>21</v>
      </c>
      <c r="B64" s="1">
        <v>0</v>
      </c>
      <c r="C64" s="1">
        <v>0.21228889650541916</v>
      </c>
      <c r="D64" s="1">
        <v>0.34653649839810075</v>
      </c>
      <c r="E64" s="6">
        <v>0.22453937994329629</v>
      </c>
      <c r="F64" s="1">
        <v>0.21663522515318373</v>
      </c>
    </row>
    <row r="65" spans="1:16" x14ac:dyDescent="0.3">
      <c r="A65" s="1">
        <v>22</v>
      </c>
      <c r="B65" s="1">
        <v>0</v>
      </c>
      <c r="C65" s="1">
        <v>0.21663522515318373</v>
      </c>
      <c r="D65" s="1">
        <v>0.34971812577589406</v>
      </c>
      <c r="E65" s="1">
        <v>0.21228889650541916</v>
      </c>
      <c r="F65" s="1">
        <v>0.22135775256550294</v>
      </c>
    </row>
    <row r="66" spans="1:16" x14ac:dyDescent="0.3">
      <c r="A66" s="1">
        <v>23</v>
      </c>
      <c r="B66" s="1">
        <v>0</v>
      </c>
      <c r="C66" s="1">
        <v>0.22135775256550294</v>
      </c>
      <c r="D66" s="1">
        <v>0.34720415293408818</v>
      </c>
      <c r="E66" s="1">
        <v>0.21663522515318373</v>
      </c>
      <c r="F66" s="1">
        <v>0.21480286934722498</v>
      </c>
      <c r="N66" s="5">
        <f>1/4.6</f>
        <v>0.21739130434782611</v>
      </c>
    </row>
    <row r="67" spans="1:16" x14ac:dyDescent="0.3">
      <c r="A67" s="1">
        <v>24</v>
      </c>
      <c r="B67" s="1">
        <v>0</v>
      </c>
      <c r="C67" s="1">
        <v>0.21480286934722498</v>
      </c>
      <c r="D67" s="1">
        <v>0.34705720476183965</v>
      </c>
      <c r="E67" s="1">
        <v>0.22135775256550294</v>
      </c>
      <c r="F67" s="1">
        <v>0.21678217332543226</v>
      </c>
    </row>
    <row r="68" spans="1:16" x14ac:dyDescent="0.3">
      <c r="A68" s="1">
        <v>25</v>
      </c>
      <c r="B68" s="1">
        <v>0</v>
      </c>
      <c r="C68" s="1">
        <v>0.21678217332543226</v>
      </c>
      <c r="D68" s="1">
        <v>0.34883600459758091</v>
      </c>
      <c r="E68" s="1">
        <v>0.21480286934722498</v>
      </c>
      <c r="F68" s="1">
        <v>0.21957895272976166</v>
      </c>
      <c r="N68" s="5">
        <f>1.6*N66</f>
        <v>0.34782608695652178</v>
      </c>
    </row>
    <row r="69" spans="1:16" x14ac:dyDescent="0.3">
      <c r="A69" s="1">
        <v>26</v>
      </c>
      <c r="B69" s="1">
        <v>0</v>
      </c>
      <c r="C69" s="1">
        <v>0.21957895272976166</v>
      </c>
      <c r="D69" s="1">
        <v>0.34754815118707566</v>
      </c>
      <c r="E69" s="1">
        <v>0.21678217332543226</v>
      </c>
      <c r="F69" s="1">
        <v>0.2160907227577302</v>
      </c>
    </row>
    <row r="70" spans="1:16" ht="18.75" customHeight="1" x14ac:dyDescent="0.3">
      <c r="A70" s="1">
        <v>27</v>
      </c>
      <c r="B70" s="1">
        <v>0</v>
      </c>
      <c r="C70" s="1">
        <v>0.2160907227577302</v>
      </c>
      <c r="D70" s="1">
        <v>0.34737398272047965</v>
      </c>
      <c r="E70" s="1">
        <v>0.21957895272976166</v>
      </c>
      <c r="F70" s="1">
        <v>0.21695634179202827</v>
      </c>
    </row>
    <row r="71" spans="1:16" hidden="1" x14ac:dyDescent="0.3">
      <c r="A71" s="1">
        <v>28</v>
      </c>
      <c r="B71" s="1">
        <v>0</v>
      </c>
      <c r="C71" s="1">
        <v>0.21695634179202827</v>
      </c>
      <c r="D71" s="1">
        <v>0.34836206813226445</v>
      </c>
      <c r="E71" s="1">
        <v>0.2160907227577302</v>
      </c>
      <c r="F71" s="1">
        <v>0.21859086731797689</v>
      </c>
    </row>
    <row r="72" spans="1:16" ht="66" customHeight="1" x14ac:dyDescent="0.3">
      <c r="A72" s="1">
        <v>29</v>
      </c>
      <c r="B72" s="1">
        <v>0</v>
      </c>
      <c r="C72" s="1">
        <v>0.21859086731797689</v>
      </c>
      <c r="D72" s="1">
        <v>0.3477078402022904</v>
      </c>
      <c r="E72" s="1">
        <v>0.21695634179202827</v>
      </c>
      <c r="F72" s="1">
        <v>0.21674495068770422</v>
      </c>
      <c r="J72" s="3" t="s">
        <v>10</v>
      </c>
      <c r="K72" s="3" t="s">
        <v>13</v>
      </c>
      <c r="L72" s="3" t="s">
        <v>14</v>
      </c>
    </row>
    <row r="73" spans="1:16" x14ac:dyDescent="0.3">
      <c r="A73" s="1">
        <v>30</v>
      </c>
      <c r="B73" s="1">
        <v>0</v>
      </c>
      <c r="C73" s="1">
        <v>0.21674495068770422</v>
      </c>
      <c r="D73" s="1">
        <v>0.3475634168685291</v>
      </c>
      <c r="E73" s="1">
        <v>0.21859086731797689</v>
      </c>
      <c r="F73" s="1">
        <v>0.21710076512578955</v>
      </c>
      <c r="J73" s="1">
        <v>0</v>
      </c>
      <c r="K73" s="1"/>
      <c r="L73" s="1">
        <v>0</v>
      </c>
      <c r="M73" s="11">
        <v>1</v>
      </c>
      <c r="N73" s="11">
        <v>2</v>
      </c>
      <c r="O73" s="11">
        <v>3</v>
      </c>
      <c r="P73" s="11">
        <v>4</v>
      </c>
    </row>
    <row r="74" spans="1:16" x14ac:dyDescent="0.3">
      <c r="A74" s="1">
        <v>31</v>
      </c>
      <c r="B74" s="1">
        <v>0</v>
      </c>
      <c r="C74" s="1">
        <v>0.21710076512578955</v>
      </c>
      <c r="D74" s="1">
        <v>0.34810890957858759</v>
      </c>
      <c r="E74" s="1">
        <v>0.21674495068770422</v>
      </c>
      <c r="F74" s="1">
        <v>0.2180453746079184</v>
      </c>
      <c r="J74" s="1">
        <v>1</v>
      </c>
      <c r="K74" s="1">
        <v>0.7055475115776062</v>
      </c>
      <c r="L74" s="1">
        <v>4</v>
      </c>
      <c r="M74" s="11">
        <v>1</v>
      </c>
      <c r="N74" s="11">
        <v>2</v>
      </c>
      <c r="O74" s="11">
        <v>3</v>
      </c>
      <c r="P74" s="11">
        <v>4</v>
      </c>
    </row>
    <row r="75" spans="1:16" x14ac:dyDescent="0.3">
      <c r="A75" s="1">
        <v>32</v>
      </c>
      <c r="B75" s="1">
        <v>0</v>
      </c>
      <c r="C75" s="1">
        <v>0.2180453746079184</v>
      </c>
      <c r="D75" s="1">
        <v>0.34777966245902237</v>
      </c>
      <c r="E75" s="1">
        <v>0.21710076512578955</v>
      </c>
      <c r="F75" s="1">
        <v>0.21707419780726944</v>
      </c>
      <c r="J75" s="1">
        <v>2</v>
      </c>
      <c r="K75" s="1">
        <v>0.5334240198135376</v>
      </c>
      <c r="L75" s="1">
        <v>1</v>
      </c>
      <c r="M75" s="11">
        <v>1</v>
      </c>
      <c r="N75" s="11">
        <v>2</v>
      </c>
      <c r="O75" s="11">
        <v>3</v>
      </c>
      <c r="P75" s="11">
        <v>4</v>
      </c>
    </row>
    <row r="76" spans="1:16" x14ac:dyDescent="0.3">
      <c r="A76" s="1">
        <v>33</v>
      </c>
      <c r="B76" s="1">
        <v>0</v>
      </c>
      <c r="C76" s="1">
        <v>0.21707419780726944</v>
      </c>
      <c r="D76" s="1">
        <v>0.34767505289458261</v>
      </c>
      <c r="E76" s="1">
        <v>0.2180453746079184</v>
      </c>
      <c r="F76" s="1">
        <v>0.21720537469022932</v>
      </c>
      <c r="J76" s="1">
        <v>3</v>
      </c>
      <c r="K76" s="1">
        <v>0.57951861619949341</v>
      </c>
      <c r="L76" s="1">
        <v>3</v>
      </c>
      <c r="M76" s="11">
        <v>1</v>
      </c>
      <c r="N76" s="11">
        <v>2</v>
      </c>
      <c r="O76" s="11">
        <v>3</v>
      </c>
      <c r="P76" s="11">
        <v>4</v>
      </c>
    </row>
    <row r="77" spans="1:16" x14ac:dyDescent="0.3">
      <c r="A77" s="1">
        <v>34</v>
      </c>
      <c r="B77" s="1">
        <v>0</v>
      </c>
      <c r="C77" s="1">
        <v>0.21720537469022932</v>
      </c>
      <c r="D77" s="1">
        <v>0.34797443951410434</v>
      </c>
      <c r="E77" s="1">
        <v>0.21707419780726944</v>
      </c>
      <c r="F77" s="1">
        <v>0.21774598798839667</v>
      </c>
      <c r="J77" s="1">
        <v>4</v>
      </c>
      <c r="K77" s="1">
        <v>0.28956246376037598</v>
      </c>
      <c r="L77" s="1">
        <v>2</v>
      </c>
      <c r="M77" s="11">
        <v>1</v>
      </c>
      <c r="N77" s="11">
        <v>2</v>
      </c>
      <c r="O77" s="11">
        <v>3</v>
      </c>
      <c r="P77" s="11">
        <v>4</v>
      </c>
    </row>
    <row r="78" spans="1:16" x14ac:dyDescent="0.3">
      <c r="A78" s="1">
        <v>35</v>
      </c>
      <c r="B78" s="1">
        <v>0</v>
      </c>
      <c r="C78" s="1">
        <v>0.21774598798839667</v>
      </c>
      <c r="D78" s="1">
        <v>0.34781050875848601</v>
      </c>
      <c r="E78" s="1">
        <v>0.21720537469022932</v>
      </c>
      <c r="F78" s="1">
        <v>0.21723812856288774</v>
      </c>
      <c r="J78" s="1">
        <v>5</v>
      </c>
      <c r="K78" s="1">
        <v>0.30194801092147827</v>
      </c>
      <c r="L78" s="1">
        <v>2</v>
      </c>
      <c r="M78" s="11">
        <v>1</v>
      </c>
      <c r="N78" s="11">
        <v>2</v>
      </c>
      <c r="O78" s="11">
        <v>3</v>
      </c>
      <c r="P78" s="11">
        <v>4</v>
      </c>
    </row>
    <row r="79" spans="1:16" x14ac:dyDescent="0.3">
      <c r="A79" s="1">
        <v>36</v>
      </c>
      <c r="B79" s="1">
        <v>0</v>
      </c>
      <c r="C79" s="1">
        <v>0.21723812856288774</v>
      </c>
      <c r="D79" s="1">
        <v>0.34774003144495624</v>
      </c>
      <c r="E79" s="1">
        <v>0.21774598798839667</v>
      </c>
      <c r="F79" s="1">
        <v>0.2172758520037591</v>
      </c>
      <c r="J79" s="1">
        <v>6</v>
      </c>
      <c r="K79" s="1">
        <v>0.77474009990692139</v>
      </c>
      <c r="L79" s="1">
        <v>4</v>
      </c>
      <c r="M79" s="11">
        <v>1</v>
      </c>
      <c r="N79" s="11">
        <v>2</v>
      </c>
      <c r="O79" s="11">
        <v>3</v>
      </c>
      <c r="P79" s="11">
        <v>4</v>
      </c>
    </row>
    <row r="80" spans="1:16" x14ac:dyDescent="0.3">
      <c r="A80" s="1">
        <v>37</v>
      </c>
      <c r="B80" s="1">
        <v>0</v>
      </c>
      <c r="C80" s="1">
        <v>0.2172758520037591</v>
      </c>
      <c r="D80" s="1">
        <v>0.34790341877907582</v>
      </c>
      <c r="E80" s="1">
        <v>0.21723812856288774</v>
      </c>
      <c r="F80" s="1">
        <v>0.21758260065427706</v>
      </c>
      <c r="J80" s="1">
        <v>7</v>
      </c>
      <c r="K80" s="1">
        <v>1.4017641544342041E-2</v>
      </c>
      <c r="L80" s="1">
        <v>1</v>
      </c>
      <c r="M80" s="11">
        <v>1</v>
      </c>
      <c r="N80" s="11">
        <v>2</v>
      </c>
      <c r="O80" s="11">
        <v>3</v>
      </c>
      <c r="P80" s="11">
        <v>4</v>
      </c>
    </row>
    <row r="81" spans="1:16" x14ac:dyDescent="0.3">
      <c r="A81" s="1">
        <v>38</v>
      </c>
      <c r="B81" s="1">
        <v>0</v>
      </c>
      <c r="C81" s="1">
        <v>0.21758260065427706</v>
      </c>
      <c r="D81" s="1">
        <v>0.34782281550946192</v>
      </c>
      <c r="E81" s="1">
        <v>0.2172758520037591</v>
      </c>
      <c r="F81" s="1">
        <v>0.21731873183250158</v>
      </c>
      <c r="J81" s="1">
        <v>8</v>
      </c>
      <c r="K81" s="1">
        <v>0.76072359085083008</v>
      </c>
      <c r="L81" s="1">
        <v>3</v>
      </c>
      <c r="M81" s="11">
        <v>1</v>
      </c>
      <c r="N81" s="11">
        <v>2</v>
      </c>
      <c r="O81" s="11">
        <v>3</v>
      </c>
      <c r="P81" s="11">
        <v>4</v>
      </c>
    </row>
    <row r="82" spans="1:16" x14ac:dyDescent="0.3">
      <c r="A82" s="1">
        <v>39</v>
      </c>
      <c r="B82" s="1">
        <v>0</v>
      </c>
      <c r="C82" s="1">
        <v>0.21731873183250158</v>
      </c>
      <c r="D82" s="1">
        <v>0.34777745243360003</v>
      </c>
      <c r="E82" s="1">
        <v>0.21758260065427706</v>
      </c>
      <c r="F82" s="1">
        <v>0.21732121507962093</v>
      </c>
      <c r="J82" s="1">
        <v>9</v>
      </c>
      <c r="K82" s="1">
        <v>0.81449002027511597</v>
      </c>
      <c r="L82" s="1">
        <v>4</v>
      </c>
      <c r="M82" s="11">
        <v>1</v>
      </c>
      <c r="N82" s="11">
        <v>2</v>
      </c>
      <c r="O82" s="11">
        <v>3</v>
      </c>
      <c r="P82" s="11">
        <v>4</v>
      </c>
    </row>
    <row r="83" spans="1:16" x14ac:dyDescent="0.3">
      <c r="A83" s="1">
        <v>40</v>
      </c>
      <c r="B83" s="1">
        <v>0</v>
      </c>
      <c r="C83" s="1">
        <v>0.21732121507962093</v>
      </c>
      <c r="D83" s="1">
        <v>0.34786612958691082</v>
      </c>
      <c r="E83" s="1">
        <v>0.21731873183250158</v>
      </c>
      <c r="F83" s="1">
        <v>0.21749392350096625</v>
      </c>
      <c r="J83" s="1">
        <v>10</v>
      </c>
      <c r="K83" s="1">
        <v>0.7090378999710083</v>
      </c>
      <c r="L83" s="1">
        <v>1</v>
      </c>
      <c r="M83" s="11">
        <v>1</v>
      </c>
      <c r="N83" s="11">
        <v>2</v>
      </c>
      <c r="O83" s="11">
        <v>3</v>
      </c>
      <c r="P83" s="11">
        <v>4</v>
      </c>
    </row>
    <row r="84" spans="1:16" x14ac:dyDescent="0.3">
      <c r="A84" s="1">
        <v>41</v>
      </c>
      <c r="B84" s="1">
        <v>0</v>
      </c>
      <c r="C84" s="1">
        <v>0.21749392350096625</v>
      </c>
      <c r="D84" s="1">
        <v>0.34782708992318379</v>
      </c>
      <c r="E84" s="1">
        <v>0.21732121507962093</v>
      </c>
      <c r="F84" s="1">
        <v>0.21735777149622865</v>
      </c>
      <c r="J84" s="1">
        <v>11</v>
      </c>
      <c r="K84" s="1">
        <v>4.5352756977081299E-2</v>
      </c>
      <c r="L84" s="1">
        <v>3</v>
      </c>
      <c r="M84" s="11">
        <v>1</v>
      </c>
      <c r="N84" s="11">
        <v>2</v>
      </c>
      <c r="O84" s="11">
        <v>3</v>
      </c>
      <c r="P84" s="11">
        <v>4</v>
      </c>
    </row>
    <row r="85" spans="1:16" x14ac:dyDescent="0.3">
      <c r="A85" s="1">
        <v>42</v>
      </c>
      <c r="B85" s="1">
        <v>0</v>
      </c>
      <c r="C85" s="1">
        <v>0.21735777149622865</v>
      </c>
      <c r="D85" s="1">
        <v>0.34779880347423625</v>
      </c>
      <c r="E85" s="1">
        <v>0.21749392350096625</v>
      </c>
      <c r="F85" s="1">
        <v>0.2173495015285685</v>
      </c>
      <c r="J85" s="1">
        <v>12</v>
      </c>
      <c r="K85" s="1">
        <v>0.4140326976776123</v>
      </c>
      <c r="L85" s="1">
        <v>4</v>
      </c>
      <c r="M85" s="11">
        <v>1</v>
      </c>
      <c r="N85" s="11">
        <v>2</v>
      </c>
      <c r="O85" s="11">
        <v>3</v>
      </c>
      <c r="P85" s="11">
        <v>4</v>
      </c>
    </row>
    <row r="86" spans="1:16" x14ac:dyDescent="0.3">
      <c r="A86" s="1">
        <v>43</v>
      </c>
      <c r="B86" s="1">
        <v>0</v>
      </c>
      <c r="C86" s="1">
        <v>0.2173495015285685</v>
      </c>
      <c r="D86" s="1">
        <v>0.34784667200606367</v>
      </c>
      <c r="E86" s="1">
        <v>0.21735777149622865</v>
      </c>
      <c r="F86" s="1">
        <v>0.21744605496913882</v>
      </c>
      <c r="J86" s="1">
        <v>13</v>
      </c>
      <c r="K86" s="1">
        <v>0.86261934041976929</v>
      </c>
      <c r="L86" s="1">
        <v>1</v>
      </c>
      <c r="M86" s="11">
        <v>1</v>
      </c>
      <c r="N86" s="11">
        <v>2</v>
      </c>
      <c r="O86" s="11">
        <v>3</v>
      </c>
      <c r="P86" s="11">
        <v>4</v>
      </c>
    </row>
    <row r="87" spans="1:16" x14ac:dyDescent="0.3">
      <c r="A87" s="1">
        <v>44</v>
      </c>
      <c r="B87" s="1">
        <v>0</v>
      </c>
      <c r="C87" s="1">
        <v>0.21744605496913882</v>
      </c>
      <c r="D87" s="1">
        <v>0.3478281126030392</v>
      </c>
      <c r="E87" s="1">
        <v>0.2173495015285685</v>
      </c>
      <c r="F87" s="1">
        <v>0.2173763308992531</v>
      </c>
      <c r="J87" s="1">
        <v>14</v>
      </c>
      <c r="K87" s="1">
        <v>0.79048001766204834</v>
      </c>
      <c r="L87" s="1">
        <v>3</v>
      </c>
      <c r="M87" s="11">
        <v>1</v>
      </c>
      <c r="N87" s="11">
        <v>2</v>
      </c>
      <c r="O87" s="11">
        <v>3</v>
      </c>
      <c r="P87" s="11">
        <v>4</v>
      </c>
    </row>
    <row r="88" spans="1:16" x14ac:dyDescent="0.3">
      <c r="A88" s="1">
        <v>45</v>
      </c>
      <c r="B88" s="1">
        <v>0</v>
      </c>
      <c r="C88" s="1">
        <v>0.2173763308992531</v>
      </c>
      <c r="D88" s="1">
        <v>0.34781088506370683</v>
      </c>
      <c r="E88" s="1">
        <v>0.21744605496913882</v>
      </c>
      <c r="F88" s="1">
        <v>0.21736672906790089</v>
      </c>
      <c r="J88" s="1">
        <v>15</v>
      </c>
      <c r="K88" s="1">
        <v>0.37353616952896118</v>
      </c>
      <c r="L88" s="1">
        <v>2</v>
      </c>
      <c r="M88" s="11">
        <v>1</v>
      </c>
      <c r="N88" s="11">
        <v>2</v>
      </c>
      <c r="O88" s="11">
        <v>3</v>
      </c>
      <c r="P88" s="11">
        <v>4</v>
      </c>
    </row>
    <row r="89" spans="1:16" x14ac:dyDescent="0.3">
      <c r="A89" s="1">
        <v>46</v>
      </c>
      <c r="B89" s="1">
        <v>0</v>
      </c>
      <c r="C89" s="1">
        <v>0.21736672906790089</v>
      </c>
      <c r="D89" s="1">
        <v>0.34783658578543569</v>
      </c>
      <c r="E89" s="1">
        <v>0.2173763308992531</v>
      </c>
      <c r="F89" s="1">
        <v>0.21742035424740999</v>
      </c>
      <c r="J89" s="1">
        <v>16</v>
      </c>
      <c r="K89" s="1">
        <v>0.96195316314697266</v>
      </c>
      <c r="L89" s="1">
        <v>4</v>
      </c>
      <c r="M89" s="11">
        <v>1</v>
      </c>
      <c r="N89" s="11">
        <v>2</v>
      </c>
      <c r="O89" s="11">
        <v>3</v>
      </c>
      <c r="P89" s="11">
        <v>4</v>
      </c>
    </row>
    <row r="90" spans="1:16" x14ac:dyDescent="0.3">
      <c r="A90" s="1">
        <v>47</v>
      </c>
      <c r="B90" s="1">
        <v>0</v>
      </c>
      <c r="C90" s="1">
        <v>0.21742035424740999</v>
      </c>
      <c r="D90" s="1">
        <v>0.34782797169877799</v>
      </c>
      <c r="E90" s="1">
        <v>0.21736672906790089</v>
      </c>
      <c r="F90" s="1">
        <v>0.21738494498591077</v>
      </c>
      <c r="J90" s="1">
        <v>17</v>
      </c>
      <c r="K90" s="1">
        <v>0.87144583463668823</v>
      </c>
      <c r="L90" s="1">
        <v>1</v>
      </c>
      <c r="M90" s="11">
        <v>1</v>
      </c>
      <c r="N90" s="11">
        <v>2</v>
      </c>
      <c r="O90" s="11">
        <v>3</v>
      </c>
      <c r="P90" s="11">
        <v>4</v>
      </c>
    </row>
    <row r="91" spans="1:16" x14ac:dyDescent="0.3">
      <c r="A91" s="1">
        <v>48</v>
      </c>
      <c r="B91" s="1">
        <v>0</v>
      </c>
      <c r="C91" s="1">
        <v>0.21738494498591077</v>
      </c>
      <c r="D91" s="1">
        <v>0.34781767040124384</v>
      </c>
      <c r="E91" s="1">
        <v>0.21742035424740999</v>
      </c>
      <c r="F91" s="1">
        <v>0.21737703036543501</v>
      </c>
      <c r="J91" s="1">
        <v>18</v>
      </c>
      <c r="K91" s="1">
        <v>5.6236863136291504E-2</v>
      </c>
      <c r="L91" s="1">
        <v>3</v>
      </c>
      <c r="M91" s="11">
        <v>1</v>
      </c>
      <c r="N91" s="11">
        <v>2</v>
      </c>
      <c r="O91" s="11">
        <v>3</v>
      </c>
      <c r="P91" s="11">
        <v>4</v>
      </c>
    </row>
    <row r="92" spans="1:16" x14ac:dyDescent="0.3">
      <c r="A92" s="1">
        <v>49</v>
      </c>
      <c r="B92" s="1">
        <v>0</v>
      </c>
      <c r="C92" s="1">
        <v>0.21737703036543501</v>
      </c>
      <c r="D92" s="1">
        <v>0.34783139449989686</v>
      </c>
      <c r="E92" s="1">
        <v>0.21738494498591077</v>
      </c>
      <c r="F92" s="1">
        <v>0.21740663014875694</v>
      </c>
      <c r="J92" s="1">
        <v>19</v>
      </c>
      <c r="K92" s="1">
        <v>0.94955664873123169</v>
      </c>
      <c r="L92" s="1">
        <v>4</v>
      </c>
      <c r="M92" s="11">
        <v>1</v>
      </c>
      <c r="N92" s="11">
        <v>2</v>
      </c>
      <c r="O92" s="11">
        <v>3</v>
      </c>
      <c r="P92" s="11">
        <v>4</v>
      </c>
    </row>
    <row r="93" spans="1:16" x14ac:dyDescent="0.3">
      <c r="A93" s="1">
        <v>50</v>
      </c>
      <c r="B93" s="1">
        <v>0</v>
      </c>
      <c r="C93" s="1">
        <v>0.21740663014875694</v>
      </c>
      <c r="D93" s="1">
        <v>0.34782752386928695</v>
      </c>
      <c r="E93" s="1">
        <v>0.21737703036543501</v>
      </c>
      <c r="F93" s="1">
        <v>0.21738881561652068</v>
      </c>
      <c r="J93" s="1">
        <v>20</v>
      </c>
      <c r="K93" s="1">
        <v>0.36401867866516113</v>
      </c>
      <c r="L93" s="1">
        <v>1</v>
      </c>
      <c r="M93" s="11">
        <v>1</v>
      </c>
      <c r="N93" s="11">
        <v>2</v>
      </c>
      <c r="O93" s="11">
        <v>3</v>
      </c>
      <c r="P93" s="11">
        <v>4</v>
      </c>
    </row>
    <row r="94" spans="1:16" x14ac:dyDescent="0.3">
      <c r="A94" s="1">
        <v>51</v>
      </c>
      <c r="B94" s="1">
        <v>0</v>
      </c>
      <c r="C94" s="1">
        <v>0.21738881561652068</v>
      </c>
      <c r="D94" s="1">
        <v>0.34782145504813922</v>
      </c>
      <c r="E94" s="1">
        <v>0.21740663014875694</v>
      </c>
      <c r="F94" s="1">
        <v>0.21738309918658275</v>
      </c>
      <c r="J94" s="1">
        <v>21</v>
      </c>
      <c r="K94" s="1">
        <v>0.5248684287071228</v>
      </c>
      <c r="L94" s="1">
        <v>3</v>
      </c>
      <c r="M94" s="11">
        <v>1</v>
      </c>
      <c r="N94" s="11">
        <v>2</v>
      </c>
      <c r="O94" s="11">
        <v>3</v>
      </c>
      <c r="P94" s="11">
        <v>4</v>
      </c>
    </row>
    <row r="95" spans="1:16" x14ac:dyDescent="0.3">
      <c r="A95" s="1">
        <v>52</v>
      </c>
      <c r="B95" s="1">
        <v>0</v>
      </c>
      <c r="C95" s="1">
        <v>0.21738309918658275</v>
      </c>
      <c r="D95" s="1">
        <v>0.34782874334560715</v>
      </c>
      <c r="E95" s="1">
        <v>0.21738881561652068</v>
      </c>
      <c r="F95" s="1">
        <v>0.21739934185128895</v>
      </c>
      <c r="J95" s="1">
        <v>22</v>
      </c>
      <c r="K95" s="1">
        <v>0.76711165904998779</v>
      </c>
      <c r="L95" s="1">
        <v>4</v>
      </c>
      <c r="M95" s="11">
        <v>1</v>
      </c>
      <c r="N95" s="11">
        <v>2</v>
      </c>
      <c r="O95" s="11">
        <v>3</v>
      </c>
      <c r="P95" s="11">
        <v>4</v>
      </c>
    </row>
    <row r="96" spans="1:16" x14ac:dyDescent="0.3">
      <c r="A96" s="1">
        <v>53</v>
      </c>
      <c r="B96" s="1">
        <v>0</v>
      </c>
      <c r="C96" s="1">
        <v>0.21739934185128895</v>
      </c>
      <c r="D96" s="1">
        <v>0.34782708375581367</v>
      </c>
      <c r="E96" s="1">
        <v>0.21738309918658275</v>
      </c>
      <c r="F96" s="1">
        <v>0.21739047520631422</v>
      </c>
      <c r="J96" s="1">
        <v>23</v>
      </c>
      <c r="K96" s="1">
        <v>5.3504526615142822E-2</v>
      </c>
      <c r="L96" s="1">
        <v>1</v>
      </c>
      <c r="M96" s="11">
        <v>1</v>
      </c>
      <c r="N96" s="11">
        <v>2</v>
      </c>
      <c r="O96" s="11">
        <v>3</v>
      </c>
      <c r="P96" s="11">
        <v>4</v>
      </c>
    </row>
    <row r="97" spans="1:16" x14ac:dyDescent="0.3">
      <c r="A97" s="1">
        <v>54</v>
      </c>
      <c r="B97" s="1">
        <v>0</v>
      </c>
      <c r="C97" s="1">
        <v>0.21739047520631422</v>
      </c>
      <c r="D97" s="1">
        <v>0.34782355249149333</v>
      </c>
      <c r="E97" s="1">
        <v>0.21739934185128895</v>
      </c>
      <c r="F97" s="1">
        <v>0.21738663045090306</v>
      </c>
      <c r="J97" s="1">
        <v>24</v>
      </c>
      <c r="K97" s="1">
        <v>0.59245824813842773</v>
      </c>
      <c r="L97" s="1">
        <v>3</v>
      </c>
      <c r="M97" s="11">
        <v>1</v>
      </c>
      <c r="N97" s="11">
        <v>2</v>
      </c>
      <c r="O97" s="11">
        <v>3</v>
      </c>
      <c r="P97" s="11">
        <v>4</v>
      </c>
    </row>
    <row r="98" spans="1:16" x14ac:dyDescent="0.3">
      <c r="A98" s="1">
        <v>55</v>
      </c>
      <c r="B98" s="1">
        <v>0</v>
      </c>
      <c r="C98" s="1">
        <v>0.21738663045090306</v>
      </c>
      <c r="D98" s="1">
        <v>0.34782740110913557</v>
      </c>
      <c r="E98" s="1">
        <v>0.21739047520631422</v>
      </c>
      <c r="F98" s="1">
        <v>0.21739549323364671</v>
      </c>
      <c r="J98" s="1">
        <v>25</v>
      </c>
      <c r="K98" s="1">
        <v>0.468700110912323</v>
      </c>
      <c r="L98" s="1">
        <v>4</v>
      </c>
      <c r="M98" s="11">
        <v>1</v>
      </c>
      <c r="N98" s="11">
        <v>2</v>
      </c>
      <c r="O98" s="11">
        <v>3</v>
      </c>
      <c r="P98" s="11">
        <v>4</v>
      </c>
    </row>
    <row r="99" spans="1:16" x14ac:dyDescent="0.3">
      <c r="A99" s="1">
        <v>56</v>
      </c>
      <c r="B99" s="1">
        <v>0</v>
      </c>
      <c r="C99" s="1">
        <v>0.21739549323364671</v>
      </c>
      <c r="D99" s="1">
        <v>0.34782674091437737</v>
      </c>
      <c r="E99" s="1">
        <v>0.21738663045090306</v>
      </c>
      <c r="F99" s="1">
        <v>0.21739113540107241</v>
      </c>
      <c r="J99" s="1">
        <v>26</v>
      </c>
      <c r="K99" s="1">
        <v>0.29816544055938721</v>
      </c>
      <c r="L99" s="1">
        <v>1</v>
      </c>
      <c r="M99" s="11">
        <v>1</v>
      </c>
      <c r="N99" s="11">
        <v>2</v>
      </c>
      <c r="O99" s="11">
        <v>3</v>
      </c>
      <c r="P99" s="11">
        <v>4</v>
      </c>
    </row>
    <row r="100" spans="1:16" x14ac:dyDescent="0.3">
      <c r="A100" s="1">
        <v>57</v>
      </c>
      <c r="B100" s="1">
        <v>0</v>
      </c>
      <c r="C100" s="1">
        <v>0.21739113540107241</v>
      </c>
      <c r="D100" s="1">
        <v>0.34782470786614428</v>
      </c>
      <c r="E100" s="1">
        <v>0.21739549323364671</v>
      </c>
      <c r="F100" s="1">
        <v>0.21738866349913619</v>
      </c>
      <c r="J100" s="1">
        <v>27</v>
      </c>
      <c r="K100" s="1">
        <v>0.62269669771194458</v>
      </c>
      <c r="L100" s="1">
        <v>3</v>
      </c>
      <c r="M100" s="11">
        <v>1</v>
      </c>
      <c r="N100" s="11">
        <v>2</v>
      </c>
      <c r="O100" s="11">
        <v>3</v>
      </c>
      <c r="P100" s="11">
        <v>4</v>
      </c>
    </row>
    <row r="101" spans="1:16" x14ac:dyDescent="0.3">
      <c r="A101" s="1">
        <v>58</v>
      </c>
      <c r="B101" s="1">
        <v>0</v>
      </c>
      <c r="C101" s="1">
        <v>0.21738866349913619</v>
      </c>
      <c r="D101" s="1">
        <v>0.34782672819306693</v>
      </c>
      <c r="E101" s="1">
        <v>0.21739113540107241</v>
      </c>
      <c r="F101" s="1">
        <v>0.21739347290672409</v>
      </c>
      <c r="J101" s="1">
        <v>28</v>
      </c>
      <c r="K101" s="1">
        <v>0.64782118797302246</v>
      </c>
      <c r="L101" s="1">
        <v>4</v>
      </c>
      <c r="M101" s="11">
        <v>1</v>
      </c>
      <c r="N101" s="11">
        <v>2</v>
      </c>
      <c r="O101" s="11">
        <v>3</v>
      </c>
      <c r="P101" s="11">
        <v>4</v>
      </c>
    </row>
    <row r="102" spans="1:16" x14ac:dyDescent="0.3">
      <c r="A102" s="1">
        <v>59</v>
      </c>
      <c r="B102" s="1">
        <v>0</v>
      </c>
      <c r="C102" s="1">
        <v>0.21739347290672409</v>
      </c>
      <c r="D102" s="1">
        <v>0.34782650030522916</v>
      </c>
      <c r="E102" s="1">
        <v>0.21738866349913619</v>
      </c>
      <c r="F102" s="1">
        <v>0.21739136328891018</v>
      </c>
      <c r="J102" s="1">
        <v>29</v>
      </c>
      <c r="K102" s="1">
        <v>0.26379293203353882</v>
      </c>
      <c r="L102" s="1">
        <v>1</v>
      </c>
      <c r="M102" s="11">
        <v>1</v>
      </c>
      <c r="N102" s="11">
        <v>2</v>
      </c>
      <c r="O102" s="11">
        <v>3</v>
      </c>
      <c r="P102" s="11">
        <v>4</v>
      </c>
    </row>
    <row r="103" spans="1:16" x14ac:dyDescent="0.3">
      <c r="A103" s="1">
        <v>60</v>
      </c>
      <c r="B103" s="1">
        <v>0</v>
      </c>
      <c r="C103" s="1">
        <v>0.21739136328891018</v>
      </c>
      <c r="D103" s="1">
        <v>0.34782534062857634</v>
      </c>
      <c r="E103" s="1">
        <v>0.21739347290672409</v>
      </c>
      <c r="F103" s="1">
        <v>0.21738982317578898</v>
      </c>
      <c r="J103" s="1">
        <v>30</v>
      </c>
      <c r="K103" s="1">
        <v>0.27934205532073975</v>
      </c>
      <c r="L103" s="1">
        <v>3</v>
      </c>
      <c r="M103" s="11">
        <v>1</v>
      </c>
      <c r="N103" s="11">
        <v>2</v>
      </c>
      <c r="O103" s="11">
        <v>3</v>
      </c>
      <c r="P103" s="11">
        <v>4</v>
      </c>
    </row>
    <row r="104" spans="1:16" x14ac:dyDescent="0.3">
      <c r="A104" s="1">
        <v>61</v>
      </c>
      <c r="B104" s="1">
        <v>0</v>
      </c>
      <c r="C104" s="1">
        <v>0.21738982317578898</v>
      </c>
      <c r="D104" s="1">
        <v>0.3478263946341219</v>
      </c>
      <c r="E104" s="1">
        <v>0.21739136328891018</v>
      </c>
      <c r="F104" s="1">
        <v>0.21739241890117855</v>
      </c>
      <c r="J104" s="1">
        <v>31</v>
      </c>
      <c r="K104" s="1">
        <v>0.82980161905288696</v>
      </c>
      <c r="L104" s="1">
        <v>4</v>
      </c>
      <c r="M104" s="11">
        <v>1</v>
      </c>
      <c r="N104" s="11">
        <v>2</v>
      </c>
      <c r="O104" s="11">
        <v>3</v>
      </c>
      <c r="P104" s="11">
        <v>4</v>
      </c>
    </row>
    <row r="105" spans="1:16" x14ac:dyDescent="0.3">
      <c r="A105" s="1">
        <v>62</v>
      </c>
      <c r="B105" s="1">
        <v>0</v>
      </c>
      <c r="C105" s="1">
        <v>0.21739241890117855</v>
      </c>
      <c r="D105" s="1">
        <v>0.34782634129115553</v>
      </c>
      <c r="E105" s="1">
        <v>0.21738982317578898</v>
      </c>
      <c r="F105" s="1">
        <v>0.21739141663187658</v>
      </c>
      <c r="J105" s="1">
        <v>32</v>
      </c>
      <c r="K105" s="1">
        <v>0.82460212707519531</v>
      </c>
      <c r="L105" s="1">
        <v>1</v>
      </c>
      <c r="M105" s="11">
        <v>1</v>
      </c>
      <c r="N105" s="11">
        <v>2</v>
      </c>
      <c r="O105" s="11">
        <v>3</v>
      </c>
      <c r="P105" s="11">
        <v>4</v>
      </c>
    </row>
    <row r="106" spans="1:16" x14ac:dyDescent="0.3">
      <c r="A106" s="1">
        <v>63</v>
      </c>
      <c r="B106" s="1">
        <v>0</v>
      </c>
      <c r="C106" s="1">
        <v>0.21739141663187658</v>
      </c>
      <c r="D106" s="1">
        <v>0.34782568523868224</v>
      </c>
      <c r="E106" s="1">
        <v>0.21739241890117855</v>
      </c>
      <c r="F106" s="1">
        <v>0.21739047922826227</v>
      </c>
      <c r="J106" s="1">
        <v>33</v>
      </c>
      <c r="K106" s="1">
        <v>0.58916300535202026</v>
      </c>
      <c r="L106" s="1">
        <v>3</v>
      </c>
      <c r="M106" s="11">
        <v>1</v>
      </c>
      <c r="N106" s="11">
        <v>2</v>
      </c>
      <c r="O106" s="11">
        <v>3</v>
      </c>
      <c r="P106" s="11">
        <v>4</v>
      </c>
    </row>
    <row r="107" spans="1:16" x14ac:dyDescent="0.3">
      <c r="A107" s="1">
        <v>64</v>
      </c>
      <c r="B107" s="1">
        <v>0</v>
      </c>
      <c r="C107" s="1">
        <v>0.21739047922826227</v>
      </c>
      <c r="D107" s="1">
        <v>0.34782623148948311</v>
      </c>
      <c r="E107" s="1">
        <v>0.21739141663187658</v>
      </c>
      <c r="F107" s="1">
        <v>0.21739187265037768</v>
      </c>
      <c r="J107" s="1">
        <v>34</v>
      </c>
      <c r="K107" s="1">
        <v>0.98609316349029541</v>
      </c>
      <c r="L107" s="1">
        <v>4</v>
      </c>
      <c r="M107" s="11">
        <v>1</v>
      </c>
      <c r="N107" s="11">
        <v>2</v>
      </c>
      <c r="O107" s="11">
        <v>3</v>
      </c>
      <c r="P107" s="11">
        <v>4</v>
      </c>
    </row>
    <row r="108" spans="1:16" x14ac:dyDescent="0.3">
      <c r="A108" s="1">
        <v>65</v>
      </c>
      <c r="B108" s="1">
        <v>0</v>
      </c>
      <c r="C108" s="1">
        <v>0.21739187265037768</v>
      </c>
      <c r="D108" s="1">
        <v>0.34782624026986297</v>
      </c>
      <c r="E108" s="1">
        <v>0.21739047922826227</v>
      </c>
      <c r="F108" s="1">
        <v>0.21739140785149672</v>
      </c>
      <c r="J108" s="1">
        <v>35</v>
      </c>
      <c r="K108" s="1">
        <v>0.91096431016921997</v>
      </c>
      <c r="L108" s="1">
        <v>1</v>
      </c>
      <c r="M108" s="11">
        <v>1</v>
      </c>
      <c r="N108" s="11">
        <v>2</v>
      </c>
      <c r="O108" s="11">
        <v>3</v>
      </c>
      <c r="P108" s="11">
        <v>4</v>
      </c>
    </row>
    <row r="109" spans="1:16" x14ac:dyDescent="0.3">
      <c r="A109" s="1">
        <v>66</v>
      </c>
      <c r="B109" s="1">
        <v>0</v>
      </c>
      <c r="C109" s="1">
        <v>0.21739140785149672</v>
      </c>
      <c r="D109" s="1">
        <v>0.34782587189370212</v>
      </c>
      <c r="E109" s="1">
        <v>0.21739187265037768</v>
      </c>
      <c r="F109" s="1">
        <v>0.21739084760442309</v>
      </c>
      <c r="J109" s="1">
        <v>36</v>
      </c>
      <c r="K109" s="1">
        <v>0.22686600685119629</v>
      </c>
      <c r="L109" s="1">
        <v>3</v>
      </c>
      <c r="M109" s="11">
        <v>1</v>
      </c>
      <c r="N109" s="11">
        <v>2</v>
      </c>
      <c r="O109" s="11">
        <v>3</v>
      </c>
      <c r="P109" s="11">
        <v>4</v>
      </c>
    </row>
    <row r="110" spans="1:16" x14ac:dyDescent="0.3">
      <c r="A110" s="1">
        <v>67</v>
      </c>
      <c r="B110" s="1">
        <v>0</v>
      </c>
      <c r="C110" s="1">
        <v>0.21739084760442309</v>
      </c>
      <c r="D110" s="1">
        <v>0.34782615298042763</v>
      </c>
      <c r="E110" s="1">
        <v>0.21739140785149672</v>
      </c>
      <c r="F110" s="1">
        <v>0.21739159156365212</v>
      </c>
      <c r="J110" s="1">
        <v>37</v>
      </c>
      <c r="K110" s="1">
        <v>0.69511550664901733</v>
      </c>
      <c r="L110" s="1">
        <v>4</v>
      </c>
      <c r="M110" s="11">
        <v>1</v>
      </c>
      <c r="N110" s="11">
        <v>2</v>
      </c>
      <c r="O110" s="11">
        <v>3</v>
      </c>
      <c r="P110" s="11">
        <v>4</v>
      </c>
    </row>
    <row r="111" spans="1:16" x14ac:dyDescent="0.3">
      <c r="A111" s="1">
        <v>68</v>
      </c>
      <c r="B111" s="1">
        <v>0</v>
      </c>
      <c r="C111" s="1">
        <v>0.21739159156365212</v>
      </c>
      <c r="D111" s="1">
        <v>0.34782617787591941</v>
      </c>
      <c r="E111" s="1">
        <v>0.21739084760442309</v>
      </c>
      <c r="F111" s="1">
        <v>0.21739138295600494</v>
      </c>
      <c r="J111" s="1">
        <v>38</v>
      </c>
      <c r="K111" s="1">
        <v>0.9800032377243042</v>
      </c>
      <c r="L111" s="1">
        <v>1</v>
      </c>
      <c r="M111" s="11">
        <v>1</v>
      </c>
      <c r="N111" s="11">
        <v>2</v>
      </c>
      <c r="O111" s="11">
        <v>3</v>
      </c>
      <c r="P111" s="11">
        <v>4</v>
      </c>
    </row>
    <row r="112" spans="1:16" x14ac:dyDescent="0.3">
      <c r="A112" s="1">
        <v>69</v>
      </c>
      <c r="B112" s="1">
        <v>0</v>
      </c>
      <c r="C112" s="1">
        <v>0.21739138295600494</v>
      </c>
      <c r="D112" s="1">
        <v>0.34782597244870883</v>
      </c>
      <c r="E112" s="1">
        <v>0.21739159156365212</v>
      </c>
      <c r="F112" s="1">
        <v>0.2173910530316337</v>
      </c>
      <c r="J112" s="1">
        <v>39</v>
      </c>
      <c r="K112" s="1">
        <v>0.2439313530921936</v>
      </c>
      <c r="L112" s="1">
        <v>3</v>
      </c>
      <c r="M112" s="11">
        <v>1</v>
      </c>
      <c r="N112" s="11">
        <v>2</v>
      </c>
      <c r="O112" s="11">
        <v>3</v>
      </c>
      <c r="P112" s="11">
        <v>4</v>
      </c>
    </row>
    <row r="113" spans="1:16" x14ac:dyDescent="0.3">
      <c r="A113" s="1">
        <v>70</v>
      </c>
      <c r="B113" s="1">
        <v>0</v>
      </c>
      <c r="C113" s="1">
        <v>0.2173910530316337</v>
      </c>
      <c r="D113" s="1">
        <v>0.34782611596199242</v>
      </c>
      <c r="E113" s="1">
        <v>0.21739138295600494</v>
      </c>
      <c r="F113" s="1">
        <v>0.21739144805036847</v>
      </c>
      <c r="J113" s="1">
        <v>40</v>
      </c>
      <c r="K113" s="1">
        <v>0.53387308120727539</v>
      </c>
      <c r="L113" s="1">
        <v>4</v>
      </c>
      <c r="M113" s="11">
        <v>1</v>
      </c>
      <c r="N113" s="11">
        <v>2</v>
      </c>
      <c r="O113" s="11">
        <v>3</v>
      </c>
      <c r="P113" s="11">
        <v>4</v>
      </c>
    </row>
    <row r="114" spans="1:16" x14ac:dyDescent="0.3">
      <c r="J114" s="1">
        <v>41</v>
      </c>
      <c r="K114" s="1">
        <v>0.10636967420578003</v>
      </c>
      <c r="L114" s="1">
        <v>1</v>
      </c>
      <c r="M114" s="11">
        <v>1</v>
      </c>
      <c r="N114" s="11">
        <v>2</v>
      </c>
      <c r="O114" s="11">
        <v>3</v>
      </c>
      <c r="P114" s="11">
        <v>4</v>
      </c>
    </row>
    <row r="115" spans="1:16" x14ac:dyDescent="0.3">
      <c r="J115" s="1">
        <v>42</v>
      </c>
      <c r="K115" s="1">
        <v>0.99941456317901611</v>
      </c>
      <c r="L115" s="1">
        <v>3</v>
      </c>
      <c r="M115" s="11">
        <v>1</v>
      </c>
      <c r="N115" s="11">
        <v>2</v>
      </c>
      <c r="O115" s="11">
        <v>3</v>
      </c>
      <c r="P115" s="11">
        <v>4</v>
      </c>
    </row>
    <row r="116" spans="1:16" x14ac:dyDescent="0.3">
      <c r="J116" s="1">
        <v>43</v>
      </c>
      <c r="K116" s="1">
        <v>0.67617589235305786</v>
      </c>
      <c r="L116" s="1">
        <v>4</v>
      </c>
      <c r="M116" s="11">
        <v>1</v>
      </c>
      <c r="N116" s="11">
        <v>2</v>
      </c>
      <c r="O116" s="11">
        <v>3</v>
      </c>
      <c r="P116" s="11">
        <v>4</v>
      </c>
    </row>
    <row r="117" spans="1:16" x14ac:dyDescent="0.3">
      <c r="B117" t="s">
        <v>7</v>
      </c>
      <c r="J117" s="1">
        <v>44</v>
      </c>
      <c r="K117" s="1">
        <v>1.5703916549682617E-2</v>
      </c>
      <c r="L117" s="1">
        <v>1</v>
      </c>
      <c r="M117" s="11">
        <v>1</v>
      </c>
      <c r="N117" s="11">
        <v>2</v>
      </c>
      <c r="O117" s="11">
        <v>3</v>
      </c>
      <c r="P117" s="11">
        <v>4</v>
      </c>
    </row>
    <row r="118" spans="1:16" x14ac:dyDescent="0.3">
      <c r="B118" s="1">
        <v>0</v>
      </c>
      <c r="C118" s="1">
        <v>1</v>
      </c>
      <c r="D118" s="1">
        <v>2</v>
      </c>
      <c r="E118" s="1">
        <v>3</v>
      </c>
      <c r="F118" s="1">
        <v>4</v>
      </c>
      <c r="J118" s="1">
        <v>45</v>
      </c>
      <c r="K118" s="1">
        <v>0.57518380880355835</v>
      </c>
      <c r="L118" s="1">
        <v>3</v>
      </c>
      <c r="M118" s="11">
        <v>1</v>
      </c>
      <c r="N118" s="11">
        <v>2</v>
      </c>
      <c r="O118" s="11">
        <v>3</v>
      </c>
      <c r="P118" s="11">
        <v>4</v>
      </c>
    </row>
    <row r="119" spans="1:16" x14ac:dyDescent="0.3">
      <c r="A119" s="1">
        <v>0</v>
      </c>
      <c r="B119" s="1">
        <v>0</v>
      </c>
      <c r="C119" s="1">
        <v>0.5</v>
      </c>
      <c r="D119" s="1">
        <v>0</v>
      </c>
      <c r="E119" s="1">
        <v>0</v>
      </c>
      <c r="F119" s="1">
        <v>0.5</v>
      </c>
      <c r="J119" s="1">
        <v>46</v>
      </c>
      <c r="K119" s="1">
        <v>0.10005223751068115</v>
      </c>
      <c r="L119" s="1">
        <v>2</v>
      </c>
      <c r="M119" s="11">
        <v>1</v>
      </c>
      <c r="N119" s="11">
        <v>2</v>
      </c>
      <c r="O119" s="11">
        <v>3</v>
      </c>
      <c r="P119" s="11">
        <v>4</v>
      </c>
    </row>
    <row r="120" spans="1:16" x14ac:dyDescent="0.3">
      <c r="A120" s="1">
        <v>1</v>
      </c>
      <c r="B120" s="1">
        <v>0</v>
      </c>
      <c r="C120" s="1">
        <v>0</v>
      </c>
      <c r="D120" s="1">
        <v>0</v>
      </c>
      <c r="E120" s="1">
        <v>1</v>
      </c>
      <c r="F120" s="1">
        <v>0</v>
      </c>
      <c r="J120" s="1">
        <v>47</v>
      </c>
      <c r="K120" s="1">
        <v>0.10302263498306274</v>
      </c>
      <c r="L120" s="1">
        <v>2</v>
      </c>
      <c r="M120" s="11">
        <v>1</v>
      </c>
      <c r="N120" s="11">
        <v>2</v>
      </c>
      <c r="O120" s="11">
        <v>3</v>
      </c>
      <c r="P120" s="11">
        <v>4</v>
      </c>
    </row>
    <row r="121" spans="1:16" x14ac:dyDescent="0.3">
      <c r="A121" s="1">
        <v>2</v>
      </c>
      <c r="B121" s="1">
        <v>0</v>
      </c>
      <c r="C121" s="1">
        <v>0</v>
      </c>
      <c r="D121" s="1">
        <v>0.75</v>
      </c>
      <c r="E121" s="1">
        <v>0</v>
      </c>
      <c r="F121" s="1">
        <v>0.25</v>
      </c>
      <c r="J121" s="1">
        <v>48</v>
      </c>
      <c r="K121" s="1">
        <v>0.79888439178466797</v>
      </c>
      <c r="L121" s="1">
        <v>4</v>
      </c>
      <c r="M121" s="11">
        <v>1</v>
      </c>
      <c r="N121" s="11">
        <v>2</v>
      </c>
      <c r="O121" s="11">
        <v>3</v>
      </c>
      <c r="P121" s="11">
        <v>4</v>
      </c>
    </row>
    <row r="122" spans="1:16" x14ac:dyDescent="0.3">
      <c r="A122" s="1">
        <v>3</v>
      </c>
      <c r="B122" s="1">
        <v>0</v>
      </c>
      <c r="C122" s="1">
        <v>0</v>
      </c>
      <c r="D122" s="1">
        <v>0.4</v>
      </c>
      <c r="E122" s="1">
        <v>0</v>
      </c>
      <c r="F122" s="1">
        <v>0.6</v>
      </c>
      <c r="J122" s="1">
        <v>49</v>
      </c>
      <c r="K122" s="1">
        <v>0.28448027372360229</v>
      </c>
      <c r="L122" s="1">
        <v>1</v>
      </c>
      <c r="M122" s="11">
        <v>1</v>
      </c>
      <c r="N122" s="11">
        <v>2</v>
      </c>
      <c r="O122" s="11">
        <v>3</v>
      </c>
      <c r="P122" s="11">
        <v>4</v>
      </c>
    </row>
    <row r="123" spans="1:16" x14ac:dyDescent="0.3">
      <c r="A123" s="1">
        <v>4</v>
      </c>
      <c r="B123" s="1">
        <v>0</v>
      </c>
      <c r="C123" s="1">
        <v>1</v>
      </c>
      <c r="D123" s="1">
        <v>0</v>
      </c>
      <c r="E123" s="1">
        <v>0</v>
      </c>
      <c r="F123" s="1">
        <v>0</v>
      </c>
      <c r="J123" s="1">
        <v>50</v>
      </c>
      <c r="K123" s="1">
        <v>4.5649170875549316E-2</v>
      </c>
      <c r="L123" s="1">
        <v>3</v>
      </c>
      <c r="M123" s="11">
        <v>1</v>
      </c>
      <c r="N123" s="11">
        <v>2</v>
      </c>
      <c r="O123" s="11">
        <v>3</v>
      </c>
      <c r="P123" s="11">
        <v>4</v>
      </c>
    </row>
  </sheetData>
  <mergeCells count="1">
    <mergeCell ref="B41:F41"/>
  </mergeCells>
  <pageMargins left="0.7" right="0.7" top="0.75" bottom="0.75" header="0.3" footer="0.3"/>
  <pageSetup paperSize="9" orientation="portrait" r:id="rId1"/>
  <ignoredErrors>
    <ignoredError sqref="C18:E18" formulaRange="1"/>
  </ignoredError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</xdr:col>
                <xdr:colOff>7620</xdr:colOff>
                <xdr:row>38</xdr:row>
                <xdr:rowOff>7620</xdr:rowOff>
              </from>
              <to>
                <xdr:col>7</xdr:col>
                <xdr:colOff>83820</xdr:colOff>
                <xdr:row>39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34" r:id="rId6" name="CommandButton2">
          <controlPr defaultSize="0" autoLine="0" autoPict="0" r:id="rId7">
            <anchor moveWithCells="1">
              <from>
                <xdr:col>5</xdr:col>
                <xdr:colOff>601980</xdr:colOff>
                <xdr:row>118</xdr:row>
                <xdr:rowOff>152400</xdr:rowOff>
              </from>
              <to>
                <xdr:col>8</xdr:col>
                <xdr:colOff>304800</xdr:colOff>
                <xdr:row>120</xdr:row>
                <xdr:rowOff>30480</xdr:rowOff>
              </to>
            </anchor>
          </controlPr>
        </control>
      </mc:Choice>
      <mc:Fallback>
        <control shapeId="103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V13"/>
  <sheetViews>
    <sheetView workbookViewId="0"/>
  </sheetViews>
  <sheetFormatPr defaultRowHeight="14.4" x14ac:dyDescent="0.3"/>
  <sheetData>
    <row r="2" spans="1:22" x14ac:dyDescent="0.3">
      <c r="C2" s="1">
        <v>0</v>
      </c>
      <c r="D2" s="1">
        <v>1</v>
      </c>
      <c r="E2" s="1">
        <v>2</v>
      </c>
      <c r="F2" s="1">
        <v>3</v>
      </c>
      <c r="G2" s="1">
        <v>4</v>
      </c>
    </row>
    <row r="3" spans="1:22" x14ac:dyDescent="0.3">
      <c r="B3" s="1">
        <v>0</v>
      </c>
      <c r="C3" s="6">
        <v>0</v>
      </c>
      <c r="D3" s="6">
        <v>0.5</v>
      </c>
      <c r="E3" s="6">
        <v>0</v>
      </c>
      <c r="F3" s="6">
        <v>0</v>
      </c>
      <c r="G3" s="6">
        <v>0.5</v>
      </c>
      <c r="H3" s="11">
        <f t="array" ref="H3:L7">TRANSPOSE(C3:G7)</f>
        <v>0</v>
      </c>
      <c r="I3" s="11">
        <v>0</v>
      </c>
      <c r="J3" s="11">
        <v>0</v>
      </c>
      <c r="K3" s="11">
        <v>0</v>
      </c>
      <c r="L3" s="11">
        <v>0</v>
      </c>
    </row>
    <row r="4" spans="1:22" x14ac:dyDescent="0.3">
      <c r="B4" s="1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11">
        <v>0.5</v>
      </c>
      <c r="I4" s="11">
        <v>0</v>
      </c>
      <c r="J4" s="11">
        <v>0</v>
      </c>
      <c r="K4" s="11">
        <v>0</v>
      </c>
      <c r="L4" s="11">
        <v>1</v>
      </c>
    </row>
    <row r="5" spans="1:22" x14ac:dyDescent="0.3">
      <c r="B5" s="1">
        <v>2</v>
      </c>
      <c r="C5" s="6">
        <v>0</v>
      </c>
      <c r="D5" s="6">
        <v>0</v>
      </c>
      <c r="E5" s="6">
        <v>0.75</v>
      </c>
      <c r="F5" s="6">
        <v>0</v>
      </c>
      <c r="G5" s="6">
        <v>0.25</v>
      </c>
      <c r="H5" s="11">
        <v>0</v>
      </c>
      <c r="I5" s="11">
        <v>0</v>
      </c>
      <c r="J5" s="11">
        <v>0.75</v>
      </c>
      <c r="K5" s="11">
        <v>0.4</v>
      </c>
      <c r="L5" s="11">
        <v>0</v>
      </c>
    </row>
    <row r="6" spans="1:22" x14ac:dyDescent="0.3">
      <c r="B6" s="1">
        <v>3</v>
      </c>
      <c r="C6" s="6">
        <v>0</v>
      </c>
      <c r="D6" s="6">
        <v>0</v>
      </c>
      <c r="E6" s="6">
        <v>0.4</v>
      </c>
      <c r="F6" s="6">
        <v>0</v>
      </c>
      <c r="G6" s="6">
        <v>0.6</v>
      </c>
      <c r="H6" s="11">
        <v>0</v>
      </c>
      <c r="I6" s="11">
        <v>1</v>
      </c>
      <c r="J6" s="11">
        <v>0</v>
      </c>
      <c r="K6" s="11">
        <v>0</v>
      </c>
      <c r="L6" s="11">
        <v>0</v>
      </c>
    </row>
    <row r="7" spans="1:22" x14ac:dyDescent="0.3">
      <c r="B7" s="12">
        <v>4</v>
      </c>
      <c r="C7" s="13">
        <v>0</v>
      </c>
      <c r="D7" s="13">
        <v>1</v>
      </c>
      <c r="E7" s="13">
        <v>0</v>
      </c>
      <c r="F7" s="13">
        <v>0</v>
      </c>
      <c r="G7" s="13">
        <v>0</v>
      </c>
      <c r="H7" s="11">
        <v>0.5</v>
      </c>
      <c r="I7" s="11">
        <v>0</v>
      </c>
      <c r="J7" s="11">
        <v>0.25</v>
      </c>
      <c r="K7" s="11">
        <v>0.6</v>
      </c>
      <c r="L7" s="11">
        <v>0</v>
      </c>
    </row>
    <row r="8" spans="1:22" x14ac:dyDescent="0.3">
      <c r="B8" s="14">
        <v>0</v>
      </c>
      <c r="C8" s="14">
        <v>1</v>
      </c>
      <c r="D8" s="14">
        <v>2</v>
      </c>
      <c r="E8" s="14">
        <v>3</v>
      </c>
      <c r="F8" s="14">
        <v>4</v>
      </c>
      <c r="G8" s="14">
        <v>5</v>
      </c>
      <c r="H8" s="15">
        <v>6</v>
      </c>
      <c r="I8" s="15">
        <v>7</v>
      </c>
      <c r="J8" s="15">
        <v>8</v>
      </c>
      <c r="K8" s="15">
        <v>9</v>
      </c>
      <c r="L8" s="15">
        <v>10</v>
      </c>
      <c r="M8" s="14">
        <v>11</v>
      </c>
      <c r="N8" s="14">
        <v>12</v>
      </c>
      <c r="O8" s="14">
        <v>13</v>
      </c>
      <c r="P8" s="14">
        <v>14</v>
      </c>
      <c r="Q8" s="14">
        <v>15</v>
      </c>
      <c r="R8" s="14">
        <v>16</v>
      </c>
      <c r="S8" s="14">
        <v>17</v>
      </c>
      <c r="T8" s="14">
        <v>18</v>
      </c>
      <c r="U8" s="14">
        <v>19</v>
      </c>
      <c r="V8" s="14">
        <v>20</v>
      </c>
    </row>
    <row r="9" spans="1:22" x14ac:dyDescent="0.3">
      <c r="A9" s="1">
        <v>0</v>
      </c>
      <c r="B9" s="14">
        <v>1</v>
      </c>
      <c r="C9" s="14">
        <f t="array" ref="C9:C13">MMULT($H$3:$L$7,B9:B13)</f>
        <v>0</v>
      </c>
      <c r="D9" s="14">
        <f t="array" ref="D9:D13">MMULT($H$3:$L$7,C9:C13)</f>
        <v>0</v>
      </c>
      <c r="E9" s="14">
        <f t="array" ref="E9:E13">MMULT($H$3:$L$7,D9:D13)</f>
        <v>0</v>
      </c>
      <c r="F9" s="14">
        <f t="array" ref="F9:F13">MMULT($H$3:$L$7,E9:E13)</f>
        <v>0</v>
      </c>
      <c r="G9" s="14">
        <f t="array" ref="G9:G13">MMULT($H$3:$L$7,F9:F13)</f>
        <v>0</v>
      </c>
      <c r="H9" s="14">
        <f t="array" ref="H9:H13">MMULT($H$3:$L$7,G9:G13)</f>
        <v>0</v>
      </c>
      <c r="I9" s="14">
        <f t="array" ref="I9:I13">MMULT($H$3:$L$7,H9:H13)</f>
        <v>0</v>
      </c>
      <c r="J9" s="14">
        <f t="array" ref="J9:J13">MMULT($H$3:$L$7,I9:I13)</f>
        <v>0</v>
      </c>
      <c r="K9" s="14">
        <f t="array" ref="K9:K13">MMULT($H$3:$L$7,J9:J13)</f>
        <v>0</v>
      </c>
      <c r="L9" s="14">
        <f t="array" ref="L9:L13">MMULT($H$3:$L$7,K9:K13)</f>
        <v>0</v>
      </c>
      <c r="M9" s="14">
        <f t="array" ref="M9:M13">MMULT($H$3:$L$7,L9:L13)</f>
        <v>0</v>
      </c>
      <c r="N9" s="14">
        <f t="array" ref="N9:N13">MMULT($H$3:$L$7,M9:M13)</f>
        <v>0</v>
      </c>
      <c r="O9" s="14">
        <f t="array" ref="O9:O13">MMULT($H$3:$L$7,N9:N13)</f>
        <v>0</v>
      </c>
      <c r="P9" s="14">
        <f t="array" ref="P9:P13">MMULT($H$3:$L$7,O9:O13)</f>
        <v>0</v>
      </c>
      <c r="Q9" s="14">
        <f t="array" ref="Q9:Q13">MMULT($H$3:$L$7,P9:P13)</f>
        <v>0</v>
      </c>
      <c r="R9" s="14">
        <f t="array" ref="R9:R13">MMULT($H$3:$L$7,Q9:Q13)</f>
        <v>0</v>
      </c>
      <c r="S9" s="14">
        <f t="array" ref="S9:S13">MMULT($H$3:$L$7,R9:R13)</f>
        <v>0</v>
      </c>
      <c r="T9" s="14">
        <f t="array" ref="T9:T13">MMULT($H$3:$L$7,S9:S13)</f>
        <v>0</v>
      </c>
      <c r="U9" s="14">
        <f t="array" ref="U9:U13">MMULT($H$3:$L$7,T9:T13)</f>
        <v>0</v>
      </c>
      <c r="V9" s="14">
        <f t="array" ref="V9:V13">MMULT($H$3:$L$7,U9:U13)</f>
        <v>0</v>
      </c>
    </row>
    <row r="10" spans="1:22" x14ac:dyDescent="0.3">
      <c r="A10" s="1">
        <v>1</v>
      </c>
      <c r="B10" s="14">
        <v>0</v>
      </c>
      <c r="C10" s="14">
        <v>0.5</v>
      </c>
      <c r="D10" s="14">
        <v>0.5</v>
      </c>
      <c r="E10" s="14">
        <v>0</v>
      </c>
      <c r="F10" s="14">
        <v>0.3</v>
      </c>
      <c r="G10" s="14">
        <v>0.35</v>
      </c>
      <c r="H10" s="14">
        <v>8.7500000000000008E-2</v>
      </c>
      <c r="I10" s="14">
        <v>0.24562499999999998</v>
      </c>
      <c r="J10" s="14">
        <v>0.28921874999999997</v>
      </c>
      <c r="K10" s="14">
        <v>0.1469140625</v>
      </c>
      <c r="L10" s="14">
        <v>0.22693554687499998</v>
      </c>
      <c r="M10" s="14">
        <v>0.25776416015624998</v>
      </c>
      <c r="N10" s="14">
        <v>0.1802449951171875</v>
      </c>
      <c r="O10" s="14">
        <v>0.21992515258789061</v>
      </c>
      <c r="P10" s="14">
        <v>0.24017491912841796</v>
      </c>
      <c r="Q10" s="14">
        <v>0.19806073036193847</v>
      </c>
      <c r="R10" s="14">
        <v>0.21741489103317257</v>
      </c>
      <c r="S10" s="14">
        <v>0.23019231634616849</v>
      </c>
      <c r="T10" s="14">
        <v>0.20741945378184318</v>
      </c>
      <c r="U10" s="14">
        <v>0.21669226932960745</v>
      </c>
      <c r="V10" s="14">
        <v>0.22453937994329629</v>
      </c>
    </row>
    <row r="11" spans="1:22" x14ac:dyDescent="0.3">
      <c r="A11" s="1">
        <v>2</v>
      </c>
      <c r="B11" s="14">
        <v>0</v>
      </c>
      <c r="C11" s="14">
        <v>0</v>
      </c>
      <c r="D11" s="14">
        <v>0</v>
      </c>
      <c r="E11" s="14">
        <v>0.2</v>
      </c>
      <c r="F11" s="14">
        <v>0.35000000000000003</v>
      </c>
      <c r="G11" s="14">
        <v>0.26250000000000001</v>
      </c>
      <c r="H11" s="14">
        <v>0.31687500000000002</v>
      </c>
      <c r="I11" s="14">
        <v>0.37765625000000003</v>
      </c>
      <c r="J11" s="14">
        <v>0.3182421875</v>
      </c>
      <c r="K11" s="14">
        <v>0.33693164062500003</v>
      </c>
      <c r="L11" s="14">
        <v>0.36838623046875002</v>
      </c>
      <c r="M11" s="14">
        <v>0.33505529785156252</v>
      </c>
      <c r="N11" s="14">
        <v>0.34206569213867188</v>
      </c>
      <c r="O11" s="14">
        <v>0.35965493316650388</v>
      </c>
      <c r="P11" s="14">
        <v>0.34183919792175288</v>
      </c>
      <c r="Q11" s="14">
        <v>0.34434945947647089</v>
      </c>
      <c r="R11" s="14">
        <v>0.35433206225872038</v>
      </c>
      <c r="S11" s="14">
        <v>0.3449733388388157</v>
      </c>
      <c r="T11" s="14">
        <v>0.34569596054238083</v>
      </c>
      <c r="U11" s="14">
        <v>0.35134889694525301</v>
      </c>
      <c r="V11" s="14">
        <v>0.34647945422167703</v>
      </c>
    </row>
    <row r="12" spans="1:22" x14ac:dyDescent="0.3">
      <c r="A12" s="1">
        <v>3</v>
      </c>
      <c r="B12" s="14">
        <v>0</v>
      </c>
      <c r="C12" s="14">
        <v>0</v>
      </c>
      <c r="D12" s="14">
        <v>0.5</v>
      </c>
      <c r="E12" s="14">
        <v>0.5</v>
      </c>
      <c r="F12" s="14">
        <v>0</v>
      </c>
      <c r="G12" s="14">
        <v>0.3</v>
      </c>
      <c r="H12" s="14">
        <v>0.35</v>
      </c>
      <c r="I12" s="14">
        <v>8.7500000000000008E-2</v>
      </c>
      <c r="J12" s="14">
        <v>0.24562499999999998</v>
      </c>
      <c r="K12" s="14">
        <v>0.28921874999999997</v>
      </c>
      <c r="L12" s="14">
        <v>0.1469140625</v>
      </c>
      <c r="M12" s="14">
        <v>0.22693554687499998</v>
      </c>
      <c r="N12" s="14">
        <v>0.25776416015624998</v>
      </c>
      <c r="O12" s="14">
        <v>0.1802449951171875</v>
      </c>
      <c r="P12" s="14">
        <v>0.21992515258789061</v>
      </c>
      <c r="Q12" s="14">
        <v>0.24017491912841796</v>
      </c>
      <c r="R12" s="14">
        <v>0.19806073036193847</v>
      </c>
      <c r="S12" s="14">
        <v>0.21741489103317257</v>
      </c>
      <c r="T12" s="14">
        <v>0.23019231634616849</v>
      </c>
      <c r="U12" s="14">
        <v>0.20741945378184318</v>
      </c>
      <c r="V12" s="14">
        <v>0.21669226932960745</v>
      </c>
    </row>
    <row r="13" spans="1:22" x14ac:dyDescent="0.3">
      <c r="A13" s="1">
        <v>4</v>
      </c>
      <c r="B13" s="14">
        <v>0</v>
      </c>
      <c r="C13" s="14">
        <v>0.5</v>
      </c>
      <c r="D13" s="14">
        <v>0</v>
      </c>
      <c r="E13" s="14">
        <v>0.3</v>
      </c>
      <c r="F13" s="14">
        <v>0.35</v>
      </c>
      <c r="G13" s="14">
        <v>8.7500000000000008E-2</v>
      </c>
      <c r="H13" s="14">
        <v>0.24562499999999998</v>
      </c>
      <c r="I13" s="14">
        <v>0.28921874999999997</v>
      </c>
      <c r="J13" s="14">
        <v>0.1469140625</v>
      </c>
      <c r="K13" s="14">
        <v>0.22693554687499998</v>
      </c>
      <c r="L13" s="14">
        <v>0.25776416015624998</v>
      </c>
      <c r="M13" s="14">
        <v>0.1802449951171875</v>
      </c>
      <c r="N13" s="14">
        <v>0.21992515258789061</v>
      </c>
      <c r="O13" s="14">
        <v>0.24017491912841796</v>
      </c>
      <c r="P13" s="14">
        <v>0.19806073036193847</v>
      </c>
      <c r="Q13" s="14">
        <v>0.21741489103317257</v>
      </c>
      <c r="R13" s="14">
        <v>0.23019231634616849</v>
      </c>
      <c r="S13" s="14">
        <v>0.20741945378184318</v>
      </c>
      <c r="T13" s="14">
        <v>0.21669226932960745</v>
      </c>
      <c r="U13" s="14">
        <v>0.22453937994329629</v>
      </c>
      <c r="V13" s="14">
        <v>0.21228889650541916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V30"/>
  <sheetViews>
    <sheetView zoomScale="85" zoomScaleNormal="85" workbookViewId="0"/>
  </sheetViews>
  <sheetFormatPr defaultRowHeight="14.4" x14ac:dyDescent="0.3"/>
  <cols>
    <col min="9" max="9" width="18" customWidth="1"/>
  </cols>
  <sheetData>
    <row r="1" spans="1:14" ht="21" x14ac:dyDescent="0.4">
      <c r="A1" s="25" t="s">
        <v>23</v>
      </c>
    </row>
    <row r="2" spans="1:14" ht="57.6" x14ac:dyDescent="0.3">
      <c r="B2" s="16"/>
      <c r="D2" s="29" t="s">
        <v>20</v>
      </c>
      <c r="E2" s="29"/>
      <c r="I2" s="17" t="s">
        <v>19</v>
      </c>
      <c r="L2" s="29" t="s">
        <v>21</v>
      </c>
      <c r="M2" s="29"/>
      <c r="N2" s="29"/>
    </row>
    <row r="14" spans="1:14" ht="18" x14ac:dyDescent="0.35">
      <c r="A14" s="8" t="s">
        <v>24</v>
      </c>
    </row>
    <row r="16" spans="1:14" x14ac:dyDescent="0.3">
      <c r="C16" s="9" t="s">
        <v>7</v>
      </c>
    </row>
    <row r="17" spans="1:22" x14ac:dyDescent="0.3">
      <c r="C17" s="1">
        <v>0</v>
      </c>
      <c r="D17" s="1">
        <v>1</v>
      </c>
      <c r="E17" s="1">
        <v>2</v>
      </c>
      <c r="F17" s="1">
        <v>3</v>
      </c>
      <c r="G17" s="1">
        <v>4</v>
      </c>
    </row>
    <row r="18" spans="1:22" x14ac:dyDescent="0.3">
      <c r="A18" s="11">
        <v>1</v>
      </c>
      <c r="B18" s="1">
        <v>0</v>
      </c>
      <c r="C18" s="6">
        <v>0</v>
      </c>
      <c r="D18" s="6">
        <v>0.5</v>
      </c>
      <c r="E18" s="6">
        <v>0</v>
      </c>
      <c r="F18" s="6">
        <v>0</v>
      </c>
      <c r="G18" s="6">
        <v>0.5</v>
      </c>
      <c r="H18" s="18">
        <f t="array" ref="H18:L22">TRANSPOSE(C18:G22)</f>
        <v>0</v>
      </c>
      <c r="I18" s="18">
        <v>0</v>
      </c>
      <c r="J18" s="18">
        <v>0</v>
      </c>
      <c r="K18" s="18">
        <v>0</v>
      </c>
      <c r="L18" s="18">
        <v>0</v>
      </c>
    </row>
    <row r="19" spans="1:22" x14ac:dyDescent="0.3">
      <c r="A19" s="11">
        <v>0</v>
      </c>
      <c r="B19" s="1">
        <v>1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18">
        <v>0.5</v>
      </c>
      <c r="I19" s="18">
        <v>0</v>
      </c>
      <c r="J19" s="18">
        <v>0</v>
      </c>
      <c r="K19" s="18">
        <v>0</v>
      </c>
      <c r="L19" s="18">
        <v>1</v>
      </c>
    </row>
    <row r="20" spans="1:22" x14ac:dyDescent="0.3">
      <c r="A20" s="11">
        <v>0</v>
      </c>
      <c r="B20" s="1">
        <v>2</v>
      </c>
      <c r="C20" s="6">
        <v>0</v>
      </c>
      <c r="D20" s="6">
        <v>0</v>
      </c>
      <c r="E20" s="6">
        <v>0.75</v>
      </c>
      <c r="F20" s="6">
        <v>0</v>
      </c>
      <c r="G20" s="6">
        <v>0.25</v>
      </c>
      <c r="H20" s="18">
        <v>0</v>
      </c>
      <c r="I20" s="18">
        <v>0</v>
      </c>
      <c r="J20" s="18">
        <v>0.75</v>
      </c>
      <c r="K20" s="18">
        <v>0.4</v>
      </c>
      <c r="L20" s="18">
        <v>0</v>
      </c>
    </row>
    <row r="21" spans="1:22" x14ac:dyDescent="0.3">
      <c r="A21" s="11">
        <v>0</v>
      </c>
      <c r="B21" s="1">
        <v>3</v>
      </c>
      <c r="C21" s="6">
        <v>0</v>
      </c>
      <c r="D21" s="6">
        <v>0</v>
      </c>
      <c r="E21" s="6">
        <v>0.4</v>
      </c>
      <c r="F21" s="6">
        <v>0</v>
      </c>
      <c r="G21" s="6">
        <v>0.6</v>
      </c>
      <c r="H21" s="18">
        <v>0</v>
      </c>
      <c r="I21" s="18">
        <v>1</v>
      </c>
      <c r="J21" s="18">
        <v>0</v>
      </c>
      <c r="K21" s="18">
        <v>0</v>
      </c>
      <c r="L21" s="18">
        <v>0</v>
      </c>
    </row>
    <row r="22" spans="1:22" x14ac:dyDescent="0.3">
      <c r="A22" s="11">
        <v>0</v>
      </c>
      <c r="B22" s="1">
        <v>4</v>
      </c>
      <c r="C22" s="6">
        <v>0</v>
      </c>
      <c r="D22" s="6">
        <v>1</v>
      </c>
      <c r="E22" s="6">
        <v>0</v>
      </c>
      <c r="F22" s="6">
        <v>0</v>
      </c>
      <c r="G22" s="6">
        <v>0</v>
      </c>
      <c r="H22" s="18">
        <v>0.5</v>
      </c>
      <c r="I22" s="18">
        <v>0</v>
      </c>
      <c r="J22" s="18">
        <v>0.25</v>
      </c>
      <c r="K22" s="18">
        <v>0.6</v>
      </c>
      <c r="L22" s="18">
        <v>0</v>
      </c>
    </row>
    <row r="24" spans="1:22" x14ac:dyDescent="0.3">
      <c r="A24" s="19" t="s">
        <v>22</v>
      </c>
      <c r="B24" s="22">
        <v>0</v>
      </c>
      <c r="C24" s="23">
        <v>1</v>
      </c>
      <c r="D24" s="23">
        <v>2</v>
      </c>
      <c r="E24" s="23">
        <v>3</v>
      </c>
      <c r="F24" s="23">
        <v>4</v>
      </c>
      <c r="G24" s="23">
        <v>5</v>
      </c>
      <c r="H24" s="23">
        <v>6</v>
      </c>
      <c r="I24" s="23">
        <v>7</v>
      </c>
      <c r="J24" s="23">
        <v>8</v>
      </c>
      <c r="K24" s="23">
        <v>9</v>
      </c>
      <c r="L24" s="23">
        <v>10</v>
      </c>
      <c r="M24" s="23">
        <v>11</v>
      </c>
      <c r="N24" s="23">
        <v>12</v>
      </c>
      <c r="O24" s="23">
        <v>13</v>
      </c>
      <c r="P24" s="23">
        <v>14</v>
      </c>
      <c r="Q24" s="23">
        <v>15</v>
      </c>
      <c r="R24" s="23">
        <v>16</v>
      </c>
      <c r="S24" s="23">
        <v>17</v>
      </c>
      <c r="T24" s="23">
        <v>18</v>
      </c>
      <c r="U24" s="23">
        <v>19</v>
      </c>
      <c r="V24" s="23">
        <v>20</v>
      </c>
    </row>
    <row r="25" spans="1:22" x14ac:dyDescent="0.3">
      <c r="A25" s="22">
        <v>0</v>
      </c>
      <c r="B25" s="20">
        <v>1</v>
      </c>
      <c r="C25" s="21">
        <f t="array" ref="C25:C29">MMULT($H$18:$L$22,B25:B29)</f>
        <v>0</v>
      </c>
      <c r="D25" s="21">
        <f t="array" ref="D25:D29">MMULT($H$18:$L$22,C25:C29)</f>
        <v>0</v>
      </c>
      <c r="E25" s="21">
        <f t="array" ref="E25:E29">MMULT($H$18:$L$22,D25:D29)</f>
        <v>0</v>
      </c>
      <c r="F25" s="21">
        <f t="array" ref="F25:F29">MMULT($H$18:$L$22,E25:E29)</f>
        <v>0</v>
      </c>
      <c r="G25" s="21">
        <f t="array" ref="G25:G29">MMULT($H$18:$L$22,F25:F29)</f>
        <v>0</v>
      </c>
      <c r="H25" s="21">
        <f t="array" ref="H25:H29">MMULT($H$18:$L$22,G25:G29)</f>
        <v>0</v>
      </c>
      <c r="I25" s="21">
        <f t="array" ref="I25:I29">MMULT($H$18:$L$22,H25:H29)</f>
        <v>0</v>
      </c>
      <c r="J25" s="21">
        <f t="array" ref="J25:J29">MMULT($H$18:$L$22,I25:I29)</f>
        <v>0</v>
      </c>
      <c r="K25" s="21">
        <f t="array" ref="K25:K29">MMULT($H$18:$L$22,J25:J29)</f>
        <v>0</v>
      </c>
      <c r="L25" s="21">
        <f t="array" ref="L25:L29">MMULT($H$18:$L$22,K25:K29)</f>
        <v>0</v>
      </c>
      <c r="M25" s="21">
        <f t="array" ref="M25:M29">MMULT($H$18:$L$22,L25:L29)</f>
        <v>0</v>
      </c>
      <c r="N25" s="21">
        <f t="array" ref="N25:N29">MMULT($H$18:$L$22,M25:M29)</f>
        <v>0</v>
      </c>
      <c r="O25" s="21">
        <f t="array" ref="O25:O29">MMULT($H$18:$L$22,N25:N29)</f>
        <v>0</v>
      </c>
      <c r="P25" s="21">
        <f t="array" ref="P25:P29">MMULT($H$18:$L$22,O25:O29)</f>
        <v>0</v>
      </c>
      <c r="Q25" s="21">
        <f t="array" ref="Q25:Q29">MMULT($H$18:$L$22,P25:P29)</f>
        <v>0</v>
      </c>
      <c r="R25" s="21">
        <f t="array" ref="R25:R29">MMULT($H$18:$L$22,Q25:Q29)</f>
        <v>0</v>
      </c>
      <c r="S25" s="21">
        <f t="array" ref="S25:S29">MMULT($H$18:$L$22,R25:R29)</f>
        <v>0</v>
      </c>
      <c r="T25" s="21">
        <f t="array" ref="T25:T29">MMULT($H$18:$L$22,S25:S29)</f>
        <v>0</v>
      </c>
      <c r="U25" s="21">
        <f t="array" ref="U25:U29">MMULT($H$18:$L$22,T25:T29)</f>
        <v>0</v>
      </c>
      <c r="V25" s="21">
        <f t="array" ref="V25:V29">MMULT($H$18:$L$22,U25:U29)</f>
        <v>0</v>
      </c>
    </row>
    <row r="26" spans="1:22" x14ac:dyDescent="0.3">
      <c r="A26" s="22">
        <v>1</v>
      </c>
      <c r="B26" s="20">
        <v>0</v>
      </c>
      <c r="C26" s="21">
        <v>0.5</v>
      </c>
      <c r="D26" s="21">
        <v>0.5</v>
      </c>
      <c r="E26" s="21">
        <v>0</v>
      </c>
      <c r="F26" s="21">
        <v>0.3</v>
      </c>
      <c r="G26" s="21">
        <v>0.35</v>
      </c>
      <c r="H26" s="21">
        <v>8.7500000000000008E-2</v>
      </c>
      <c r="I26" s="21">
        <v>0.24562499999999998</v>
      </c>
      <c r="J26" s="21">
        <v>0.28921874999999997</v>
      </c>
      <c r="K26" s="21">
        <v>0.1469140625</v>
      </c>
      <c r="L26" s="21">
        <v>0.22693554687499998</v>
      </c>
      <c r="M26" s="21">
        <v>0.25776416015624998</v>
      </c>
      <c r="N26" s="21">
        <v>0.1802449951171875</v>
      </c>
      <c r="O26" s="21">
        <v>0.21992515258789061</v>
      </c>
      <c r="P26" s="21">
        <v>0.24017491912841796</v>
      </c>
      <c r="Q26" s="21">
        <v>0.19806073036193847</v>
      </c>
      <c r="R26" s="21">
        <v>0.21741489103317257</v>
      </c>
      <c r="S26" s="21">
        <v>0.23019231634616849</v>
      </c>
      <c r="T26" s="21">
        <v>0.20741945378184318</v>
      </c>
      <c r="U26" s="21">
        <v>0.21669226932960745</v>
      </c>
      <c r="V26" s="21">
        <v>0.22453937994329629</v>
      </c>
    </row>
    <row r="27" spans="1:22" x14ac:dyDescent="0.3">
      <c r="A27" s="22">
        <v>2</v>
      </c>
      <c r="B27" s="20">
        <v>0</v>
      </c>
      <c r="C27" s="21">
        <v>0</v>
      </c>
      <c r="D27" s="21">
        <v>0</v>
      </c>
      <c r="E27" s="21">
        <v>0.2</v>
      </c>
      <c r="F27" s="21">
        <v>0.35000000000000003</v>
      </c>
      <c r="G27" s="21">
        <v>0.26250000000000001</v>
      </c>
      <c r="H27" s="21">
        <v>0.31687500000000002</v>
      </c>
      <c r="I27" s="21">
        <v>0.37765625000000003</v>
      </c>
      <c r="J27" s="21">
        <v>0.3182421875</v>
      </c>
      <c r="K27" s="21">
        <v>0.33693164062500003</v>
      </c>
      <c r="L27" s="21">
        <v>0.36838623046875002</v>
      </c>
      <c r="M27" s="21">
        <v>0.33505529785156252</v>
      </c>
      <c r="N27" s="21">
        <v>0.34206569213867188</v>
      </c>
      <c r="O27" s="21">
        <v>0.35965493316650388</v>
      </c>
      <c r="P27" s="21">
        <v>0.34183919792175288</v>
      </c>
      <c r="Q27" s="21">
        <v>0.34434945947647089</v>
      </c>
      <c r="R27" s="21">
        <v>0.35433206225872038</v>
      </c>
      <c r="S27" s="21">
        <v>0.3449733388388157</v>
      </c>
      <c r="T27" s="21">
        <v>0.34569596054238083</v>
      </c>
      <c r="U27" s="21">
        <v>0.35134889694525301</v>
      </c>
      <c r="V27" s="21">
        <v>0.34647945422167703</v>
      </c>
    </row>
    <row r="28" spans="1:22" x14ac:dyDescent="0.3">
      <c r="A28" s="22">
        <v>3</v>
      </c>
      <c r="B28" s="20">
        <v>0</v>
      </c>
      <c r="C28" s="21">
        <v>0</v>
      </c>
      <c r="D28" s="21">
        <v>0.5</v>
      </c>
      <c r="E28" s="21">
        <v>0.5</v>
      </c>
      <c r="F28" s="21">
        <v>0</v>
      </c>
      <c r="G28" s="21">
        <v>0.3</v>
      </c>
      <c r="H28" s="21">
        <v>0.35</v>
      </c>
      <c r="I28" s="21">
        <v>8.7500000000000008E-2</v>
      </c>
      <c r="J28" s="21">
        <v>0.24562499999999998</v>
      </c>
      <c r="K28" s="21">
        <v>0.28921874999999997</v>
      </c>
      <c r="L28" s="21">
        <v>0.1469140625</v>
      </c>
      <c r="M28" s="21">
        <v>0.22693554687499998</v>
      </c>
      <c r="N28" s="21">
        <v>0.25776416015624998</v>
      </c>
      <c r="O28" s="21">
        <v>0.1802449951171875</v>
      </c>
      <c r="P28" s="21">
        <v>0.21992515258789061</v>
      </c>
      <c r="Q28" s="21">
        <v>0.24017491912841796</v>
      </c>
      <c r="R28" s="21">
        <v>0.19806073036193847</v>
      </c>
      <c r="S28" s="21">
        <v>0.21741489103317257</v>
      </c>
      <c r="T28" s="21">
        <v>0.23019231634616849</v>
      </c>
      <c r="U28" s="21">
        <v>0.20741945378184318</v>
      </c>
      <c r="V28" s="21">
        <v>0.21669226932960745</v>
      </c>
    </row>
    <row r="29" spans="1:22" x14ac:dyDescent="0.3">
      <c r="A29" s="22">
        <v>4</v>
      </c>
      <c r="B29" s="20">
        <v>0</v>
      </c>
      <c r="C29" s="21">
        <v>0.5</v>
      </c>
      <c r="D29" s="21">
        <v>0</v>
      </c>
      <c r="E29" s="21">
        <v>0.3</v>
      </c>
      <c r="F29" s="21">
        <v>0.35</v>
      </c>
      <c r="G29" s="21">
        <v>8.7500000000000008E-2</v>
      </c>
      <c r="H29" s="21">
        <v>0.24562499999999998</v>
      </c>
      <c r="I29" s="21">
        <v>0.28921874999999997</v>
      </c>
      <c r="J29" s="21">
        <v>0.1469140625</v>
      </c>
      <c r="K29" s="21">
        <v>0.22693554687499998</v>
      </c>
      <c r="L29" s="21">
        <v>0.25776416015624998</v>
      </c>
      <c r="M29" s="21">
        <v>0.1802449951171875</v>
      </c>
      <c r="N29" s="21">
        <v>0.21992515258789061</v>
      </c>
      <c r="O29" s="21">
        <v>0.24017491912841796</v>
      </c>
      <c r="P29" s="21">
        <v>0.19806073036193847</v>
      </c>
      <c r="Q29" s="21">
        <v>0.21741489103317257</v>
      </c>
      <c r="R29" s="21">
        <v>0.23019231634616849</v>
      </c>
      <c r="S29" s="21">
        <v>0.20741945378184318</v>
      </c>
      <c r="T29" s="21">
        <v>0.21669226932960745</v>
      </c>
      <c r="U29" s="21">
        <v>0.22453937994329629</v>
      </c>
      <c r="V29" s="21">
        <v>0.21228889650541916</v>
      </c>
    </row>
    <row r="30" spans="1:22" x14ac:dyDescent="0.3">
      <c r="B30" s="24">
        <f>SUM(B25:B29)</f>
        <v>1</v>
      </c>
      <c r="C30" s="24">
        <f>SUM(C25:C29)</f>
        <v>1</v>
      </c>
      <c r="D30" s="24">
        <f t="shared" ref="D30:V30" si="0">SUM(D25:D29)</f>
        <v>1</v>
      </c>
      <c r="E30" s="24">
        <f t="shared" si="0"/>
        <v>1</v>
      </c>
      <c r="F30" s="24">
        <f t="shared" si="0"/>
        <v>1</v>
      </c>
      <c r="G30" s="24">
        <f t="shared" si="0"/>
        <v>1</v>
      </c>
      <c r="H30" s="24">
        <f t="shared" si="0"/>
        <v>1</v>
      </c>
      <c r="I30" s="24">
        <f t="shared" si="0"/>
        <v>1</v>
      </c>
      <c r="J30" s="24">
        <f t="shared" si="0"/>
        <v>1</v>
      </c>
      <c r="K30" s="24">
        <f t="shared" si="0"/>
        <v>0.99999999999999989</v>
      </c>
      <c r="L30" s="24">
        <f t="shared" si="0"/>
        <v>1</v>
      </c>
      <c r="M30" s="24">
        <f t="shared" si="0"/>
        <v>1</v>
      </c>
      <c r="N30" s="24">
        <f t="shared" si="0"/>
        <v>0.99999999999999989</v>
      </c>
      <c r="O30" s="24">
        <f t="shared" si="0"/>
        <v>0.99999999999999989</v>
      </c>
      <c r="P30" s="24">
        <f t="shared" si="0"/>
        <v>0.99999999999999989</v>
      </c>
      <c r="Q30" s="24">
        <f t="shared" si="0"/>
        <v>0.99999999999999989</v>
      </c>
      <c r="R30" s="24">
        <f t="shared" si="0"/>
        <v>1</v>
      </c>
      <c r="S30" s="24">
        <f t="shared" si="0"/>
        <v>1</v>
      </c>
      <c r="T30" s="24">
        <f t="shared" si="0"/>
        <v>1</v>
      </c>
      <c r="U30" s="24">
        <f t="shared" si="0"/>
        <v>0.99999999999999989</v>
      </c>
      <c r="V30" s="24">
        <f t="shared" si="0"/>
        <v>0.99999999999999989</v>
      </c>
    </row>
  </sheetData>
  <mergeCells count="2">
    <mergeCell ref="D2:E2"/>
    <mergeCell ref="L2:N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2022-11-24T11:34:43Z</dcterms:modified>
</cp:coreProperties>
</file>