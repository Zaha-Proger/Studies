
<file path=[Content_Types].xml><?xml version="1.0" encoding="utf-8"?>
<Types xmlns="http://schemas.openxmlformats.org/package/2006/content-types">
  <Default Extension="bin" ContentType="application/vnd.ms-office.activeX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activeX/activeX2.xml" ContentType="application/vnd.ms-office.activeX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activeX/activeX3.xml" ContentType="application/vnd.ms-office.activeX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activeX/activeX4.xml" ContentType="application/vnd.ms-office.activeX+xml"/>
  <Override PartName="/xl/charts/chart6.xml" ContentType="application/vnd.openxmlformats-officedocument.drawingml.chart+xml"/>
  <Override PartName="/xl/drawings/drawing8.xml" ContentType="application/vnd.openxmlformats-officedocument.drawing+xml"/>
  <Override PartName="/xl/activeX/activeX5.xml" ContentType="application/vnd.ms-office.activeX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activeX/activeX6.xml" ContentType="application/vnd.ms-office.activeX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10.xml" ContentType="application/vnd.openxmlformats-officedocument.drawing+xml"/>
  <Override PartName="/xl/activeX/activeX7.xml" ContentType="application/vnd.ms-office.activeX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11.xml" ContentType="application/vnd.openxmlformats-officedocument.drawing+xml"/>
  <Override PartName="/xl/activeX/activeX8.xml" ContentType="application/vnd.ms-office.activeX+xml"/>
  <Override PartName="/xl/charts/chart15.xml" ContentType="application/vnd.openxmlformats-officedocument.drawingml.chart+xml"/>
  <Override PartName="/xl/drawings/drawing12.xml" ContentType="application/vnd.openxmlformats-officedocument.drawing+xml"/>
  <Override PartName="/xl/activeX/activeX9.xml" ContentType="application/vnd.ms-office.activeX+xml"/>
  <Override PartName="/xl/charts/chart16.xml" ContentType="application/vnd.openxmlformats-officedocument.drawingml.chart+xml"/>
  <Override PartName="/xl/drawings/drawing13.xml" ContentType="application/vnd.openxmlformats-officedocument.drawing+xml"/>
  <Override PartName="/xl/activeX/activeX10.xml" ContentType="application/vnd.ms-office.activeX+xml"/>
  <Override PartName="/xl/charts/chart17.xml" ContentType="application/vnd.openxmlformats-officedocument.drawingml.chart+xml"/>
  <Override PartName="/xl/drawings/drawing14.xml" ContentType="application/vnd.openxmlformats-officedocument.drawing+xml"/>
  <Override PartName="/xl/activeX/activeX11.xml" ContentType="application/vnd.ms-office.activeX+xml"/>
  <Override PartName="/xl/charts/chart18.xml" ContentType="application/vnd.openxmlformats-officedocument.drawingml.chart+xml"/>
  <Override PartName="/xl/drawings/drawing15.xml" ContentType="application/vnd.openxmlformats-officedocument.drawing+xml"/>
  <Override PartName="/xl/activeX/activeX12.xml" ContentType="application/vnd.ms-office.activeX+xml"/>
  <Override PartName="/xl/charts/chart19.xml" ContentType="application/vnd.openxmlformats-officedocument.drawingml.chart+xml"/>
  <Override PartName="/xl/drawings/drawing16.xml" ContentType="application/vnd.openxmlformats-officedocument.drawing+xml"/>
  <Override PartName="/xl/activeX/activeX13.xml" ContentType="application/vnd.ms-office.activeX+xml"/>
  <Override PartName="/xl/charts/chart20.xml" ContentType="application/vnd.openxmlformats-officedocument.drawingml.chart+xml"/>
  <Override PartName="/xl/drawings/drawing17.xml" ContentType="application/vnd.openxmlformats-officedocument.drawing+xml"/>
  <Override PartName="/xl/activeX/activeX14.xml" ContentType="application/vnd.ms-office.activeX+xml"/>
  <Override PartName="/xl/drawings/drawing18.xml" ContentType="application/vnd.openxmlformats-officedocument.drawing+xml"/>
  <Override PartName="/xl/printerSettings/printerSettings3.bin" ContentType="application/vnd.openxmlformats-officedocument.spreadsheetml.printerSettings"/>
  <Override PartName="/xl/drawings/drawing19.xml" ContentType="application/vnd.openxmlformats-officedocument.drawing+xml"/>
  <Override PartName="/xl/activeX/activeX15.xml" ContentType="application/vnd.ms-office.activeX+xml"/>
  <Override PartName="/xl/charts/chart21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20.xml" ContentType="application/vnd.openxmlformats-officedocument.drawing+xml"/>
  <Override PartName="/xl/activeX/activeX16.xml" ContentType="application/vnd.ms-office.activeX+xml"/>
  <Override PartName="/xl/charts/chart22.xml" ContentType="application/vnd.openxmlformats-officedocument.drawingml.chart+xml"/>
  <Override PartName="/xl/drawings/drawing21.xml" ContentType="application/vnd.openxmlformats-officedocument.drawing+xml"/>
  <Override PartName="/xl/activeX/activeX17.xml" ContentType="application/vnd.ms-office.activeX+xml"/>
  <Override PartName="/xl/charts/chart23.xml" ContentType="application/vnd.openxmlformats-officedocument.drawingml.chart+xml"/>
  <Override PartName="/xl/drawings/drawing22.xml" ContentType="application/vnd.openxmlformats-officedocument.drawing+xml"/>
  <Override PartName="/xl/activeX/activeX18.xml" ContentType="application/vnd.ms-office.activeX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23.xml" ContentType="application/vnd.openxmlformats-officedocument.drawing+xml"/>
  <Override PartName="/xl/activeX/activeX19.xml" ContentType="application/vnd.ms-office.activeX+xml"/>
  <Override PartName="/xl/activeX/activeX20.xml" ContentType="application/vnd.ms-office.activeX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drawings/drawing24.xml" ContentType="application/vnd.openxmlformats-officedocument.drawing+xml"/>
  <Override PartName="/xl/activeX/activeX21.xml" ContentType="application/vnd.ms-office.activeX+xml"/>
  <Override PartName="/xl/charts/chart31.xml" ContentType="application/vnd.openxmlformats-officedocument.drawingml.chart+xml"/>
  <Override PartName="/xl/drawings/drawing25.xml" ContentType="application/vnd.openxmlformats-officedocument.drawing+xml"/>
  <Override PartName="/xl/activeX/activeX22.xml" ContentType="application/vnd.ms-office.activeX+xml"/>
  <Override PartName="/xl/charts/chart32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26.xml" ContentType="application/vnd.openxmlformats-officedocument.drawing+xml"/>
  <Override PartName="/xl/activeX/activeX23.xml" ContentType="application/vnd.ms-office.activeX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ЭтаКнига" defaultThemeVersion="124226"/>
  <bookViews>
    <workbookView xWindow="240" yWindow="108" windowWidth="14808" windowHeight="7428" activeTab="8"/>
  </bookViews>
  <sheets>
    <sheet name="Лист1" sheetId="1" r:id="rId1"/>
    <sheet name="Лист2" sheetId="2" r:id="rId2"/>
    <sheet name="Лист3" sheetId="3" r:id="rId3"/>
    <sheet name="Лист4" sheetId="4" r:id="rId4"/>
    <sheet name="Лист5" sheetId="5" r:id="rId5"/>
    <sheet name="Лист6" sheetId="6" r:id="rId6"/>
    <sheet name="Лист7" sheetId="7" r:id="rId7"/>
    <sheet name="Лист8" sheetId="8" r:id="rId8"/>
    <sheet name="Лист9" sheetId="9" r:id="rId9"/>
    <sheet name="Лист10" sheetId="10" r:id="rId10"/>
    <sheet name="Лист11" sheetId="11" r:id="rId11"/>
    <sheet name="Лист12" sheetId="12" r:id="rId12"/>
    <sheet name="Лист13" sheetId="13" r:id="rId13"/>
    <sheet name="Лист14" sheetId="14" r:id="rId14"/>
    <sheet name="Лист15" sheetId="15" r:id="rId15"/>
    <sheet name="Лист16" sheetId="16" r:id="rId16"/>
    <sheet name="Лист17" sheetId="17" r:id="rId17"/>
    <sheet name="Лист18" sheetId="18" r:id="rId18"/>
    <sheet name="Лист19" sheetId="19" r:id="rId19"/>
    <sheet name="Лист20" sheetId="20" r:id="rId20"/>
    <sheet name="Лист21" sheetId="21" r:id="rId21"/>
    <sheet name="Лист22" sheetId="22" r:id="rId22"/>
    <sheet name="Лист23" sheetId="23" r:id="rId23"/>
    <sheet name="Лист24" sheetId="24" r:id="rId24"/>
    <sheet name="Лист25" sheetId="25" r:id="rId25"/>
    <sheet name="Лист26" sheetId="26" r:id="rId26"/>
  </sheets>
  <functionGroups builtInGroupCount="18"/>
  <definedNames>
    <definedName name="L">Лист18!$E$1</definedName>
    <definedName name="M">Лист18!$I$1</definedName>
  </definedNames>
  <calcPr calcId="162913"/>
</workbook>
</file>

<file path=xl/calcChain.xml><?xml version="1.0" encoding="utf-8"?>
<calcChain xmlns="http://schemas.openxmlformats.org/spreadsheetml/2006/main">
  <c r="B17" i="26" l="1"/>
  <c r="D17" i="26" s="1"/>
  <c r="C17" i="26"/>
  <c r="E17" i="26" s="1"/>
  <c r="B18" i="26"/>
  <c r="D18" i="26" s="1"/>
  <c r="C18" i="26"/>
  <c r="E18" i="26" s="1"/>
  <c r="B19" i="26"/>
  <c r="D19" i="26" s="1"/>
  <c r="C19" i="26"/>
  <c r="E19" i="26" s="1"/>
  <c r="B20" i="26"/>
  <c r="D20" i="26" s="1"/>
  <c r="C20" i="26"/>
  <c r="E20" i="26" s="1"/>
  <c r="B21" i="26"/>
  <c r="D21" i="26" s="1"/>
  <c r="C21" i="26"/>
  <c r="E21" i="26" s="1"/>
  <c r="B22" i="26"/>
  <c r="D22" i="26" s="1"/>
  <c r="C22" i="26"/>
  <c r="E22" i="26" s="1"/>
  <c r="B23" i="26"/>
  <c r="D23" i="26" s="1"/>
  <c r="C23" i="26"/>
  <c r="E23" i="26" s="1"/>
  <c r="B24" i="26"/>
  <c r="D24" i="26" s="1"/>
  <c r="C24" i="26"/>
  <c r="E24" i="26" s="1"/>
  <c r="B25" i="26"/>
  <c r="D25" i="26" s="1"/>
  <c r="C25" i="26"/>
  <c r="E25" i="26" s="1"/>
  <c r="B26" i="26"/>
  <c r="D26" i="26" s="1"/>
  <c r="C26" i="26"/>
  <c r="E26" i="26" s="1"/>
  <c r="B27" i="26"/>
  <c r="D27" i="26" s="1"/>
  <c r="C27" i="26"/>
  <c r="E27" i="26" s="1"/>
  <c r="B28" i="26"/>
  <c r="D28" i="26" s="1"/>
  <c r="C28" i="26"/>
  <c r="E28" i="26" s="1"/>
  <c r="B29" i="26"/>
  <c r="D29" i="26" s="1"/>
  <c r="C29" i="26"/>
  <c r="E29" i="26" s="1"/>
  <c r="B30" i="26"/>
  <c r="D30" i="26" s="1"/>
  <c r="C30" i="26"/>
  <c r="E30" i="26" s="1"/>
  <c r="B31" i="26"/>
  <c r="D31" i="26" s="1"/>
  <c r="C31" i="26"/>
  <c r="E31" i="26" s="1"/>
  <c r="B32" i="26"/>
  <c r="D32" i="26" s="1"/>
  <c r="C32" i="26"/>
  <c r="E32" i="26" s="1"/>
  <c r="B33" i="26"/>
  <c r="D33" i="26" s="1"/>
  <c r="C33" i="26"/>
  <c r="E33" i="26" s="1"/>
  <c r="B34" i="26"/>
  <c r="D34" i="26" s="1"/>
  <c r="C34" i="26"/>
  <c r="E34" i="26" s="1"/>
  <c r="B35" i="26"/>
  <c r="D35" i="26" s="1"/>
  <c r="C35" i="26"/>
  <c r="E35" i="26" s="1"/>
  <c r="B36" i="26"/>
  <c r="D36" i="26" s="1"/>
  <c r="C36" i="26"/>
  <c r="E36" i="26" s="1"/>
  <c r="B37" i="26"/>
  <c r="D37" i="26" s="1"/>
  <c r="C37" i="26"/>
  <c r="E37" i="26" s="1"/>
  <c r="B38" i="26"/>
  <c r="D38" i="26" s="1"/>
  <c r="C38" i="26"/>
  <c r="E38" i="26" s="1"/>
  <c r="B39" i="26"/>
  <c r="D39" i="26" s="1"/>
  <c r="C39" i="26"/>
  <c r="E39" i="26" s="1"/>
  <c r="B40" i="26"/>
  <c r="D40" i="26" s="1"/>
  <c r="C40" i="26"/>
  <c r="E40" i="26" s="1"/>
  <c r="B41" i="26"/>
  <c r="D41" i="26" s="1"/>
  <c r="C41" i="26"/>
  <c r="E41" i="26" s="1"/>
  <c r="B42" i="26"/>
  <c r="D42" i="26" s="1"/>
  <c r="C42" i="26"/>
  <c r="E42" i="26" s="1"/>
  <c r="B43" i="26"/>
  <c r="D43" i="26" s="1"/>
  <c r="C43" i="26"/>
  <c r="E43" i="26" s="1"/>
  <c r="B44" i="26"/>
  <c r="D44" i="26" s="1"/>
  <c r="C44" i="26"/>
  <c r="E44" i="26" s="1"/>
  <c r="B45" i="26"/>
  <c r="D45" i="26" s="1"/>
  <c r="C45" i="26"/>
  <c r="E45" i="26" s="1"/>
  <c r="B46" i="26"/>
  <c r="D46" i="26" s="1"/>
  <c r="C46" i="26"/>
  <c r="E46" i="26" s="1"/>
  <c r="B47" i="26"/>
  <c r="D47" i="26" s="1"/>
  <c r="C47" i="26"/>
  <c r="E47" i="26" s="1"/>
  <c r="B48" i="26"/>
  <c r="D48" i="26" s="1"/>
  <c r="C48" i="26"/>
  <c r="E48" i="26" s="1"/>
  <c r="B49" i="26"/>
  <c r="D49" i="26" s="1"/>
  <c r="C49" i="26"/>
  <c r="E49" i="26" s="1"/>
  <c r="B50" i="26"/>
  <c r="D50" i="26" s="1"/>
  <c r="C50" i="26"/>
  <c r="E50" i="26" s="1"/>
  <c r="B51" i="26"/>
  <c r="D51" i="26" s="1"/>
  <c r="C51" i="26"/>
  <c r="E51" i="26" s="1"/>
  <c r="B52" i="26"/>
  <c r="D52" i="26" s="1"/>
  <c r="C52" i="26"/>
  <c r="E52" i="26" s="1"/>
  <c r="B53" i="26"/>
  <c r="D53" i="26" s="1"/>
  <c r="C53" i="26"/>
  <c r="E53" i="26" s="1"/>
  <c r="B54" i="26"/>
  <c r="D54" i="26" s="1"/>
  <c r="C54" i="26"/>
  <c r="E54" i="26" s="1"/>
  <c r="B55" i="26"/>
  <c r="D55" i="26" s="1"/>
  <c r="C55" i="26"/>
  <c r="E55" i="26" s="1"/>
  <c r="B56" i="26"/>
  <c r="D56" i="26" s="1"/>
  <c r="C56" i="26"/>
  <c r="E56" i="26" s="1"/>
  <c r="B57" i="26"/>
  <c r="D57" i="26" s="1"/>
  <c r="C57" i="26"/>
  <c r="E57" i="26" s="1"/>
  <c r="B58" i="26"/>
  <c r="D58" i="26" s="1"/>
  <c r="C58" i="26"/>
  <c r="E58" i="26" s="1"/>
  <c r="B59" i="26"/>
  <c r="D59" i="26" s="1"/>
  <c r="C59" i="26"/>
  <c r="E59" i="26" s="1"/>
  <c r="B60" i="26"/>
  <c r="D60" i="26" s="1"/>
  <c r="C60" i="26"/>
  <c r="E60" i="26" s="1"/>
  <c r="B61" i="26"/>
  <c r="D61" i="26" s="1"/>
  <c r="C61" i="26"/>
  <c r="E61" i="26" s="1"/>
  <c r="B62" i="26"/>
  <c r="D62" i="26" s="1"/>
  <c r="C62" i="26"/>
  <c r="E62" i="26" s="1"/>
  <c r="B63" i="26"/>
  <c r="D63" i="26" s="1"/>
  <c r="C63" i="26"/>
  <c r="E63" i="26" s="1"/>
  <c r="B64" i="26"/>
  <c r="D64" i="26" s="1"/>
  <c r="C64" i="26"/>
  <c r="E64" i="26" s="1"/>
  <c r="B65" i="26"/>
  <c r="D65" i="26" s="1"/>
  <c r="C65" i="26"/>
  <c r="E65" i="26" s="1"/>
  <c r="B66" i="26"/>
  <c r="D66" i="26" s="1"/>
  <c r="C66" i="26"/>
  <c r="E66" i="26" s="1"/>
  <c r="B67" i="26"/>
  <c r="D67" i="26" s="1"/>
  <c r="C67" i="26"/>
  <c r="E67" i="26" s="1"/>
  <c r="B68" i="26"/>
  <c r="D68" i="26" s="1"/>
  <c r="C68" i="26"/>
  <c r="E68" i="26" s="1"/>
  <c r="B69" i="26"/>
  <c r="D69" i="26" s="1"/>
  <c r="C69" i="26"/>
  <c r="E69" i="26" s="1"/>
  <c r="B70" i="26"/>
  <c r="D70" i="26" s="1"/>
  <c r="C70" i="26"/>
  <c r="E70" i="26" s="1"/>
  <c r="B71" i="26"/>
  <c r="D71" i="26" s="1"/>
  <c r="C71" i="26"/>
  <c r="E71" i="26" s="1"/>
  <c r="B72" i="26"/>
  <c r="D72" i="26" s="1"/>
  <c r="C72" i="26"/>
  <c r="E72" i="26" s="1"/>
  <c r="B73" i="26"/>
  <c r="D73" i="26" s="1"/>
  <c r="C73" i="26"/>
  <c r="E73" i="26" s="1"/>
  <c r="B74" i="26"/>
  <c r="D74" i="26" s="1"/>
  <c r="C74" i="26"/>
  <c r="E74" i="26" s="1"/>
  <c r="B75" i="26"/>
  <c r="D75" i="26" s="1"/>
  <c r="C75" i="26"/>
  <c r="E75" i="26" s="1"/>
  <c r="B76" i="26"/>
  <c r="D76" i="26" s="1"/>
  <c r="C76" i="26"/>
  <c r="E76" i="26" s="1"/>
  <c r="B77" i="26"/>
  <c r="D77" i="26" s="1"/>
  <c r="C77" i="26"/>
  <c r="E77" i="26" s="1"/>
  <c r="B78" i="26"/>
  <c r="D78" i="26" s="1"/>
  <c r="C78" i="26"/>
  <c r="E78" i="26" s="1"/>
  <c r="B79" i="26"/>
  <c r="D79" i="26" s="1"/>
  <c r="C79" i="26"/>
  <c r="E79" i="26" s="1"/>
  <c r="B80" i="26"/>
  <c r="D80" i="26" s="1"/>
  <c r="C80" i="26"/>
  <c r="E80" i="26" s="1"/>
  <c r="B81" i="26"/>
  <c r="D81" i="26" s="1"/>
  <c r="C81" i="26"/>
  <c r="E81" i="26" s="1"/>
  <c r="B82" i="26"/>
  <c r="D82" i="26" s="1"/>
  <c r="C82" i="26"/>
  <c r="E82" i="26" s="1"/>
  <c r="B83" i="26"/>
  <c r="D83" i="26" s="1"/>
  <c r="C83" i="26"/>
  <c r="E83" i="26" s="1"/>
  <c r="B84" i="26"/>
  <c r="D84" i="26" s="1"/>
  <c r="C84" i="26"/>
  <c r="E84" i="26" s="1"/>
  <c r="B85" i="26"/>
  <c r="D85" i="26" s="1"/>
  <c r="C85" i="26"/>
  <c r="E85" i="26" s="1"/>
  <c r="B86" i="26"/>
  <c r="D86" i="26" s="1"/>
  <c r="C86" i="26"/>
  <c r="E86" i="26" s="1"/>
  <c r="B87" i="26"/>
  <c r="D87" i="26" s="1"/>
  <c r="C87" i="26"/>
  <c r="E87" i="26" s="1"/>
  <c r="B88" i="26"/>
  <c r="D88" i="26" s="1"/>
  <c r="C88" i="26"/>
  <c r="E88" i="26" s="1"/>
  <c r="B89" i="26"/>
  <c r="D89" i="26" s="1"/>
  <c r="C89" i="26"/>
  <c r="E89" i="26" s="1"/>
  <c r="B90" i="26"/>
  <c r="D90" i="26" s="1"/>
  <c r="C90" i="26"/>
  <c r="E90" i="26" s="1"/>
  <c r="B91" i="26"/>
  <c r="D91" i="26" s="1"/>
  <c r="C91" i="26"/>
  <c r="E91" i="26" s="1"/>
  <c r="B92" i="26"/>
  <c r="D92" i="26" s="1"/>
  <c r="C92" i="26"/>
  <c r="E92" i="26" s="1"/>
  <c r="B93" i="26"/>
  <c r="D93" i="26" s="1"/>
  <c r="C93" i="26"/>
  <c r="E93" i="26" s="1"/>
  <c r="B94" i="26"/>
  <c r="D94" i="26" s="1"/>
  <c r="C94" i="26"/>
  <c r="E94" i="26" s="1"/>
  <c r="B95" i="26"/>
  <c r="D95" i="26" s="1"/>
  <c r="C95" i="26"/>
  <c r="E95" i="26" s="1"/>
  <c r="B96" i="26"/>
  <c r="D96" i="26" s="1"/>
  <c r="C96" i="26"/>
  <c r="E96" i="26" s="1"/>
  <c r="B97" i="26"/>
  <c r="D97" i="26" s="1"/>
  <c r="C97" i="26"/>
  <c r="E97" i="26" s="1"/>
  <c r="B98" i="26"/>
  <c r="D98" i="26" s="1"/>
  <c r="C98" i="26"/>
  <c r="E98" i="26" s="1"/>
  <c r="B99" i="26"/>
  <c r="D99" i="26" s="1"/>
  <c r="C99" i="26"/>
  <c r="E99" i="26" s="1"/>
  <c r="B100" i="26"/>
  <c r="D100" i="26" s="1"/>
  <c r="C100" i="26"/>
  <c r="E100" i="26" s="1"/>
  <c r="B101" i="26"/>
  <c r="D101" i="26" s="1"/>
  <c r="C101" i="26"/>
  <c r="E101" i="26" s="1"/>
  <c r="B102" i="26"/>
  <c r="D102" i="26" s="1"/>
  <c r="C102" i="26"/>
  <c r="E102" i="26" s="1"/>
  <c r="B103" i="26"/>
  <c r="D103" i="26" s="1"/>
  <c r="C103" i="26"/>
  <c r="E103" i="26" s="1"/>
  <c r="B104" i="26"/>
  <c r="D104" i="26" s="1"/>
  <c r="C104" i="26"/>
  <c r="E104" i="26" s="1"/>
  <c r="B105" i="26"/>
  <c r="D105" i="26" s="1"/>
  <c r="C105" i="26"/>
  <c r="E105" i="26" s="1"/>
  <c r="B106" i="26"/>
  <c r="D106" i="26" s="1"/>
  <c r="C106" i="26"/>
  <c r="E106" i="26" s="1"/>
  <c r="B107" i="26"/>
  <c r="D107" i="26" s="1"/>
  <c r="C107" i="26"/>
  <c r="E107" i="26" s="1"/>
  <c r="B108" i="26"/>
  <c r="D108" i="26" s="1"/>
  <c r="C108" i="26"/>
  <c r="E108" i="26" s="1"/>
  <c r="B109" i="26"/>
  <c r="D109" i="26" s="1"/>
  <c r="C109" i="26"/>
  <c r="E109" i="26" s="1"/>
  <c r="B110" i="26"/>
  <c r="D110" i="26" s="1"/>
  <c r="C110" i="26"/>
  <c r="E110" i="26" s="1"/>
  <c r="B111" i="26"/>
  <c r="D111" i="26" s="1"/>
  <c r="C111" i="26"/>
  <c r="E111" i="26" s="1"/>
  <c r="B112" i="26"/>
  <c r="D112" i="26" s="1"/>
  <c r="C112" i="26"/>
  <c r="E112" i="26" s="1"/>
  <c r="B113" i="26"/>
  <c r="D113" i="26" s="1"/>
  <c r="C113" i="26"/>
  <c r="E113" i="26" s="1"/>
  <c r="B114" i="26"/>
  <c r="D114" i="26" s="1"/>
  <c r="C114" i="26"/>
  <c r="E114" i="26" s="1"/>
  <c r="B115" i="26"/>
  <c r="D115" i="26" s="1"/>
  <c r="C115" i="26"/>
  <c r="E115" i="26" s="1"/>
  <c r="B116" i="26"/>
  <c r="D116" i="26" s="1"/>
  <c r="C116" i="26"/>
  <c r="E116" i="26" s="1"/>
  <c r="B117" i="26"/>
  <c r="D117" i="26" s="1"/>
  <c r="C117" i="26"/>
  <c r="E117" i="26" s="1"/>
  <c r="B118" i="26"/>
  <c r="D118" i="26" s="1"/>
  <c r="C118" i="26"/>
  <c r="E118" i="26" s="1"/>
  <c r="B119" i="26"/>
  <c r="D119" i="26" s="1"/>
  <c r="C119" i="26"/>
  <c r="E119" i="26" s="1"/>
  <c r="B120" i="26"/>
  <c r="D120" i="26" s="1"/>
  <c r="C120" i="26"/>
  <c r="E120" i="26" s="1"/>
  <c r="B121" i="26"/>
  <c r="D121" i="26" s="1"/>
  <c r="C121" i="26"/>
  <c r="E121" i="26" s="1"/>
  <c r="B122" i="26"/>
  <c r="D122" i="26" s="1"/>
  <c r="C122" i="26"/>
  <c r="E122" i="26" s="1"/>
  <c r="B123" i="26"/>
  <c r="D123" i="26" s="1"/>
  <c r="C123" i="26"/>
  <c r="E123" i="26" s="1"/>
  <c r="B124" i="26"/>
  <c r="D124" i="26" s="1"/>
  <c r="C124" i="26"/>
  <c r="E124" i="26" s="1"/>
  <c r="B125" i="26"/>
  <c r="D125" i="26" s="1"/>
  <c r="C125" i="26"/>
  <c r="E125" i="26" s="1"/>
  <c r="B126" i="26"/>
  <c r="D126" i="26" s="1"/>
  <c r="C126" i="26"/>
  <c r="E126" i="26" s="1"/>
  <c r="B127" i="26"/>
  <c r="D127" i="26" s="1"/>
  <c r="C127" i="26"/>
  <c r="E127" i="26" s="1"/>
  <c r="B128" i="26"/>
  <c r="D128" i="26" s="1"/>
  <c r="C128" i="26"/>
  <c r="E128" i="26" s="1"/>
  <c r="B129" i="26"/>
  <c r="D129" i="26" s="1"/>
  <c r="C129" i="26"/>
  <c r="E129" i="26" s="1"/>
  <c r="B130" i="26"/>
  <c r="D130" i="26" s="1"/>
  <c r="C130" i="26"/>
  <c r="E130" i="26" s="1"/>
  <c r="B131" i="26"/>
  <c r="D131" i="26" s="1"/>
  <c r="C131" i="26"/>
  <c r="E131" i="26" s="1"/>
  <c r="B132" i="26"/>
  <c r="D132" i="26" s="1"/>
  <c r="C132" i="26"/>
  <c r="E132" i="26" s="1"/>
  <c r="B133" i="26"/>
  <c r="D133" i="26" s="1"/>
  <c r="C133" i="26"/>
  <c r="E133" i="26" s="1"/>
  <c r="B134" i="26"/>
  <c r="D134" i="26" s="1"/>
  <c r="C134" i="26"/>
  <c r="E134" i="26" s="1"/>
  <c r="B135" i="26"/>
  <c r="D135" i="26" s="1"/>
  <c r="C135" i="26"/>
  <c r="E135" i="26" s="1"/>
  <c r="B136" i="26"/>
  <c r="D136" i="26" s="1"/>
  <c r="C136" i="26"/>
  <c r="E136" i="26" s="1"/>
  <c r="B137" i="26"/>
  <c r="D137" i="26" s="1"/>
  <c r="C137" i="26"/>
  <c r="E137" i="26" s="1"/>
  <c r="B138" i="26"/>
  <c r="D138" i="26" s="1"/>
  <c r="C138" i="26"/>
  <c r="E138" i="26" s="1"/>
  <c r="B139" i="26"/>
  <c r="D139" i="26" s="1"/>
  <c r="C139" i="26"/>
  <c r="E139" i="26" s="1"/>
  <c r="B140" i="26"/>
  <c r="D140" i="26" s="1"/>
  <c r="C140" i="26"/>
  <c r="E140" i="26" s="1"/>
  <c r="B141" i="26"/>
  <c r="D141" i="26" s="1"/>
  <c r="C141" i="26"/>
  <c r="E141" i="26" s="1"/>
  <c r="B142" i="26"/>
  <c r="D142" i="26" s="1"/>
  <c r="C142" i="26"/>
  <c r="E142" i="26" s="1"/>
  <c r="B143" i="26"/>
  <c r="D143" i="26" s="1"/>
  <c r="C143" i="26"/>
  <c r="E143" i="26" s="1"/>
  <c r="B144" i="26"/>
  <c r="D144" i="26" s="1"/>
  <c r="C144" i="26"/>
  <c r="E144" i="26" s="1"/>
  <c r="B145" i="26"/>
  <c r="D145" i="26" s="1"/>
  <c r="C145" i="26"/>
  <c r="E145" i="26" s="1"/>
  <c r="B146" i="26"/>
  <c r="D146" i="26" s="1"/>
  <c r="C146" i="26"/>
  <c r="E146" i="26" s="1"/>
  <c r="B147" i="26"/>
  <c r="D147" i="26" s="1"/>
  <c r="C147" i="26"/>
  <c r="E147" i="26" s="1"/>
  <c r="B148" i="26"/>
  <c r="D148" i="26" s="1"/>
  <c r="C148" i="26"/>
  <c r="E148" i="26" s="1"/>
  <c r="B149" i="26"/>
  <c r="D149" i="26" s="1"/>
  <c r="C149" i="26"/>
  <c r="E149" i="26" s="1"/>
  <c r="B150" i="26"/>
  <c r="D150" i="26" s="1"/>
  <c r="C150" i="26"/>
  <c r="E150" i="26" s="1"/>
  <c r="B151" i="26"/>
  <c r="D151" i="26" s="1"/>
  <c r="C151" i="26"/>
  <c r="E151" i="26" s="1"/>
  <c r="B152" i="26"/>
  <c r="D152" i="26" s="1"/>
  <c r="C152" i="26"/>
  <c r="E152" i="26" s="1"/>
  <c r="B153" i="26"/>
  <c r="D153" i="26" s="1"/>
  <c r="C153" i="26"/>
  <c r="E153" i="26" s="1"/>
  <c r="B154" i="26"/>
  <c r="D154" i="26" s="1"/>
  <c r="C154" i="26"/>
  <c r="E154" i="26" s="1"/>
  <c r="B155" i="26"/>
  <c r="D155" i="26" s="1"/>
  <c r="C155" i="26"/>
  <c r="E155" i="26" s="1"/>
  <c r="B156" i="26"/>
  <c r="D156" i="26" s="1"/>
  <c r="C156" i="26"/>
  <c r="E156" i="26" s="1"/>
  <c r="B157" i="26"/>
  <c r="D157" i="26" s="1"/>
  <c r="C157" i="26"/>
  <c r="E157" i="26" s="1"/>
  <c r="B158" i="26"/>
  <c r="D158" i="26" s="1"/>
  <c r="C158" i="26"/>
  <c r="E158" i="26" s="1"/>
  <c r="B159" i="26"/>
  <c r="D159" i="26" s="1"/>
  <c r="C159" i="26"/>
  <c r="E159" i="26" s="1"/>
  <c r="B160" i="26"/>
  <c r="D160" i="26" s="1"/>
  <c r="C160" i="26"/>
  <c r="E160" i="26" s="1"/>
  <c r="B161" i="26"/>
  <c r="D161" i="26" s="1"/>
  <c r="C161" i="26"/>
  <c r="E161" i="26" s="1"/>
  <c r="B162" i="26"/>
  <c r="D162" i="26" s="1"/>
  <c r="C162" i="26"/>
  <c r="E162" i="26" s="1"/>
  <c r="B163" i="26"/>
  <c r="D163" i="26" s="1"/>
  <c r="C163" i="26"/>
  <c r="E163" i="26" s="1"/>
  <c r="B164" i="26"/>
  <c r="D164" i="26" s="1"/>
  <c r="C164" i="26"/>
  <c r="E164" i="26" s="1"/>
  <c r="B165" i="26"/>
  <c r="D165" i="26" s="1"/>
  <c r="C165" i="26"/>
  <c r="E165" i="26" s="1"/>
  <c r="B166" i="26"/>
  <c r="D166" i="26" s="1"/>
  <c r="C166" i="26"/>
  <c r="E166" i="26" s="1"/>
  <c r="B167" i="26"/>
  <c r="D167" i="26" s="1"/>
  <c r="C167" i="26"/>
  <c r="E167" i="26" s="1"/>
  <c r="B168" i="26"/>
  <c r="D168" i="26" s="1"/>
  <c r="C168" i="26"/>
  <c r="E168" i="26" s="1"/>
  <c r="B169" i="26"/>
  <c r="D169" i="26" s="1"/>
  <c r="C169" i="26"/>
  <c r="E169" i="26" s="1"/>
  <c r="B170" i="26"/>
  <c r="D170" i="26" s="1"/>
  <c r="C170" i="26"/>
  <c r="E170" i="26" s="1"/>
  <c r="B171" i="26"/>
  <c r="D171" i="26" s="1"/>
  <c r="C171" i="26"/>
  <c r="E171" i="26" s="1"/>
  <c r="B172" i="26"/>
  <c r="D172" i="26" s="1"/>
  <c r="C172" i="26"/>
  <c r="E172" i="26" s="1"/>
  <c r="B173" i="26"/>
  <c r="D173" i="26" s="1"/>
  <c r="C173" i="26"/>
  <c r="E173" i="26" s="1"/>
  <c r="B174" i="26"/>
  <c r="D174" i="26" s="1"/>
  <c r="C174" i="26"/>
  <c r="E174" i="26" s="1"/>
  <c r="B175" i="26"/>
  <c r="D175" i="26" s="1"/>
  <c r="C175" i="26"/>
  <c r="E175" i="26" s="1"/>
  <c r="B176" i="26"/>
  <c r="D176" i="26" s="1"/>
  <c r="C176" i="26"/>
  <c r="E176" i="26" s="1"/>
  <c r="B177" i="26"/>
  <c r="D177" i="26" s="1"/>
  <c r="C177" i="26"/>
  <c r="E177" i="26" s="1"/>
  <c r="B178" i="26"/>
  <c r="D178" i="26" s="1"/>
  <c r="C178" i="26"/>
  <c r="E178" i="26" s="1"/>
  <c r="B179" i="26"/>
  <c r="D179" i="26" s="1"/>
  <c r="C179" i="26"/>
  <c r="E179" i="26" s="1"/>
  <c r="B180" i="26"/>
  <c r="D180" i="26" s="1"/>
  <c r="C180" i="26"/>
  <c r="E180" i="26" s="1"/>
  <c r="B181" i="26"/>
  <c r="D181" i="26" s="1"/>
  <c r="C181" i="26"/>
  <c r="E181" i="26" s="1"/>
  <c r="B182" i="26"/>
  <c r="D182" i="26" s="1"/>
  <c r="C182" i="26"/>
  <c r="E182" i="26" s="1"/>
  <c r="B183" i="26"/>
  <c r="D183" i="26" s="1"/>
  <c r="C183" i="26"/>
  <c r="E183" i="26" s="1"/>
  <c r="B184" i="26"/>
  <c r="D184" i="26" s="1"/>
  <c r="C184" i="26"/>
  <c r="E184" i="26" s="1"/>
  <c r="B185" i="26"/>
  <c r="D185" i="26" s="1"/>
  <c r="C185" i="26"/>
  <c r="E185" i="26" s="1"/>
  <c r="B186" i="26"/>
  <c r="D186" i="26" s="1"/>
  <c r="C186" i="26"/>
  <c r="E186" i="26" s="1"/>
  <c r="B187" i="26"/>
  <c r="D187" i="26" s="1"/>
  <c r="C187" i="26"/>
  <c r="E187" i="26" s="1"/>
  <c r="B188" i="26"/>
  <c r="D188" i="26" s="1"/>
  <c r="C188" i="26"/>
  <c r="E188" i="26" s="1"/>
  <c r="B189" i="26"/>
  <c r="D189" i="26" s="1"/>
  <c r="C189" i="26"/>
  <c r="E189" i="26" s="1"/>
  <c r="B190" i="26"/>
  <c r="D190" i="26" s="1"/>
  <c r="C190" i="26"/>
  <c r="E190" i="26" s="1"/>
  <c r="B191" i="26"/>
  <c r="D191" i="26" s="1"/>
  <c r="C191" i="26"/>
  <c r="E191" i="26" s="1"/>
  <c r="B192" i="26"/>
  <c r="D192" i="26" s="1"/>
  <c r="C192" i="26"/>
  <c r="E192" i="26" s="1"/>
  <c r="B193" i="26"/>
  <c r="D193" i="26" s="1"/>
  <c r="C193" i="26"/>
  <c r="E193" i="26" s="1"/>
  <c r="B194" i="26"/>
  <c r="D194" i="26" s="1"/>
  <c r="C194" i="26"/>
  <c r="E194" i="26" s="1"/>
  <c r="B195" i="26"/>
  <c r="D195" i="26" s="1"/>
  <c r="C195" i="26"/>
  <c r="E195" i="26" s="1"/>
  <c r="B196" i="26"/>
  <c r="D196" i="26" s="1"/>
  <c r="C196" i="26"/>
  <c r="E196" i="26" s="1"/>
  <c r="B197" i="26"/>
  <c r="D197" i="26" s="1"/>
  <c r="C197" i="26"/>
  <c r="E197" i="26" s="1"/>
  <c r="B198" i="26"/>
  <c r="D198" i="26" s="1"/>
  <c r="C198" i="26"/>
  <c r="E198" i="26" s="1"/>
  <c r="B199" i="26"/>
  <c r="D199" i="26" s="1"/>
  <c r="C199" i="26"/>
  <c r="E199" i="26" s="1"/>
  <c r="B200" i="26"/>
  <c r="D200" i="26" s="1"/>
  <c r="C200" i="26"/>
  <c r="E200" i="26" s="1"/>
  <c r="B201" i="26"/>
  <c r="D201" i="26" s="1"/>
  <c r="C201" i="26"/>
  <c r="E201" i="26" s="1"/>
  <c r="B202" i="26"/>
  <c r="D202" i="26" s="1"/>
  <c r="C202" i="26"/>
  <c r="E202" i="26" s="1"/>
  <c r="B203" i="26"/>
  <c r="D203" i="26" s="1"/>
  <c r="C203" i="26"/>
  <c r="E203" i="26" s="1"/>
  <c r="B204" i="26"/>
  <c r="D204" i="26" s="1"/>
  <c r="C204" i="26"/>
  <c r="E204" i="26" s="1"/>
  <c r="B205" i="26"/>
  <c r="D205" i="26" s="1"/>
  <c r="C205" i="26"/>
  <c r="E205" i="26" s="1"/>
  <c r="B206" i="26"/>
  <c r="D206" i="26" s="1"/>
  <c r="C206" i="26"/>
  <c r="E206" i="26" s="1"/>
  <c r="B207" i="26"/>
  <c r="D207" i="26" s="1"/>
  <c r="C207" i="26"/>
  <c r="E207" i="26" s="1"/>
  <c r="B208" i="26"/>
  <c r="D208" i="26" s="1"/>
  <c r="C208" i="26"/>
  <c r="E208" i="26" s="1"/>
  <c r="B209" i="26"/>
  <c r="D209" i="26" s="1"/>
  <c r="C209" i="26"/>
  <c r="E209" i="26" s="1"/>
  <c r="B210" i="26"/>
  <c r="D210" i="26" s="1"/>
  <c r="C210" i="26"/>
  <c r="E210" i="26" s="1"/>
  <c r="B211" i="26"/>
  <c r="D211" i="26" s="1"/>
  <c r="C211" i="26"/>
  <c r="E211" i="26" s="1"/>
  <c r="B212" i="26"/>
  <c r="D212" i="26" s="1"/>
  <c r="C212" i="26"/>
  <c r="E212" i="26" s="1"/>
  <c r="B213" i="26"/>
  <c r="D213" i="26" s="1"/>
  <c r="C213" i="26"/>
  <c r="E213" i="26" s="1"/>
  <c r="B214" i="26"/>
  <c r="D214" i="26" s="1"/>
  <c r="C214" i="26"/>
  <c r="E214" i="26" s="1"/>
  <c r="B16" i="26"/>
  <c r="D16" i="26" s="1"/>
  <c r="C16" i="26"/>
  <c r="E16" i="26" s="1"/>
  <c r="C15" i="26"/>
  <c r="E15" i="26" s="1"/>
  <c r="B15" i="26"/>
  <c r="D15" i="26" s="1"/>
  <c r="F15" i="26" s="1"/>
  <c r="H15" i="26" s="1"/>
  <c r="B27" i="25"/>
  <c r="D27" i="25" s="1"/>
  <c r="C27" i="25"/>
  <c r="E27" i="25" s="1"/>
  <c r="B28" i="25"/>
  <c r="D28" i="25" s="1"/>
  <c r="C28" i="25"/>
  <c r="E28" i="25" s="1"/>
  <c r="B29" i="25"/>
  <c r="D29" i="25" s="1"/>
  <c r="C29" i="25"/>
  <c r="E29" i="25" s="1"/>
  <c r="B30" i="25"/>
  <c r="D30" i="25" s="1"/>
  <c r="C30" i="25"/>
  <c r="E30" i="25" s="1"/>
  <c r="B31" i="25"/>
  <c r="D31" i="25" s="1"/>
  <c r="C31" i="25"/>
  <c r="E31" i="25" s="1"/>
  <c r="B32" i="25"/>
  <c r="D32" i="25" s="1"/>
  <c r="C32" i="25"/>
  <c r="E32" i="25" s="1"/>
  <c r="B33" i="25"/>
  <c r="D33" i="25" s="1"/>
  <c r="C33" i="25"/>
  <c r="E33" i="25" s="1"/>
  <c r="B34" i="25"/>
  <c r="D34" i="25" s="1"/>
  <c r="C34" i="25"/>
  <c r="E34" i="25" s="1"/>
  <c r="B35" i="25"/>
  <c r="D35" i="25" s="1"/>
  <c r="C35" i="25"/>
  <c r="E35" i="25" s="1"/>
  <c r="B36" i="25"/>
  <c r="D36" i="25" s="1"/>
  <c r="C36" i="25"/>
  <c r="E36" i="25" s="1"/>
  <c r="B37" i="25"/>
  <c r="D37" i="25" s="1"/>
  <c r="C37" i="25"/>
  <c r="E37" i="25" s="1"/>
  <c r="B38" i="25"/>
  <c r="D38" i="25" s="1"/>
  <c r="C38" i="25"/>
  <c r="E38" i="25" s="1"/>
  <c r="B39" i="25"/>
  <c r="D39" i="25" s="1"/>
  <c r="C39" i="25"/>
  <c r="E39" i="25" s="1"/>
  <c r="B40" i="25"/>
  <c r="D40" i="25" s="1"/>
  <c r="C40" i="25"/>
  <c r="E40" i="25" s="1"/>
  <c r="B41" i="25"/>
  <c r="D41" i="25" s="1"/>
  <c r="C41" i="25"/>
  <c r="E41" i="25" s="1"/>
  <c r="B42" i="25"/>
  <c r="D42" i="25" s="1"/>
  <c r="C42" i="25"/>
  <c r="E42" i="25" s="1"/>
  <c r="B43" i="25"/>
  <c r="D43" i="25" s="1"/>
  <c r="C43" i="25"/>
  <c r="E43" i="25" s="1"/>
  <c r="B44" i="25"/>
  <c r="D44" i="25" s="1"/>
  <c r="C44" i="25"/>
  <c r="E44" i="25" s="1"/>
  <c r="B45" i="25"/>
  <c r="D45" i="25" s="1"/>
  <c r="C45" i="25"/>
  <c r="E45" i="25" s="1"/>
  <c r="B46" i="25"/>
  <c r="D46" i="25" s="1"/>
  <c r="C46" i="25"/>
  <c r="E46" i="25" s="1"/>
  <c r="B47" i="25"/>
  <c r="D47" i="25" s="1"/>
  <c r="C47" i="25"/>
  <c r="E47" i="25" s="1"/>
  <c r="B48" i="25"/>
  <c r="D48" i="25" s="1"/>
  <c r="C48" i="25"/>
  <c r="E48" i="25" s="1"/>
  <c r="B49" i="25"/>
  <c r="D49" i="25" s="1"/>
  <c r="C49" i="25"/>
  <c r="E49" i="25" s="1"/>
  <c r="B50" i="25"/>
  <c r="D50" i="25" s="1"/>
  <c r="C50" i="25"/>
  <c r="E50" i="25" s="1"/>
  <c r="B51" i="25"/>
  <c r="D51" i="25" s="1"/>
  <c r="C51" i="25"/>
  <c r="E51" i="25" s="1"/>
  <c r="B52" i="25"/>
  <c r="D52" i="25" s="1"/>
  <c r="C52" i="25"/>
  <c r="E52" i="25" s="1"/>
  <c r="B53" i="25"/>
  <c r="D53" i="25" s="1"/>
  <c r="C53" i="25"/>
  <c r="E53" i="25" s="1"/>
  <c r="B54" i="25"/>
  <c r="D54" i="25" s="1"/>
  <c r="C54" i="25"/>
  <c r="E54" i="25" s="1"/>
  <c r="B55" i="25"/>
  <c r="D55" i="25" s="1"/>
  <c r="C55" i="25"/>
  <c r="E55" i="25" s="1"/>
  <c r="B56" i="25"/>
  <c r="D56" i="25" s="1"/>
  <c r="C56" i="25"/>
  <c r="E56" i="25" s="1"/>
  <c r="B57" i="25"/>
  <c r="D57" i="25" s="1"/>
  <c r="C57" i="25"/>
  <c r="E57" i="25" s="1"/>
  <c r="B58" i="25"/>
  <c r="D58" i="25" s="1"/>
  <c r="C58" i="25"/>
  <c r="E58" i="25" s="1"/>
  <c r="B59" i="25"/>
  <c r="D59" i="25" s="1"/>
  <c r="C59" i="25"/>
  <c r="E59" i="25" s="1"/>
  <c r="B60" i="25"/>
  <c r="D60" i="25" s="1"/>
  <c r="C60" i="25"/>
  <c r="E60" i="25" s="1"/>
  <c r="B61" i="25"/>
  <c r="D61" i="25" s="1"/>
  <c r="C61" i="25"/>
  <c r="E61" i="25" s="1"/>
  <c r="B62" i="25"/>
  <c r="D62" i="25" s="1"/>
  <c r="C62" i="25"/>
  <c r="E62" i="25" s="1"/>
  <c r="B63" i="25"/>
  <c r="D63" i="25" s="1"/>
  <c r="C63" i="25"/>
  <c r="E63" i="25" s="1"/>
  <c r="B64" i="25"/>
  <c r="D64" i="25" s="1"/>
  <c r="C64" i="25"/>
  <c r="E64" i="25" s="1"/>
  <c r="B65" i="25"/>
  <c r="D65" i="25" s="1"/>
  <c r="C65" i="25"/>
  <c r="E65" i="25" s="1"/>
  <c r="B66" i="25"/>
  <c r="D66" i="25" s="1"/>
  <c r="C66" i="25"/>
  <c r="E66" i="25" s="1"/>
  <c r="B67" i="25"/>
  <c r="D67" i="25" s="1"/>
  <c r="C67" i="25"/>
  <c r="E67" i="25" s="1"/>
  <c r="B68" i="25"/>
  <c r="D68" i="25" s="1"/>
  <c r="C68" i="25"/>
  <c r="E68" i="25" s="1"/>
  <c r="B69" i="25"/>
  <c r="D69" i="25" s="1"/>
  <c r="C69" i="25"/>
  <c r="E69" i="25" s="1"/>
  <c r="B70" i="25"/>
  <c r="D70" i="25" s="1"/>
  <c r="C70" i="25"/>
  <c r="E70" i="25" s="1"/>
  <c r="B71" i="25"/>
  <c r="D71" i="25" s="1"/>
  <c r="C71" i="25"/>
  <c r="E71" i="25" s="1"/>
  <c r="B72" i="25"/>
  <c r="D72" i="25" s="1"/>
  <c r="C72" i="25"/>
  <c r="E72" i="25" s="1"/>
  <c r="B73" i="25"/>
  <c r="D73" i="25" s="1"/>
  <c r="C73" i="25"/>
  <c r="E73" i="25" s="1"/>
  <c r="B74" i="25"/>
  <c r="D74" i="25" s="1"/>
  <c r="C74" i="25"/>
  <c r="E74" i="25" s="1"/>
  <c r="B75" i="25"/>
  <c r="D75" i="25" s="1"/>
  <c r="C75" i="25"/>
  <c r="E75" i="25" s="1"/>
  <c r="B76" i="25"/>
  <c r="D76" i="25" s="1"/>
  <c r="C76" i="25"/>
  <c r="E76" i="25" s="1"/>
  <c r="B77" i="25"/>
  <c r="D77" i="25" s="1"/>
  <c r="C77" i="25"/>
  <c r="E77" i="25" s="1"/>
  <c r="B78" i="25"/>
  <c r="D78" i="25" s="1"/>
  <c r="C78" i="25"/>
  <c r="E78" i="25" s="1"/>
  <c r="B79" i="25"/>
  <c r="D79" i="25" s="1"/>
  <c r="C79" i="25"/>
  <c r="E79" i="25" s="1"/>
  <c r="B80" i="25"/>
  <c r="D80" i="25" s="1"/>
  <c r="C80" i="25"/>
  <c r="E80" i="25" s="1"/>
  <c r="B81" i="25"/>
  <c r="D81" i="25" s="1"/>
  <c r="C81" i="25"/>
  <c r="E81" i="25" s="1"/>
  <c r="B82" i="25"/>
  <c r="D82" i="25" s="1"/>
  <c r="C82" i="25"/>
  <c r="E82" i="25" s="1"/>
  <c r="B83" i="25"/>
  <c r="D83" i="25" s="1"/>
  <c r="C83" i="25"/>
  <c r="E83" i="25" s="1"/>
  <c r="B84" i="25"/>
  <c r="D84" i="25" s="1"/>
  <c r="C84" i="25"/>
  <c r="E84" i="25" s="1"/>
  <c r="B85" i="25"/>
  <c r="D85" i="25" s="1"/>
  <c r="C85" i="25"/>
  <c r="E85" i="25" s="1"/>
  <c r="B86" i="25"/>
  <c r="D86" i="25" s="1"/>
  <c r="C86" i="25"/>
  <c r="E86" i="25" s="1"/>
  <c r="B87" i="25"/>
  <c r="D87" i="25" s="1"/>
  <c r="C87" i="25"/>
  <c r="E87" i="25" s="1"/>
  <c r="B88" i="25"/>
  <c r="D88" i="25" s="1"/>
  <c r="C88" i="25"/>
  <c r="E88" i="25" s="1"/>
  <c r="B89" i="25"/>
  <c r="D89" i="25" s="1"/>
  <c r="C89" i="25"/>
  <c r="E89" i="25" s="1"/>
  <c r="B90" i="25"/>
  <c r="D90" i="25" s="1"/>
  <c r="C90" i="25"/>
  <c r="E90" i="25" s="1"/>
  <c r="B91" i="25"/>
  <c r="D91" i="25" s="1"/>
  <c r="C91" i="25"/>
  <c r="E91" i="25" s="1"/>
  <c r="B92" i="25"/>
  <c r="D92" i="25" s="1"/>
  <c r="C92" i="25"/>
  <c r="E92" i="25" s="1"/>
  <c r="B93" i="25"/>
  <c r="D93" i="25" s="1"/>
  <c r="C93" i="25"/>
  <c r="E93" i="25" s="1"/>
  <c r="B94" i="25"/>
  <c r="D94" i="25" s="1"/>
  <c r="C94" i="25"/>
  <c r="E94" i="25" s="1"/>
  <c r="B95" i="25"/>
  <c r="D95" i="25" s="1"/>
  <c r="C95" i="25"/>
  <c r="E95" i="25" s="1"/>
  <c r="B96" i="25"/>
  <c r="D96" i="25" s="1"/>
  <c r="C96" i="25"/>
  <c r="E96" i="25" s="1"/>
  <c r="B97" i="25"/>
  <c r="D97" i="25" s="1"/>
  <c r="C97" i="25"/>
  <c r="E97" i="25" s="1"/>
  <c r="B98" i="25"/>
  <c r="D98" i="25" s="1"/>
  <c r="C98" i="25"/>
  <c r="E98" i="25" s="1"/>
  <c r="B99" i="25"/>
  <c r="D99" i="25" s="1"/>
  <c r="C99" i="25"/>
  <c r="E99" i="25" s="1"/>
  <c r="B100" i="25"/>
  <c r="D100" i="25" s="1"/>
  <c r="C100" i="25"/>
  <c r="E100" i="25" s="1"/>
  <c r="B101" i="25"/>
  <c r="D101" i="25" s="1"/>
  <c r="C101" i="25"/>
  <c r="E101" i="25" s="1"/>
  <c r="B102" i="25"/>
  <c r="D102" i="25" s="1"/>
  <c r="C102" i="25"/>
  <c r="E102" i="25" s="1"/>
  <c r="B103" i="25"/>
  <c r="D103" i="25" s="1"/>
  <c r="C103" i="25"/>
  <c r="E103" i="25" s="1"/>
  <c r="B104" i="25"/>
  <c r="D104" i="25" s="1"/>
  <c r="C104" i="25"/>
  <c r="E104" i="25" s="1"/>
  <c r="B105" i="25"/>
  <c r="D105" i="25" s="1"/>
  <c r="C105" i="25"/>
  <c r="E105" i="25" s="1"/>
  <c r="B106" i="25"/>
  <c r="D106" i="25" s="1"/>
  <c r="C106" i="25"/>
  <c r="E106" i="25" s="1"/>
  <c r="B107" i="25"/>
  <c r="D107" i="25" s="1"/>
  <c r="C107" i="25"/>
  <c r="E107" i="25" s="1"/>
  <c r="B108" i="25"/>
  <c r="D108" i="25" s="1"/>
  <c r="C108" i="25"/>
  <c r="E108" i="25" s="1"/>
  <c r="B109" i="25"/>
  <c r="D109" i="25" s="1"/>
  <c r="C109" i="25"/>
  <c r="E109" i="25" s="1"/>
  <c r="B110" i="25"/>
  <c r="D110" i="25" s="1"/>
  <c r="C110" i="25"/>
  <c r="E110" i="25" s="1"/>
  <c r="B111" i="25"/>
  <c r="D111" i="25" s="1"/>
  <c r="C111" i="25"/>
  <c r="E111" i="25" s="1"/>
  <c r="B112" i="25"/>
  <c r="D112" i="25" s="1"/>
  <c r="C112" i="25"/>
  <c r="E112" i="25" s="1"/>
  <c r="B113" i="25"/>
  <c r="D113" i="25" s="1"/>
  <c r="C113" i="25"/>
  <c r="E113" i="25" s="1"/>
  <c r="B114" i="25"/>
  <c r="D114" i="25" s="1"/>
  <c r="C114" i="25"/>
  <c r="E114" i="25" s="1"/>
  <c r="B115" i="25"/>
  <c r="D115" i="25" s="1"/>
  <c r="C115" i="25"/>
  <c r="E115" i="25" s="1"/>
  <c r="B116" i="25"/>
  <c r="D116" i="25" s="1"/>
  <c r="C116" i="25"/>
  <c r="E116" i="25" s="1"/>
  <c r="B117" i="25"/>
  <c r="D117" i="25" s="1"/>
  <c r="C117" i="25"/>
  <c r="E117" i="25" s="1"/>
  <c r="B118" i="25"/>
  <c r="D118" i="25" s="1"/>
  <c r="C118" i="25"/>
  <c r="E118" i="25" s="1"/>
  <c r="B119" i="25"/>
  <c r="D119" i="25" s="1"/>
  <c r="C119" i="25"/>
  <c r="E119" i="25" s="1"/>
  <c r="B120" i="25"/>
  <c r="D120" i="25" s="1"/>
  <c r="C120" i="25"/>
  <c r="E120" i="25" s="1"/>
  <c r="B121" i="25"/>
  <c r="D121" i="25" s="1"/>
  <c r="C121" i="25"/>
  <c r="E121" i="25" s="1"/>
  <c r="B122" i="25"/>
  <c r="D122" i="25" s="1"/>
  <c r="C122" i="25"/>
  <c r="E122" i="25" s="1"/>
  <c r="B123" i="25"/>
  <c r="D123" i="25" s="1"/>
  <c r="C123" i="25"/>
  <c r="E123" i="25" s="1"/>
  <c r="B124" i="25"/>
  <c r="D124" i="25" s="1"/>
  <c r="C124" i="25"/>
  <c r="E124" i="25" s="1"/>
  <c r="B125" i="25"/>
  <c r="D125" i="25" s="1"/>
  <c r="C125" i="25"/>
  <c r="E125" i="25" s="1"/>
  <c r="B126" i="25"/>
  <c r="D126" i="25" s="1"/>
  <c r="C126" i="25"/>
  <c r="E126" i="25" s="1"/>
  <c r="B127" i="25"/>
  <c r="D127" i="25" s="1"/>
  <c r="C127" i="25"/>
  <c r="E127" i="25" s="1"/>
  <c r="B128" i="25"/>
  <c r="D128" i="25" s="1"/>
  <c r="C128" i="25"/>
  <c r="E128" i="25" s="1"/>
  <c r="B129" i="25"/>
  <c r="D129" i="25" s="1"/>
  <c r="C129" i="25"/>
  <c r="E129" i="25" s="1"/>
  <c r="B130" i="25"/>
  <c r="D130" i="25" s="1"/>
  <c r="C130" i="25"/>
  <c r="E130" i="25" s="1"/>
  <c r="B131" i="25"/>
  <c r="D131" i="25" s="1"/>
  <c r="C131" i="25"/>
  <c r="E131" i="25" s="1"/>
  <c r="B132" i="25"/>
  <c r="D132" i="25" s="1"/>
  <c r="C132" i="25"/>
  <c r="E132" i="25" s="1"/>
  <c r="B133" i="25"/>
  <c r="D133" i="25" s="1"/>
  <c r="C133" i="25"/>
  <c r="E133" i="25" s="1"/>
  <c r="B134" i="25"/>
  <c r="D134" i="25" s="1"/>
  <c r="C134" i="25"/>
  <c r="E134" i="25" s="1"/>
  <c r="B135" i="25"/>
  <c r="D135" i="25" s="1"/>
  <c r="C135" i="25"/>
  <c r="E135" i="25" s="1"/>
  <c r="B136" i="25"/>
  <c r="D136" i="25" s="1"/>
  <c r="C136" i="25"/>
  <c r="E136" i="25" s="1"/>
  <c r="B137" i="25"/>
  <c r="D137" i="25" s="1"/>
  <c r="C137" i="25"/>
  <c r="E137" i="25" s="1"/>
  <c r="B138" i="25"/>
  <c r="D138" i="25" s="1"/>
  <c r="C138" i="25"/>
  <c r="E138" i="25" s="1"/>
  <c r="B139" i="25"/>
  <c r="D139" i="25" s="1"/>
  <c r="C139" i="25"/>
  <c r="E139" i="25" s="1"/>
  <c r="B140" i="25"/>
  <c r="D140" i="25" s="1"/>
  <c r="C140" i="25"/>
  <c r="E140" i="25" s="1"/>
  <c r="B141" i="25"/>
  <c r="D141" i="25" s="1"/>
  <c r="C141" i="25"/>
  <c r="E141" i="25" s="1"/>
  <c r="B142" i="25"/>
  <c r="D142" i="25" s="1"/>
  <c r="C142" i="25"/>
  <c r="E142" i="25" s="1"/>
  <c r="B143" i="25"/>
  <c r="D143" i="25" s="1"/>
  <c r="C143" i="25"/>
  <c r="E143" i="25" s="1"/>
  <c r="B144" i="25"/>
  <c r="D144" i="25" s="1"/>
  <c r="C144" i="25"/>
  <c r="E144" i="25" s="1"/>
  <c r="B145" i="25"/>
  <c r="D145" i="25" s="1"/>
  <c r="C145" i="25"/>
  <c r="E145" i="25" s="1"/>
  <c r="B146" i="25"/>
  <c r="D146" i="25" s="1"/>
  <c r="C146" i="25"/>
  <c r="E146" i="25" s="1"/>
  <c r="B147" i="25"/>
  <c r="D147" i="25" s="1"/>
  <c r="C147" i="25"/>
  <c r="E147" i="25" s="1"/>
  <c r="B148" i="25"/>
  <c r="D148" i="25" s="1"/>
  <c r="C148" i="25"/>
  <c r="E148" i="25" s="1"/>
  <c r="B149" i="25"/>
  <c r="D149" i="25" s="1"/>
  <c r="C149" i="25"/>
  <c r="E149" i="25" s="1"/>
  <c r="B150" i="25"/>
  <c r="D150" i="25" s="1"/>
  <c r="C150" i="25"/>
  <c r="E150" i="25" s="1"/>
  <c r="B151" i="25"/>
  <c r="D151" i="25" s="1"/>
  <c r="C151" i="25"/>
  <c r="E151" i="25" s="1"/>
  <c r="B152" i="25"/>
  <c r="D152" i="25" s="1"/>
  <c r="C152" i="25"/>
  <c r="E152" i="25" s="1"/>
  <c r="B153" i="25"/>
  <c r="D153" i="25" s="1"/>
  <c r="C153" i="25"/>
  <c r="E153" i="25" s="1"/>
  <c r="B154" i="25"/>
  <c r="D154" i="25" s="1"/>
  <c r="C154" i="25"/>
  <c r="E154" i="25" s="1"/>
  <c r="B155" i="25"/>
  <c r="D155" i="25" s="1"/>
  <c r="C155" i="25"/>
  <c r="E155" i="25" s="1"/>
  <c r="B156" i="25"/>
  <c r="D156" i="25" s="1"/>
  <c r="C156" i="25"/>
  <c r="E156" i="25" s="1"/>
  <c r="B157" i="25"/>
  <c r="D157" i="25" s="1"/>
  <c r="C157" i="25"/>
  <c r="E157" i="25" s="1"/>
  <c r="B158" i="25"/>
  <c r="D158" i="25" s="1"/>
  <c r="C158" i="25"/>
  <c r="E158" i="25" s="1"/>
  <c r="B159" i="25"/>
  <c r="D159" i="25" s="1"/>
  <c r="C159" i="25"/>
  <c r="E159" i="25" s="1"/>
  <c r="B160" i="25"/>
  <c r="D160" i="25" s="1"/>
  <c r="C160" i="25"/>
  <c r="E160" i="25" s="1"/>
  <c r="B161" i="25"/>
  <c r="D161" i="25" s="1"/>
  <c r="C161" i="25"/>
  <c r="E161" i="25" s="1"/>
  <c r="B162" i="25"/>
  <c r="D162" i="25" s="1"/>
  <c r="C162" i="25"/>
  <c r="E162" i="25" s="1"/>
  <c r="B163" i="25"/>
  <c r="D163" i="25" s="1"/>
  <c r="C163" i="25"/>
  <c r="E163" i="25" s="1"/>
  <c r="B164" i="25"/>
  <c r="D164" i="25" s="1"/>
  <c r="C164" i="25"/>
  <c r="E164" i="25" s="1"/>
  <c r="B165" i="25"/>
  <c r="D165" i="25" s="1"/>
  <c r="C165" i="25"/>
  <c r="E165" i="25" s="1"/>
  <c r="B166" i="25"/>
  <c r="D166" i="25" s="1"/>
  <c r="C166" i="25"/>
  <c r="E166" i="25" s="1"/>
  <c r="B167" i="25"/>
  <c r="D167" i="25" s="1"/>
  <c r="C167" i="25"/>
  <c r="E167" i="25" s="1"/>
  <c r="B168" i="25"/>
  <c r="D168" i="25" s="1"/>
  <c r="C168" i="25"/>
  <c r="E168" i="25" s="1"/>
  <c r="B169" i="25"/>
  <c r="D169" i="25" s="1"/>
  <c r="C169" i="25"/>
  <c r="E169" i="25" s="1"/>
  <c r="B170" i="25"/>
  <c r="D170" i="25" s="1"/>
  <c r="C170" i="25"/>
  <c r="E170" i="25" s="1"/>
  <c r="B171" i="25"/>
  <c r="D171" i="25" s="1"/>
  <c r="C171" i="25"/>
  <c r="E171" i="25" s="1"/>
  <c r="B172" i="25"/>
  <c r="D172" i="25" s="1"/>
  <c r="C172" i="25"/>
  <c r="E172" i="25" s="1"/>
  <c r="B173" i="25"/>
  <c r="D173" i="25" s="1"/>
  <c r="C173" i="25"/>
  <c r="E173" i="25" s="1"/>
  <c r="B174" i="25"/>
  <c r="D174" i="25" s="1"/>
  <c r="C174" i="25"/>
  <c r="E174" i="25" s="1"/>
  <c r="B175" i="25"/>
  <c r="D175" i="25" s="1"/>
  <c r="C175" i="25"/>
  <c r="E175" i="25" s="1"/>
  <c r="B176" i="25"/>
  <c r="D176" i="25" s="1"/>
  <c r="C176" i="25"/>
  <c r="E176" i="25" s="1"/>
  <c r="B177" i="25"/>
  <c r="D177" i="25" s="1"/>
  <c r="C177" i="25"/>
  <c r="E177" i="25" s="1"/>
  <c r="B178" i="25"/>
  <c r="D178" i="25" s="1"/>
  <c r="C178" i="25"/>
  <c r="E178" i="25" s="1"/>
  <c r="B179" i="25"/>
  <c r="D179" i="25" s="1"/>
  <c r="C179" i="25"/>
  <c r="E179" i="25" s="1"/>
  <c r="B180" i="25"/>
  <c r="D180" i="25" s="1"/>
  <c r="C180" i="25"/>
  <c r="E180" i="25" s="1"/>
  <c r="B181" i="25"/>
  <c r="D181" i="25" s="1"/>
  <c r="C181" i="25"/>
  <c r="E181" i="25" s="1"/>
  <c r="B182" i="25"/>
  <c r="D182" i="25" s="1"/>
  <c r="C182" i="25"/>
  <c r="E182" i="25" s="1"/>
  <c r="B183" i="25"/>
  <c r="D183" i="25" s="1"/>
  <c r="C183" i="25"/>
  <c r="E183" i="25" s="1"/>
  <c r="B184" i="25"/>
  <c r="D184" i="25" s="1"/>
  <c r="C184" i="25"/>
  <c r="E184" i="25" s="1"/>
  <c r="B185" i="25"/>
  <c r="D185" i="25" s="1"/>
  <c r="C185" i="25"/>
  <c r="E185" i="25" s="1"/>
  <c r="B186" i="25"/>
  <c r="D186" i="25" s="1"/>
  <c r="C186" i="25"/>
  <c r="E186" i="25" s="1"/>
  <c r="B187" i="25"/>
  <c r="D187" i="25" s="1"/>
  <c r="C187" i="25"/>
  <c r="E187" i="25" s="1"/>
  <c r="B188" i="25"/>
  <c r="D188" i="25" s="1"/>
  <c r="C188" i="25"/>
  <c r="E188" i="25" s="1"/>
  <c r="B189" i="25"/>
  <c r="D189" i="25" s="1"/>
  <c r="C189" i="25"/>
  <c r="E189" i="25" s="1"/>
  <c r="B190" i="25"/>
  <c r="D190" i="25" s="1"/>
  <c r="C190" i="25"/>
  <c r="E190" i="25" s="1"/>
  <c r="B191" i="25"/>
  <c r="D191" i="25" s="1"/>
  <c r="C191" i="25"/>
  <c r="E191" i="25" s="1"/>
  <c r="B192" i="25"/>
  <c r="D192" i="25" s="1"/>
  <c r="C192" i="25"/>
  <c r="E192" i="25" s="1"/>
  <c r="B193" i="25"/>
  <c r="D193" i="25" s="1"/>
  <c r="C193" i="25"/>
  <c r="E193" i="25" s="1"/>
  <c r="B194" i="25"/>
  <c r="D194" i="25" s="1"/>
  <c r="C194" i="25"/>
  <c r="E194" i="25" s="1"/>
  <c r="B195" i="25"/>
  <c r="D195" i="25" s="1"/>
  <c r="C195" i="25"/>
  <c r="E195" i="25" s="1"/>
  <c r="B196" i="25"/>
  <c r="D196" i="25" s="1"/>
  <c r="C196" i="25"/>
  <c r="E196" i="25" s="1"/>
  <c r="B197" i="25"/>
  <c r="D197" i="25" s="1"/>
  <c r="C197" i="25"/>
  <c r="E197" i="25" s="1"/>
  <c r="B198" i="25"/>
  <c r="D198" i="25" s="1"/>
  <c r="C198" i="25"/>
  <c r="E198" i="25" s="1"/>
  <c r="B199" i="25"/>
  <c r="D199" i="25" s="1"/>
  <c r="C199" i="25"/>
  <c r="E199" i="25" s="1"/>
  <c r="B200" i="25"/>
  <c r="D200" i="25" s="1"/>
  <c r="C200" i="25"/>
  <c r="E200" i="25" s="1"/>
  <c r="B201" i="25"/>
  <c r="D201" i="25" s="1"/>
  <c r="C201" i="25"/>
  <c r="E201" i="25" s="1"/>
  <c r="B202" i="25"/>
  <c r="D202" i="25" s="1"/>
  <c r="C202" i="25"/>
  <c r="E202" i="25" s="1"/>
  <c r="B203" i="25"/>
  <c r="D203" i="25" s="1"/>
  <c r="C203" i="25"/>
  <c r="E203" i="25" s="1"/>
  <c r="B204" i="25"/>
  <c r="D204" i="25" s="1"/>
  <c r="C204" i="25"/>
  <c r="E204" i="25" s="1"/>
  <c r="B205" i="25"/>
  <c r="D205" i="25" s="1"/>
  <c r="C205" i="25"/>
  <c r="E205" i="25" s="1"/>
  <c r="B206" i="25"/>
  <c r="D206" i="25" s="1"/>
  <c r="C206" i="25"/>
  <c r="E206" i="25" s="1"/>
  <c r="B207" i="25"/>
  <c r="D207" i="25" s="1"/>
  <c r="C207" i="25"/>
  <c r="E207" i="25" s="1"/>
  <c r="B208" i="25"/>
  <c r="D208" i="25" s="1"/>
  <c r="C208" i="25"/>
  <c r="E208" i="25" s="1"/>
  <c r="B209" i="25"/>
  <c r="D209" i="25" s="1"/>
  <c r="C209" i="25"/>
  <c r="E209" i="25" s="1"/>
  <c r="B210" i="25"/>
  <c r="D210" i="25" s="1"/>
  <c r="C210" i="25"/>
  <c r="E210" i="25" s="1"/>
  <c r="B211" i="25"/>
  <c r="D211" i="25" s="1"/>
  <c r="C211" i="25"/>
  <c r="E211" i="25" s="1"/>
  <c r="B212" i="25"/>
  <c r="D212" i="25" s="1"/>
  <c r="C212" i="25"/>
  <c r="E212" i="25" s="1"/>
  <c r="B213" i="25"/>
  <c r="D213" i="25" s="1"/>
  <c r="C213" i="25"/>
  <c r="E213" i="25" s="1"/>
  <c r="B16" i="25"/>
  <c r="D16" i="25" s="1"/>
  <c r="C16" i="25"/>
  <c r="E16" i="25" s="1"/>
  <c r="B17" i="25"/>
  <c r="D17" i="25" s="1"/>
  <c r="C17" i="25"/>
  <c r="E17" i="25" s="1"/>
  <c r="B18" i="25"/>
  <c r="D18" i="25" s="1"/>
  <c r="C18" i="25"/>
  <c r="E18" i="25" s="1"/>
  <c r="B19" i="25"/>
  <c r="D19" i="25" s="1"/>
  <c r="C19" i="25"/>
  <c r="E19" i="25" s="1"/>
  <c r="B20" i="25"/>
  <c r="D20" i="25" s="1"/>
  <c r="C20" i="25"/>
  <c r="E20" i="25" s="1"/>
  <c r="B21" i="25"/>
  <c r="D21" i="25" s="1"/>
  <c r="C21" i="25"/>
  <c r="E21" i="25" s="1"/>
  <c r="B22" i="25"/>
  <c r="D22" i="25" s="1"/>
  <c r="C22" i="25"/>
  <c r="E22" i="25" s="1"/>
  <c r="B23" i="25"/>
  <c r="D23" i="25" s="1"/>
  <c r="C23" i="25"/>
  <c r="E23" i="25" s="1"/>
  <c r="B24" i="25"/>
  <c r="D24" i="25" s="1"/>
  <c r="C24" i="25"/>
  <c r="E24" i="25" s="1"/>
  <c r="B25" i="25"/>
  <c r="D25" i="25" s="1"/>
  <c r="C25" i="25"/>
  <c r="E25" i="25" s="1"/>
  <c r="B26" i="25"/>
  <c r="D26" i="25" s="1"/>
  <c r="C26" i="25"/>
  <c r="E26" i="25" s="1"/>
  <c r="B15" i="25"/>
  <c r="D15" i="25" s="1"/>
  <c r="C15" i="25"/>
  <c r="E15" i="25" s="1"/>
  <c r="C14" i="25"/>
  <c r="E14" i="25" s="1"/>
  <c r="B14" i="25"/>
  <c r="D14" i="25" s="1"/>
  <c r="F14" i="25" s="1"/>
  <c r="H14" i="25" s="1"/>
  <c r="F16" i="26" l="1"/>
  <c r="F17" i="26" s="1"/>
  <c r="I15" i="26"/>
  <c r="F15" i="25"/>
  <c r="F16" i="25" s="1"/>
  <c r="I14" i="25"/>
  <c r="B16" i="24"/>
  <c r="D16" i="24" s="1"/>
  <c r="C16" i="24"/>
  <c r="E16" i="24" s="1"/>
  <c r="B17" i="24"/>
  <c r="D17" i="24" s="1"/>
  <c r="C17" i="24"/>
  <c r="E17" i="24" s="1"/>
  <c r="B18" i="24"/>
  <c r="D18" i="24" s="1"/>
  <c r="C18" i="24"/>
  <c r="E18" i="24" s="1"/>
  <c r="B19" i="24"/>
  <c r="D19" i="24" s="1"/>
  <c r="C19" i="24"/>
  <c r="E19" i="24" s="1"/>
  <c r="B20" i="24"/>
  <c r="D20" i="24" s="1"/>
  <c r="C20" i="24"/>
  <c r="E20" i="24" s="1"/>
  <c r="B21" i="24"/>
  <c r="D21" i="24" s="1"/>
  <c r="C21" i="24"/>
  <c r="E21" i="24" s="1"/>
  <c r="B22" i="24"/>
  <c r="D22" i="24" s="1"/>
  <c r="C22" i="24"/>
  <c r="E22" i="24" s="1"/>
  <c r="B23" i="24"/>
  <c r="D23" i="24" s="1"/>
  <c r="C23" i="24"/>
  <c r="E23" i="24" s="1"/>
  <c r="B24" i="24"/>
  <c r="D24" i="24" s="1"/>
  <c r="C24" i="24"/>
  <c r="E24" i="24" s="1"/>
  <c r="B25" i="24"/>
  <c r="D25" i="24" s="1"/>
  <c r="C25" i="24"/>
  <c r="E25" i="24" s="1"/>
  <c r="B26" i="24"/>
  <c r="D26" i="24" s="1"/>
  <c r="C26" i="24"/>
  <c r="E26" i="24" s="1"/>
  <c r="B27" i="24"/>
  <c r="D27" i="24" s="1"/>
  <c r="C27" i="24"/>
  <c r="E27" i="24" s="1"/>
  <c r="B28" i="24"/>
  <c r="D28" i="24" s="1"/>
  <c r="C28" i="24"/>
  <c r="E28" i="24" s="1"/>
  <c r="B29" i="24"/>
  <c r="D29" i="24" s="1"/>
  <c r="C29" i="24"/>
  <c r="E29" i="24" s="1"/>
  <c r="B30" i="24"/>
  <c r="D30" i="24" s="1"/>
  <c r="C30" i="24"/>
  <c r="E30" i="24" s="1"/>
  <c r="B31" i="24"/>
  <c r="D31" i="24" s="1"/>
  <c r="C31" i="24"/>
  <c r="E31" i="24" s="1"/>
  <c r="B32" i="24"/>
  <c r="D32" i="24" s="1"/>
  <c r="C32" i="24"/>
  <c r="E32" i="24" s="1"/>
  <c r="B33" i="24"/>
  <c r="D33" i="24" s="1"/>
  <c r="C33" i="24"/>
  <c r="E33" i="24" s="1"/>
  <c r="B34" i="24"/>
  <c r="D34" i="24" s="1"/>
  <c r="C34" i="24"/>
  <c r="E34" i="24" s="1"/>
  <c r="B35" i="24"/>
  <c r="D35" i="24" s="1"/>
  <c r="C35" i="24"/>
  <c r="E35" i="24" s="1"/>
  <c r="B36" i="24"/>
  <c r="D36" i="24" s="1"/>
  <c r="C36" i="24"/>
  <c r="E36" i="24" s="1"/>
  <c r="B37" i="24"/>
  <c r="D37" i="24" s="1"/>
  <c r="C37" i="24"/>
  <c r="E37" i="24" s="1"/>
  <c r="B38" i="24"/>
  <c r="D38" i="24" s="1"/>
  <c r="C38" i="24"/>
  <c r="E38" i="24" s="1"/>
  <c r="B39" i="24"/>
  <c r="D39" i="24" s="1"/>
  <c r="C39" i="24"/>
  <c r="E39" i="24" s="1"/>
  <c r="B40" i="24"/>
  <c r="D40" i="24" s="1"/>
  <c r="C40" i="24"/>
  <c r="E40" i="24" s="1"/>
  <c r="B41" i="24"/>
  <c r="D41" i="24" s="1"/>
  <c r="C41" i="24"/>
  <c r="E41" i="24" s="1"/>
  <c r="B42" i="24"/>
  <c r="D42" i="24" s="1"/>
  <c r="C42" i="24"/>
  <c r="E42" i="24" s="1"/>
  <c r="B43" i="24"/>
  <c r="D43" i="24" s="1"/>
  <c r="C43" i="24"/>
  <c r="E43" i="24" s="1"/>
  <c r="B44" i="24"/>
  <c r="D44" i="24" s="1"/>
  <c r="C44" i="24"/>
  <c r="E44" i="24" s="1"/>
  <c r="B45" i="24"/>
  <c r="D45" i="24" s="1"/>
  <c r="C45" i="24"/>
  <c r="E45" i="24" s="1"/>
  <c r="B46" i="24"/>
  <c r="D46" i="24" s="1"/>
  <c r="C46" i="24"/>
  <c r="E46" i="24" s="1"/>
  <c r="B47" i="24"/>
  <c r="D47" i="24" s="1"/>
  <c r="C47" i="24"/>
  <c r="E47" i="24" s="1"/>
  <c r="B48" i="24"/>
  <c r="D48" i="24" s="1"/>
  <c r="C48" i="24"/>
  <c r="E48" i="24" s="1"/>
  <c r="B49" i="24"/>
  <c r="D49" i="24" s="1"/>
  <c r="C49" i="24"/>
  <c r="E49" i="24" s="1"/>
  <c r="B50" i="24"/>
  <c r="D50" i="24" s="1"/>
  <c r="C50" i="24"/>
  <c r="E50" i="24" s="1"/>
  <c r="B51" i="24"/>
  <c r="D51" i="24" s="1"/>
  <c r="C51" i="24"/>
  <c r="E51" i="24" s="1"/>
  <c r="B52" i="24"/>
  <c r="D52" i="24" s="1"/>
  <c r="C52" i="24"/>
  <c r="E52" i="24" s="1"/>
  <c r="B53" i="24"/>
  <c r="D53" i="24" s="1"/>
  <c r="C53" i="24"/>
  <c r="E53" i="24" s="1"/>
  <c r="B54" i="24"/>
  <c r="D54" i="24" s="1"/>
  <c r="C54" i="24"/>
  <c r="E54" i="24" s="1"/>
  <c r="B55" i="24"/>
  <c r="D55" i="24" s="1"/>
  <c r="C55" i="24"/>
  <c r="E55" i="24" s="1"/>
  <c r="B56" i="24"/>
  <c r="D56" i="24" s="1"/>
  <c r="C56" i="24"/>
  <c r="E56" i="24" s="1"/>
  <c r="B57" i="24"/>
  <c r="D57" i="24" s="1"/>
  <c r="C57" i="24"/>
  <c r="E57" i="24" s="1"/>
  <c r="B58" i="24"/>
  <c r="D58" i="24" s="1"/>
  <c r="C58" i="24"/>
  <c r="E58" i="24" s="1"/>
  <c r="B59" i="24"/>
  <c r="D59" i="24" s="1"/>
  <c r="C59" i="24"/>
  <c r="E59" i="24" s="1"/>
  <c r="B60" i="24"/>
  <c r="D60" i="24" s="1"/>
  <c r="C60" i="24"/>
  <c r="E60" i="24" s="1"/>
  <c r="B61" i="24"/>
  <c r="D61" i="24" s="1"/>
  <c r="C61" i="24"/>
  <c r="E61" i="24" s="1"/>
  <c r="B62" i="24"/>
  <c r="D62" i="24" s="1"/>
  <c r="C62" i="24"/>
  <c r="E62" i="24" s="1"/>
  <c r="B63" i="24"/>
  <c r="D63" i="24" s="1"/>
  <c r="C63" i="24"/>
  <c r="E63" i="24" s="1"/>
  <c r="B64" i="24"/>
  <c r="D64" i="24" s="1"/>
  <c r="C64" i="24"/>
  <c r="E64" i="24" s="1"/>
  <c r="B65" i="24"/>
  <c r="D65" i="24" s="1"/>
  <c r="C65" i="24"/>
  <c r="E65" i="24" s="1"/>
  <c r="B66" i="24"/>
  <c r="D66" i="24" s="1"/>
  <c r="C66" i="24"/>
  <c r="E66" i="24" s="1"/>
  <c r="B67" i="24"/>
  <c r="D67" i="24" s="1"/>
  <c r="C67" i="24"/>
  <c r="E67" i="24" s="1"/>
  <c r="B68" i="24"/>
  <c r="D68" i="24" s="1"/>
  <c r="C68" i="24"/>
  <c r="E68" i="24" s="1"/>
  <c r="B69" i="24"/>
  <c r="D69" i="24" s="1"/>
  <c r="C69" i="24"/>
  <c r="E69" i="24" s="1"/>
  <c r="B70" i="24"/>
  <c r="D70" i="24" s="1"/>
  <c r="C70" i="24"/>
  <c r="E70" i="24" s="1"/>
  <c r="B71" i="24"/>
  <c r="D71" i="24" s="1"/>
  <c r="C71" i="24"/>
  <c r="E71" i="24" s="1"/>
  <c r="B72" i="24"/>
  <c r="D72" i="24" s="1"/>
  <c r="C72" i="24"/>
  <c r="E72" i="24" s="1"/>
  <c r="B73" i="24"/>
  <c r="D73" i="24" s="1"/>
  <c r="C73" i="24"/>
  <c r="E73" i="24" s="1"/>
  <c r="B74" i="24"/>
  <c r="D74" i="24" s="1"/>
  <c r="C74" i="24"/>
  <c r="E74" i="24" s="1"/>
  <c r="B75" i="24"/>
  <c r="D75" i="24" s="1"/>
  <c r="C75" i="24"/>
  <c r="E75" i="24" s="1"/>
  <c r="B76" i="24"/>
  <c r="D76" i="24" s="1"/>
  <c r="C76" i="24"/>
  <c r="E76" i="24" s="1"/>
  <c r="B77" i="24"/>
  <c r="D77" i="24" s="1"/>
  <c r="C77" i="24"/>
  <c r="E77" i="24" s="1"/>
  <c r="B78" i="24"/>
  <c r="D78" i="24" s="1"/>
  <c r="C78" i="24"/>
  <c r="E78" i="24" s="1"/>
  <c r="B79" i="24"/>
  <c r="D79" i="24" s="1"/>
  <c r="C79" i="24"/>
  <c r="E79" i="24" s="1"/>
  <c r="B80" i="24"/>
  <c r="D80" i="24" s="1"/>
  <c r="C80" i="24"/>
  <c r="E80" i="24" s="1"/>
  <c r="B81" i="24"/>
  <c r="D81" i="24" s="1"/>
  <c r="C81" i="24"/>
  <c r="E81" i="24" s="1"/>
  <c r="B82" i="24"/>
  <c r="D82" i="24" s="1"/>
  <c r="C82" i="24"/>
  <c r="E82" i="24" s="1"/>
  <c r="B83" i="24"/>
  <c r="D83" i="24" s="1"/>
  <c r="C83" i="24"/>
  <c r="E83" i="24" s="1"/>
  <c r="B84" i="24"/>
  <c r="D84" i="24" s="1"/>
  <c r="C84" i="24"/>
  <c r="E84" i="24" s="1"/>
  <c r="B85" i="24"/>
  <c r="D85" i="24" s="1"/>
  <c r="C85" i="24"/>
  <c r="E85" i="24" s="1"/>
  <c r="B86" i="24"/>
  <c r="D86" i="24" s="1"/>
  <c r="C86" i="24"/>
  <c r="E86" i="24" s="1"/>
  <c r="B87" i="24"/>
  <c r="D87" i="24" s="1"/>
  <c r="C87" i="24"/>
  <c r="E87" i="24" s="1"/>
  <c r="B88" i="24"/>
  <c r="D88" i="24" s="1"/>
  <c r="C88" i="24"/>
  <c r="E88" i="24" s="1"/>
  <c r="B89" i="24"/>
  <c r="D89" i="24" s="1"/>
  <c r="C89" i="24"/>
  <c r="E89" i="24" s="1"/>
  <c r="B90" i="24"/>
  <c r="D90" i="24" s="1"/>
  <c r="C90" i="24"/>
  <c r="E90" i="24" s="1"/>
  <c r="B91" i="24"/>
  <c r="D91" i="24" s="1"/>
  <c r="C91" i="24"/>
  <c r="E91" i="24" s="1"/>
  <c r="B92" i="24"/>
  <c r="D92" i="24" s="1"/>
  <c r="C92" i="24"/>
  <c r="E92" i="24" s="1"/>
  <c r="B93" i="24"/>
  <c r="D93" i="24" s="1"/>
  <c r="C93" i="24"/>
  <c r="E93" i="24" s="1"/>
  <c r="B94" i="24"/>
  <c r="D94" i="24" s="1"/>
  <c r="C94" i="24"/>
  <c r="E94" i="24" s="1"/>
  <c r="B95" i="24"/>
  <c r="D95" i="24" s="1"/>
  <c r="C95" i="24"/>
  <c r="E95" i="24" s="1"/>
  <c r="B96" i="24"/>
  <c r="D96" i="24" s="1"/>
  <c r="C96" i="24"/>
  <c r="E96" i="24" s="1"/>
  <c r="B97" i="24"/>
  <c r="D97" i="24" s="1"/>
  <c r="C97" i="24"/>
  <c r="E97" i="24" s="1"/>
  <c r="B98" i="24"/>
  <c r="D98" i="24" s="1"/>
  <c r="C98" i="24"/>
  <c r="E98" i="24" s="1"/>
  <c r="B99" i="24"/>
  <c r="D99" i="24" s="1"/>
  <c r="C99" i="24"/>
  <c r="E99" i="24" s="1"/>
  <c r="B100" i="24"/>
  <c r="D100" i="24" s="1"/>
  <c r="C100" i="24"/>
  <c r="E100" i="24" s="1"/>
  <c r="B101" i="24"/>
  <c r="D101" i="24" s="1"/>
  <c r="C101" i="24"/>
  <c r="E101" i="24" s="1"/>
  <c r="B102" i="24"/>
  <c r="D102" i="24" s="1"/>
  <c r="C102" i="24"/>
  <c r="E102" i="24" s="1"/>
  <c r="B103" i="24"/>
  <c r="D103" i="24" s="1"/>
  <c r="C103" i="24"/>
  <c r="E103" i="24" s="1"/>
  <c r="B104" i="24"/>
  <c r="D104" i="24" s="1"/>
  <c r="C104" i="24"/>
  <c r="E104" i="24" s="1"/>
  <c r="B105" i="24"/>
  <c r="D105" i="24" s="1"/>
  <c r="C105" i="24"/>
  <c r="E105" i="24" s="1"/>
  <c r="B106" i="24"/>
  <c r="D106" i="24" s="1"/>
  <c r="C106" i="24"/>
  <c r="E106" i="24" s="1"/>
  <c r="B107" i="24"/>
  <c r="D107" i="24" s="1"/>
  <c r="C107" i="24"/>
  <c r="E107" i="24" s="1"/>
  <c r="B108" i="24"/>
  <c r="D108" i="24" s="1"/>
  <c r="C108" i="24"/>
  <c r="E108" i="24" s="1"/>
  <c r="B109" i="24"/>
  <c r="D109" i="24" s="1"/>
  <c r="C109" i="24"/>
  <c r="E109" i="24" s="1"/>
  <c r="B110" i="24"/>
  <c r="D110" i="24" s="1"/>
  <c r="C110" i="24"/>
  <c r="E110" i="24" s="1"/>
  <c r="B111" i="24"/>
  <c r="D111" i="24" s="1"/>
  <c r="C111" i="24"/>
  <c r="E111" i="24" s="1"/>
  <c r="B112" i="24"/>
  <c r="D112" i="24" s="1"/>
  <c r="C112" i="24"/>
  <c r="E112" i="24" s="1"/>
  <c r="B113" i="24"/>
  <c r="D113" i="24" s="1"/>
  <c r="C113" i="24"/>
  <c r="E113" i="24" s="1"/>
  <c r="B114" i="24"/>
  <c r="D114" i="24" s="1"/>
  <c r="C114" i="24"/>
  <c r="E114" i="24" s="1"/>
  <c r="B115" i="24"/>
  <c r="D115" i="24" s="1"/>
  <c r="C115" i="24"/>
  <c r="E115" i="24" s="1"/>
  <c r="B116" i="24"/>
  <c r="D116" i="24" s="1"/>
  <c r="C116" i="24"/>
  <c r="E116" i="24" s="1"/>
  <c r="B117" i="24"/>
  <c r="D117" i="24" s="1"/>
  <c r="C117" i="24"/>
  <c r="E117" i="24" s="1"/>
  <c r="B118" i="24"/>
  <c r="D118" i="24" s="1"/>
  <c r="C118" i="24"/>
  <c r="E118" i="24" s="1"/>
  <c r="B119" i="24"/>
  <c r="D119" i="24" s="1"/>
  <c r="C119" i="24"/>
  <c r="E119" i="24" s="1"/>
  <c r="B120" i="24"/>
  <c r="D120" i="24" s="1"/>
  <c r="C120" i="24"/>
  <c r="E120" i="24" s="1"/>
  <c r="B121" i="24"/>
  <c r="D121" i="24" s="1"/>
  <c r="C121" i="24"/>
  <c r="E121" i="24" s="1"/>
  <c r="B122" i="24"/>
  <c r="D122" i="24" s="1"/>
  <c r="C122" i="24"/>
  <c r="E122" i="24" s="1"/>
  <c r="B123" i="24"/>
  <c r="D123" i="24" s="1"/>
  <c r="C123" i="24"/>
  <c r="E123" i="24" s="1"/>
  <c r="B124" i="24"/>
  <c r="D124" i="24" s="1"/>
  <c r="C124" i="24"/>
  <c r="E124" i="24" s="1"/>
  <c r="B125" i="24"/>
  <c r="D125" i="24" s="1"/>
  <c r="C125" i="24"/>
  <c r="E125" i="24" s="1"/>
  <c r="B126" i="24"/>
  <c r="D126" i="24" s="1"/>
  <c r="C126" i="24"/>
  <c r="E126" i="24" s="1"/>
  <c r="B127" i="24"/>
  <c r="D127" i="24" s="1"/>
  <c r="C127" i="24"/>
  <c r="E127" i="24" s="1"/>
  <c r="B128" i="24"/>
  <c r="D128" i="24" s="1"/>
  <c r="C128" i="24"/>
  <c r="E128" i="24" s="1"/>
  <c r="B129" i="24"/>
  <c r="D129" i="24" s="1"/>
  <c r="C129" i="24"/>
  <c r="E129" i="24" s="1"/>
  <c r="B130" i="24"/>
  <c r="D130" i="24" s="1"/>
  <c r="C130" i="24"/>
  <c r="E130" i="24" s="1"/>
  <c r="B131" i="24"/>
  <c r="D131" i="24" s="1"/>
  <c r="C131" i="24"/>
  <c r="E131" i="24" s="1"/>
  <c r="B132" i="24"/>
  <c r="D132" i="24" s="1"/>
  <c r="C132" i="24"/>
  <c r="E132" i="24" s="1"/>
  <c r="B133" i="24"/>
  <c r="D133" i="24" s="1"/>
  <c r="C133" i="24"/>
  <c r="E133" i="24" s="1"/>
  <c r="B134" i="24"/>
  <c r="D134" i="24" s="1"/>
  <c r="C134" i="24"/>
  <c r="E134" i="24" s="1"/>
  <c r="B135" i="24"/>
  <c r="D135" i="24" s="1"/>
  <c r="C135" i="24"/>
  <c r="E135" i="24" s="1"/>
  <c r="B136" i="24"/>
  <c r="D136" i="24" s="1"/>
  <c r="C136" i="24"/>
  <c r="E136" i="24" s="1"/>
  <c r="B137" i="24"/>
  <c r="D137" i="24" s="1"/>
  <c r="C137" i="24"/>
  <c r="E137" i="24" s="1"/>
  <c r="B138" i="24"/>
  <c r="D138" i="24" s="1"/>
  <c r="C138" i="24"/>
  <c r="E138" i="24" s="1"/>
  <c r="B139" i="24"/>
  <c r="D139" i="24" s="1"/>
  <c r="C139" i="24"/>
  <c r="E139" i="24" s="1"/>
  <c r="B140" i="24"/>
  <c r="D140" i="24" s="1"/>
  <c r="C140" i="24"/>
  <c r="E140" i="24" s="1"/>
  <c r="B141" i="24"/>
  <c r="D141" i="24" s="1"/>
  <c r="C141" i="24"/>
  <c r="E141" i="24" s="1"/>
  <c r="B142" i="24"/>
  <c r="D142" i="24" s="1"/>
  <c r="C142" i="24"/>
  <c r="E142" i="24" s="1"/>
  <c r="B143" i="24"/>
  <c r="D143" i="24" s="1"/>
  <c r="C143" i="24"/>
  <c r="E143" i="24" s="1"/>
  <c r="B144" i="24"/>
  <c r="D144" i="24" s="1"/>
  <c r="C144" i="24"/>
  <c r="E144" i="24" s="1"/>
  <c r="B145" i="24"/>
  <c r="D145" i="24" s="1"/>
  <c r="C145" i="24"/>
  <c r="E145" i="24" s="1"/>
  <c r="B146" i="24"/>
  <c r="D146" i="24" s="1"/>
  <c r="C146" i="24"/>
  <c r="E146" i="24" s="1"/>
  <c r="B147" i="24"/>
  <c r="D147" i="24" s="1"/>
  <c r="C147" i="24"/>
  <c r="E147" i="24" s="1"/>
  <c r="B148" i="24"/>
  <c r="D148" i="24" s="1"/>
  <c r="C148" i="24"/>
  <c r="E148" i="24" s="1"/>
  <c r="B149" i="24"/>
  <c r="D149" i="24" s="1"/>
  <c r="C149" i="24"/>
  <c r="E149" i="24" s="1"/>
  <c r="B150" i="24"/>
  <c r="D150" i="24" s="1"/>
  <c r="C150" i="24"/>
  <c r="E150" i="24" s="1"/>
  <c r="B151" i="24"/>
  <c r="D151" i="24" s="1"/>
  <c r="C151" i="24"/>
  <c r="E151" i="24" s="1"/>
  <c r="B152" i="24"/>
  <c r="D152" i="24" s="1"/>
  <c r="C152" i="24"/>
  <c r="E152" i="24" s="1"/>
  <c r="B153" i="24"/>
  <c r="D153" i="24" s="1"/>
  <c r="C153" i="24"/>
  <c r="E153" i="24" s="1"/>
  <c r="B154" i="24"/>
  <c r="D154" i="24" s="1"/>
  <c r="C154" i="24"/>
  <c r="E154" i="24" s="1"/>
  <c r="B155" i="24"/>
  <c r="D155" i="24" s="1"/>
  <c r="C155" i="24"/>
  <c r="E155" i="24" s="1"/>
  <c r="B156" i="24"/>
  <c r="D156" i="24" s="1"/>
  <c r="C156" i="24"/>
  <c r="E156" i="24" s="1"/>
  <c r="B157" i="24"/>
  <c r="D157" i="24" s="1"/>
  <c r="C157" i="24"/>
  <c r="E157" i="24" s="1"/>
  <c r="B158" i="24"/>
  <c r="D158" i="24" s="1"/>
  <c r="C158" i="24"/>
  <c r="E158" i="24" s="1"/>
  <c r="B159" i="24"/>
  <c r="D159" i="24" s="1"/>
  <c r="C159" i="24"/>
  <c r="E159" i="24" s="1"/>
  <c r="B160" i="24"/>
  <c r="D160" i="24" s="1"/>
  <c r="C160" i="24"/>
  <c r="E160" i="24" s="1"/>
  <c r="B161" i="24"/>
  <c r="D161" i="24" s="1"/>
  <c r="C161" i="24"/>
  <c r="E161" i="24" s="1"/>
  <c r="B162" i="24"/>
  <c r="D162" i="24" s="1"/>
  <c r="C162" i="24"/>
  <c r="E162" i="24" s="1"/>
  <c r="B163" i="24"/>
  <c r="D163" i="24" s="1"/>
  <c r="C163" i="24"/>
  <c r="E163" i="24" s="1"/>
  <c r="B164" i="24"/>
  <c r="D164" i="24" s="1"/>
  <c r="C164" i="24"/>
  <c r="E164" i="24" s="1"/>
  <c r="B165" i="24"/>
  <c r="D165" i="24" s="1"/>
  <c r="C165" i="24"/>
  <c r="E165" i="24" s="1"/>
  <c r="B166" i="24"/>
  <c r="D166" i="24" s="1"/>
  <c r="C166" i="24"/>
  <c r="E166" i="24" s="1"/>
  <c r="B167" i="24"/>
  <c r="D167" i="24" s="1"/>
  <c r="C167" i="24"/>
  <c r="E167" i="24" s="1"/>
  <c r="B168" i="24"/>
  <c r="D168" i="24" s="1"/>
  <c r="C168" i="24"/>
  <c r="E168" i="24" s="1"/>
  <c r="B169" i="24"/>
  <c r="D169" i="24" s="1"/>
  <c r="C169" i="24"/>
  <c r="E169" i="24" s="1"/>
  <c r="B170" i="24"/>
  <c r="D170" i="24" s="1"/>
  <c r="C170" i="24"/>
  <c r="E170" i="24" s="1"/>
  <c r="B171" i="24"/>
  <c r="D171" i="24" s="1"/>
  <c r="C171" i="24"/>
  <c r="E171" i="24" s="1"/>
  <c r="B172" i="24"/>
  <c r="D172" i="24" s="1"/>
  <c r="C172" i="24"/>
  <c r="E172" i="24" s="1"/>
  <c r="B173" i="24"/>
  <c r="D173" i="24" s="1"/>
  <c r="C173" i="24"/>
  <c r="E173" i="24" s="1"/>
  <c r="B174" i="24"/>
  <c r="D174" i="24" s="1"/>
  <c r="C174" i="24"/>
  <c r="E174" i="24" s="1"/>
  <c r="B175" i="24"/>
  <c r="D175" i="24" s="1"/>
  <c r="C175" i="24"/>
  <c r="E175" i="24" s="1"/>
  <c r="B176" i="24"/>
  <c r="D176" i="24" s="1"/>
  <c r="C176" i="24"/>
  <c r="E176" i="24" s="1"/>
  <c r="B177" i="24"/>
  <c r="D177" i="24" s="1"/>
  <c r="C177" i="24"/>
  <c r="E177" i="24" s="1"/>
  <c r="B178" i="24"/>
  <c r="D178" i="24" s="1"/>
  <c r="C178" i="24"/>
  <c r="E178" i="24" s="1"/>
  <c r="B179" i="24"/>
  <c r="D179" i="24" s="1"/>
  <c r="C179" i="24"/>
  <c r="E179" i="24" s="1"/>
  <c r="B180" i="24"/>
  <c r="D180" i="24" s="1"/>
  <c r="C180" i="24"/>
  <c r="E180" i="24" s="1"/>
  <c r="B181" i="24"/>
  <c r="D181" i="24" s="1"/>
  <c r="C181" i="24"/>
  <c r="E181" i="24" s="1"/>
  <c r="B182" i="24"/>
  <c r="D182" i="24" s="1"/>
  <c r="C182" i="24"/>
  <c r="E182" i="24" s="1"/>
  <c r="B183" i="24"/>
  <c r="D183" i="24" s="1"/>
  <c r="C183" i="24"/>
  <c r="E183" i="24" s="1"/>
  <c r="B184" i="24"/>
  <c r="D184" i="24" s="1"/>
  <c r="C184" i="24"/>
  <c r="E184" i="24" s="1"/>
  <c r="B185" i="24"/>
  <c r="D185" i="24" s="1"/>
  <c r="C185" i="24"/>
  <c r="E185" i="24" s="1"/>
  <c r="B186" i="24"/>
  <c r="D186" i="24" s="1"/>
  <c r="C186" i="24"/>
  <c r="E186" i="24" s="1"/>
  <c r="B187" i="24"/>
  <c r="D187" i="24" s="1"/>
  <c r="C187" i="24"/>
  <c r="E187" i="24" s="1"/>
  <c r="B188" i="24"/>
  <c r="D188" i="24" s="1"/>
  <c r="C188" i="24"/>
  <c r="E188" i="24" s="1"/>
  <c r="B189" i="24"/>
  <c r="D189" i="24" s="1"/>
  <c r="C189" i="24"/>
  <c r="E189" i="24" s="1"/>
  <c r="B190" i="24"/>
  <c r="D190" i="24" s="1"/>
  <c r="C190" i="24"/>
  <c r="E190" i="24" s="1"/>
  <c r="B191" i="24"/>
  <c r="D191" i="24" s="1"/>
  <c r="C191" i="24"/>
  <c r="E191" i="24" s="1"/>
  <c r="B192" i="24"/>
  <c r="D192" i="24" s="1"/>
  <c r="C192" i="24"/>
  <c r="E192" i="24" s="1"/>
  <c r="B193" i="24"/>
  <c r="D193" i="24" s="1"/>
  <c r="C193" i="24"/>
  <c r="E193" i="24" s="1"/>
  <c r="B194" i="24"/>
  <c r="D194" i="24" s="1"/>
  <c r="C194" i="24"/>
  <c r="E194" i="24" s="1"/>
  <c r="B195" i="24"/>
  <c r="D195" i="24" s="1"/>
  <c r="C195" i="24"/>
  <c r="E195" i="24" s="1"/>
  <c r="B196" i="24"/>
  <c r="D196" i="24" s="1"/>
  <c r="C196" i="24"/>
  <c r="E196" i="24" s="1"/>
  <c r="B197" i="24"/>
  <c r="D197" i="24" s="1"/>
  <c r="C197" i="24"/>
  <c r="E197" i="24" s="1"/>
  <c r="B198" i="24"/>
  <c r="D198" i="24" s="1"/>
  <c r="C198" i="24"/>
  <c r="E198" i="24" s="1"/>
  <c r="B199" i="24"/>
  <c r="D199" i="24" s="1"/>
  <c r="C199" i="24"/>
  <c r="E199" i="24" s="1"/>
  <c r="B200" i="24"/>
  <c r="D200" i="24" s="1"/>
  <c r="C200" i="24"/>
  <c r="E200" i="24" s="1"/>
  <c r="B201" i="24"/>
  <c r="D201" i="24" s="1"/>
  <c r="C201" i="24"/>
  <c r="E201" i="24" s="1"/>
  <c r="B202" i="24"/>
  <c r="D202" i="24" s="1"/>
  <c r="C202" i="24"/>
  <c r="E202" i="24" s="1"/>
  <c r="B203" i="24"/>
  <c r="D203" i="24" s="1"/>
  <c r="C203" i="24"/>
  <c r="E203" i="24" s="1"/>
  <c r="B204" i="24"/>
  <c r="D204" i="24" s="1"/>
  <c r="C204" i="24"/>
  <c r="E204" i="24" s="1"/>
  <c r="B205" i="24"/>
  <c r="D205" i="24" s="1"/>
  <c r="C205" i="24"/>
  <c r="E205" i="24" s="1"/>
  <c r="B206" i="24"/>
  <c r="D206" i="24" s="1"/>
  <c r="C206" i="24"/>
  <c r="E206" i="24" s="1"/>
  <c r="B207" i="24"/>
  <c r="D207" i="24" s="1"/>
  <c r="C207" i="24"/>
  <c r="E207" i="24" s="1"/>
  <c r="B208" i="24"/>
  <c r="D208" i="24" s="1"/>
  <c r="C208" i="24"/>
  <c r="E208" i="24" s="1"/>
  <c r="B209" i="24"/>
  <c r="D209" i="24" s="1"/>
  <c r="C209" i="24"/>
  <c r="E209" i="24" s="1"/>
  <c r="B210" i="24"/>
  <c r="D210" i="24" s="1"/>
  <c r="C210" i="24"/>
  <c r="E210" i="24" s="1"/>
  <c r="B211" i="24"/>
  <c r="D211" i="24" s="1"/>
  <c r="C211" i="24"/>
  <c r="E211" i="24" s="1"/>
  <c r="B212" i="24"/>
  <c r="D212" i="24" s="1"/>
  <c r="C212" i="24"/>
  <c r="E212" i="24" s="1"/>
  <c r="B213" i="24"/>
  <c r="D213" i="24" s="1"/>
  <c r="C213" i="24"/>
  <c r="E213" i="24" s="1"/>
  <c r="B15" i="24"/>
  <c r="D15" i="24" s="1"/>
  <c r="C15" i="24"/>
  <c r="E15" i="24" s="1"/>
  <c r="C14" i="24"/>
  <c r="E14" i="24" s="1"/>
  <c r="B14" i="24"/>
  <c r="D14" i="24" s="1"/>
  <c r="F14" i="24" s="1"/>
  <c r="H14" i="24" s="1"/>
  <c r="F18" i="26" l="1"/>
  <c r="J15" i="26"/>
  <c r="G16" i="26"/>
  <c r="H16" i="26" s="1"/>
  <c r="I16" i="26" s="1"/>
  <c r="F17" i="25"/>
  <c r="J14" i="25"/>
  <c r="G15" i="25"/>
  <c r="H15" i="25" s="1"/>
  <c r="I15" i="25" s="1"/>
  <c r="E215" i="24"/>
  <c r="E217" i="24" s="1"/>
  <c r="D215" i="24"/>
  <c r="D217" i="24" s="1"/>
  <c r="F15" i="24"/>
  <c r="F16" i="24" s="1"/>
  <c r="I14" i="24"/>
  <c r="AB228" i="23"/>
  <c r="Z228" i="23"/>
  <c r="J16" i="26" l="1"/>
  <c r="G17" i="26"/>
  <c r="H17" i="26" s="1"/>
  <c r="I17" i="26" s="1"/>
  <c r="F19" i="26"/>
  <c r="J15" i="25"/>
  <c r="G16" i="25"/>
  <c r="H16" i="25" s="1"/>
  <c r="I16" i="25" s="1"/>
  <c r="F18" i="25"/>
  <c r="F17" i="24"/>
  <c r="J14" i="24"/>
  <c r="G15" i="24"/>
  <c r="H431" i="23"/>
  <c r="H432" i="23"/>
  <c r="H433" i="23"/>
  <c r="H434" i="23"/>
  <c r="H435" i="23"/>
  <c r="H436" i="23"/>
  <c r="H437" i="23"/>
  <c r="H438" i="23"/>
  <c r="H439" i="23"/>
  <c r="H440" i="23"/>
  <c r="H441" i="23"/>
  <c r="H442" i="23"/>
  <c r="H443" i="23"/>
  <c r="H444" i="23"/>
  <c r="H445" i="23"/>
  <c r="H446" i="23"/>
  <c r="H447" i="23"/>
  <c r="H448" i="23"/>
  <c r="H449" i="23"/>
  <c r="H450" i="23"/>
  <c r="H451" i="23"/>
  <c r="H452" i="23"/>
  <c r="H453" i="23"/>
  <c r="H454" i="23"/>
  <c r="H455" i="23"/>
  <c r="H456" i="23"/>
  <c r="H457" i="23"/>
  <c r="H458" i="23"/>
  <c r="H459" i="23"/>
  <c r="H460" i="23"/>
  <c r="H461" i="23"/>
  <c r="H462" i="23"/>
  <c r="H463" i="23"/>
  <c r="H464" i="23"/>
  <c r="H465" i="23"/>
  <c r="H466" i="23"/>
  <c r="H467" i="23"/>
  <c r="H468" i="23"/>
  <c r="H469" i="23"/>
  <c r="H470" i="23"/>
  <c r="H471" i="23"/>
  <c r="H472" i="23"/>
  <c r="H473" i="23"/>
  <c r="H474" i="23"/>
  <c r="H475" i="23"/>
  <c r="H476" i="23"/>
  <c r="H477" i="23"/>
  <c r="H478" i="23"/>
  <c r="H479" i="23"/>
  <c r="H480" i="23"/>
  <c r="H481" i="23"/>
  <c r="H482" i="23"/>
  <c r="H483" i="23"/>
  <c r="H484" i="23"/>
  <c r="H485" i="23"/>
  <c r="H486" i="23"/>
  <c r="H487" i="23"/>
  <c r="H488" i="23"/>
  <c r="H489" i="23"/>
  <c r="H490" i="23"/>
  <c r="H491" i="23"/>
  <c r="H492" i="23"/>
  <c r="H493" i="23"/>
  <c r="H494" i="23"/>
  <c r="H495" i="23"/>
  <c r="H496" i="23"/>
  <c r="H497" i="23"/>
  <c r="H498" i="23"/>
  <c r="H499" i="23"/>
  <c r="H500" i="23"/>
  <c r="H501" i="23"/>
  <c r="H502" i="23"/>
  <c r="H503" i="23"/>
  <c r="H504" i="23"/>
  <c r="H505" i="23"/>
  <c r="H506" i="23"/>
  <c r="H507" i="23"/>
  <c r="H508" i="23"/>
  <c r="H509" i="23"/>
  <c r="H510" i="23"/>
  <c r="H511" i="23"/>
  <c r="H512" i="23"/>
  <c r="H513" i="23"/>
  <c r="H514" i="23"/>
  <c r="H515" i="23"/>
  <c r="H516" i="23"/>
  <c r="H517" i="23"/>
  <c r="H518" i="23"/>
  <c r="H519" i="23"/>
  <c r="H520" i="23"/>
  <c r="H521" i="23"/>
  <c r="H522" i="23"/>
  <c r="H523" i="23"/>
  <c r="H524" i="23"/>
  <c r="H525" i="23"/>
  <c r="H526" i="23"/>
  <c r="H527" i="23"/>
  <c r="H528" i="23"/>
  <c r="H529" i="23"/>
  <c r="H530" i="23"/>
  <c r="H531" i="23"/>
  <c r="H532" i="23"/>
  <c r="H533" i="23"/>
  <c r="H534" i="23"/>
  <c r="H535" i="23"/>
  <c r="H536" i="23"/>
  <c r="H537" i="23"/>
  <c r="H538" i="23"/>
  <c r="H539" i="23"/>
  <c r="H540" i="23"/>
  <c r="H541" i="23"/>
  <c r="H542" i="23"/>
  <c r="H543" i="23"/>
  <c r="H544" i="23"/>
  <c r="H545" i="23"/>
  <c r="H546" i="23"/>
  <c r="H547" i="23"/>
  <c r="H548" i="23"/>
  <c r="H549" i="23"/>
  <c r="H550" i="23"/>
  <c r="H551" i="23"/>
  <c r="H552" i="23"/>
  <c r="H553" i="23"/>
  <c r="H554" i="23"/>
  <c r="H555" i="23"/>
  <c r="H556" i="23"/>
  <c r="H557" i="23"/>
  <c r="H558" i="23"/>
  <c r="H559" i="23"/>
  <c r="H560" i="23"/>
  <c r="H561" i="23"/>
  <c r="H562" i="23"/>
  <c r="H563" i="23"/>
  <c r="H564" i="23"/>
  <c r="H565" i="23"/>
  <c r="H566" i="23"/>
  <c r="H567" i="23"/>
  <c r="H568" i="23"/>
  <c r="H569" i="23"/>
  <c r="H570" i="23"/>
  <c r="H571" i="23"/>
  <c r="H572" i="23"/>
  <c r="H573" i="23"/>
  <c r="H574" i="23"/>
  <c r="H575" i="23"/>
  <c r="H576" i="23"/>
  <c r="H577" i="23"/>
  <c r="H578" i="23"/>
  <c r="H579" i="23"/>
  <c r="H580" i="23"/>
  <c r="H581" i="23"/>
  <c r="H582" i="23"/>
  <c r="H583" i="23"/>
  <c r="H584" i="23"/>
  <c r="H585" i="23"/>
  <c r="H586" i="23"/>
  <c r="H587" i="23"/>
  <c r="H588" i="23"/>
  <c r="H589" i="23"/>
  <c r="H590" i="23"/>
  <c r="H591" i="23"/>
  <c r="H592" i="23"/>
  <c r="H593" i="23"/>
  <c r="H594" i="23"/>
  <c r="H595" i="23"/>
  <c r="H596" i="23"/>
  <c r="H597" i="23"/>
  <c r="H598" i="23"/>
  <c r="H599" i="23"/>
  <c r="H600" i="23"/>
  <c r="H601" i="23"/>
  <c r="H602" i="23"/>
  <c r="H603" i="23"/>
  <c r="H604" i="23"/>
  <c r="H605" i="23"/>
  <c r="H606" i="23"/>
  <c r="H607" i="23"/>
  <c r="H608" i="23"/>
  <c r="H609" i="23"/>
  <c r="H610" i="23"/>
  <c r="H611" i="23"/>
  <c r="H612" i="23"/>
  <c r="H613" i="23"/>
  <c r="H614" i="23"/>
  <c r="H615" i="23"/>
  <c r="H616" i="23"/>
  <c r="H617" i="23"/>
  <c r="H618" i="23"/>
  <c r="H619" i="23"/>
  <c r="H620" i="23"/>
  <c r="H621" i="23"/>
  <c r="H622" i="23"/>
  <c r="H623" i="23"/>
  <c r="H624" i="23"/>
  <c r="H625" i="23"/>
  <c r="H626" i="23"/>
  <c r="H627" i="23"/>
  <c r="H628" i="23"/>
  <c r="H629" i="23"/>
  <c r="H430" i="23"/>
  <c r="H231" i="23"/>
  <c r="H232" i="23"/>
  <c r="H233" i="23"/>
  <c r="H234" i="23"/>
  <c r="H235" i="23"/>
  <c r="H236" i="23"/>
  <c r="H237" i="23"/>
  <c r="H238" i="23"/>
  <c r="H239" i="23"/>
  <c r="H240" i="23"/>
  <c r="H241" i="23"/>
  <c r="H242" i="23"/>
  <c r="H243" i="23"/>
  <c r="H244" i="23"/>
  <c r="H245" i="23"/>
  <c r="H246" i="23"/>
  <c r="H247" i="23"/>
  <c r="H248" i="23"/>
  <c r="H249" i="23"/>
  <c r="H250" i="23"/>
  <c r="H251" i="23"/>
  <c r="H252" i="23"/>
  <c r="H253" i="23"/>
  <c r="H254" i="23"/>
  <c r="H255" i="23"/>
  <c r="H256" i="23"/>
  <c r="H257" i="23"/>
  <c r="H258" i="23"/>
  <c r="H259" i="23"/>
  <c r="H260" i="23"/>
  <c r="H261" i="23"/>
  <c r="H262" i="23"/>
  <c r="H263" i="23"/>
  <c r="H264" i="23"/>
  <c r="H265" i="23"/>
  <c r="H266" i="23"/>
  <c r="H267" i="23"/>
  <c r="H268" i="23"/>
  <c r="H269" i="23"/>
  <c r="H270" i="23"/>
  <c r="H271" i="23"/>
  <c r="H272" i="23"/>
  <c r="H273" i="23"/>
  <c r="H274" i="23"/>
  <c r="H275" i="23"/>
  <c r="H276" i="23"/>
  <c r="H277" i="23"/>
  <c r="H278" i="23"/>
  <c r="H279" i="23"/>
  <c r="H280" i="23"/>
  <c r="H281" i="23"/>
  <c r="H282" i="23"/>
  <c r="H283" i="23"/>
  <c r="H284" i="23"/>
  <c r="H285" i="23"/>
  <c r="H286" i="23"/>
  <c r="H287" i="23"/>
  <c r="H288" i="23"/>
  <c r="H289" i="23"/>
  <c r="H290" i="23"/>
  <c r="H291" i="23"/>
  <c r="H292" i="23"/>
  <c r="H293" i="23"/>
  <c r="H294" i="23"/>
  <c r="H295" i="23"/>
  <c r="H296" i="23"/>
  <c r="H297" i="23"/>
  <c r="H298" i="23"/>
  <c r="H299" i="23"/>
  <c r="H300" i="23"/>
  <c r="H301" i="23"/>
  <c r="H302" i="23"/>
  <c r="H303" i="23"/>
  <c r="H304" i="23"/>
  <c r="H305" i="23"/>
  <c r="H306" i="23"/>
  <c r="H307" i="23"/>
  <c r="H308" i="23"/>
  <c r="H309" i="23"/>
  <c r="H310" i="23"/>
  <c r="H311" i="23"/>
  <c r="H312" i="23"/>
  <c r="H313" i="23"/>
  <c r="H314" i="23"/>
  <c r="H315" i="23"/>
  <c r="H316" i="23"/>
  <c r="H317" i="23"/>
  <c r="H318" i="23"/>
  <c r="H319" i="23"/>
  <c r="H320" i="23"/>
  <c r="H321" i="23"/>
  <c r="H322" i="23"/>
  <c r="H323" i="23"/>
  <c r="H324" i="23"/>
  <c r="H325" i="23"/>
  <c r="H326" i="23"/>
  <c r="H327" i="23"/>
  <c r="H328" i="23"/>
  <c r="H329" i="23"/>
  <c r="H330" i="23"/>
  <c r="H331" i="23"/>
  <c r="H332" i="23"/>
  <c r="H333" i="23"/>
  <c r="H334" i="23"/>
  <c r="H335" i="23"/>
  <c r="H336" i="23"/>
  <c r="H337" i="23"/>
  <c r="H338" i="23"/>
  <c r="H339" i="23"/>
  <c r="H340" i="23"/>
  <c r="H341" i="23"/>
  <c r="H342" i="23"/>
  <c r="H343" i="23"/>
  <c r="H344" i="23"/>
  <c r="H345" i="23"/>
  <c r="H346" i="23"/>
  <c r="H347" i="23"/>
  <c r="H348" i="23"/>
  <c r="H349" i="23"/>
  <c r="H350" i="23"/>
  <c r="H351" i="23"/>
  <c r="H352" i="23"/>
  <c r="H353" i="23"/>
  <c r="H354" i="23"/>
  <c r="H355" i="23"/>
  <c r="H356" i="23"/>
  <c r="H357" i="23"/>
  <c r="H358" i="23"/>
  <c r="H359" i="23"/>
  <c r="H360" i="23"/>
  <c r="H361" i="23"/>
  <c r="H362" i="23"/>
  <c r="H363" i="23"/>
  <c r="H364" i="23"/>
  <c r="H365" i="23"/>
  <c r="H366" i="23"/>
  <c r="H367" i="23"/>
  <c r="H368" i="23"/>
  <c r="H369" i="23"/>
  <c r="H370" i="23"/>
  <c r="H371" i="23"/>
  <c r="H372" i="23"/>
  <c r="H373" i="23"/>
  <c r="H374" i="23"/>
  <c r="H375" i="23"/>
  <c r="H376" i="23"/>
  <c r="H377" i="23"/>
  <c r="H378" i="23"/>
  <c r="H379" i="23"/>
  <c r="H380" i="23"/>
  <c r="H381" i="23"/>
  <c r="H382" i="23"/>
  <c r="H383" i="23"/>
  <c r="H384" i="23"/>
  <c r="H385" i="23"/>
  <c r="H386" i="23"/>
  <c r="H387" i="23"/>
  <c r="H388" i="23"/>
  <c r="H389" i="23"/>
  <c r="H390" i="23"/>
  <c r="H391" i="23"/>
  <c r="H392" i="23"/>
  <c r="H393" i="23"/>
  <c r="H394" i="23"/>
  <c r="H395" i="23"/>
  <c r="H396" i="23"/>
  <c r="H397" i="23"/>
  <c r="H398" i="23"/>
  <c r="H399" i="23"/>
  <c r="H400" i="23"/>
  <c r="H401" i="23"/>
  <c r="H402" i="23"/>
  <c r="H403" i="23"/>
  <c r="H404" i="23"/>
  <c r="H405" i="23"/>
  <c r="H406" i="23"/>
  <c r="H407" i="23"/>
  <c r="H408" i="23"/>
  <c r="H409" i="23"/>
  <c r="H410" i="23"/>
  <c r="H411" i="23"/>
  <c r="H412" i="23"/>
  <c r="H413" i="23"/>
  <c r="H414" i="23"/>
  <c r="H415" i="23"/>
  <c r="H416" i="23"/>
  <c r="H417" i="23"/>
  <c r="H418" i="23"/>
  <c r="H419" i="23"/>
  <c r="H420" i="23"/>
  <c r="H421" i="23"/>
  <c r="H422" i="23"/>
  <c r="H423" i="23"/>
  <c r="H424" i="23"/>
  <c r="H425" i="23"/>
  <c r="H426" i="23"/>
  <c r="H427" i="23"/>
  <c r="H428" i="23"/>
  <c r="H429" i="23"/>
  <c r="H230" i="23"/>
  <c r="I431" i="23"/>
  <c r="I432" i="23"/>
  <c r="I433" i="23"/>
  <c r="I434" i="23"/>
  <c r="I435" i="23"/>
  <c r="I436" i="23"/>
  <c r="I437" i="23"/>
  <c r="I438" i="23"/>
  <c r="I439" i="23"/>
  <c r="I440" i="23"/>
  <c r="I441" i="23"/>
  <c r="I442" i="23"/>
  <c r="I443" i="23"/>
  <c r="I444" i="23"/>
  <c r="I445" i="23"/>
  <c r="I446" i="23"/>
  <c r="I447" i="23"/>
  <c r="I448" i="23"/>
  <c r="I449" i="23"/>
  <c r="I450" i="23"/>
  <c r="I451" i="23"/>
  <c r="I452" i="23"/>
  <c r="I453" i="23"/>
  <c r="I454" i="23"/>
  <c r="I455" i="23"/>
  <c r="I456" i="23"/>
  <c r="I457" i="23"/>
  <c r="I458" i="23"/>
  <c r="I459" i="23"/>
  <c r="I460" i="23"/>
  <c r="I461" i="23"/>
  <c r="I462" i="23"/>
  <c r="I463" i="23"/>
  <c r="I464" i="23"/>
  <c r="I465" i="23"/>
  <c r="I466" i="23"/>
  <c r="I467" i="23"/>
  <c r="I468" i="23"/>
  <c r="I469" i="23"/>
  <c r="I470" i="23"/>
  <c r="I471" i="23"/>
  <c r="I472" i="23"/>
  <c r="I473" i="23"/>
  <c r="I474" i="23"/>
  <c r="I475" i="23"/>
  <c r="I476" i="23"/>
  <c r="I477" i="23"/>
  <c r="I478" i="23"/>
  <c r="I479" i="23"/>
  <c r="I480" i="23"/>
  <c r="I481" i="23"/>
  <c r="I482" i="23"/>
  <c r="I483" i="23"/>
  <c r="I484" i="23"/>
  <c r="I485" i="23"/>
  <c r="I486" i="23"/>
  <c r="I487" i="23"/>
  <c r="I488" i="23"/>
  <c r="I489" i="23"/>
  <c r="I490" i="23"/>
  <c r="I491" i="23"/>
  <c r="I492" i="23"/>
  <c r="I493" i="23"/>
  <c r="I494" i="23"/>
  <c r="I495" i="23"/>
  <c r="I496" i="23"/>
  <c r="I497" i="23"/>
  <c r="I498" i="23"/>
  <c r="I499" i="23"/>
  <c r="I500" i="23"/>
  <c r="I501" i="23"/>
  <c r="I502" i="23"/>
  <c r="I503" i="23"/>
  <c r="I504" i="23"/>
  <c r="I505" i="23"/>
  <c r="I506" i="23"/>
  <c r="I507" i="23"/>
  <c r="I508" i="23"/>
  <c r="I509" i="23"/>
  <c r="I510" i="23"/>
  <c r="I511" i="23"/>
  <c r="I512" i="23"/>
  <c r="I513" i="23"/>
  <c r="I514" i="23"/>
  <c r="I515" i="23"/>
  <c r="I516" i="23"/>
  <c r="I517" i="23"/>
  <c r="I518" i="23"/>
  <c r="I519" i="23"/>
  <c r="I520" i="23"/>
  <c r="I521" i="23"/>
  <c r="I522" i="23"/>
  <c r="I523" i="23"/>
  <c r="I524" i="23"/>
  <c r="I525" i="23"/>
  <c r="I526" i="23"/>
  <c r="I527" i="23"/>
  <c r="I528" i="23"/>
  <c r="I529" i="23"/>
  <c r="I530" i="23"/>
  <c r="I531" i="23"/>
  <c r="I532" i="23"/>
  <c r="I533" i="23"/>
  <c r="I534" i="23"/>
  <c r="I535" i="23"/>
  <c r="I536" i="23"/>
  <c r="I537" i="23"/>
  <c r="I538" i="23"/>
  <c r="I539" i="23"/>
  <c r="I540" i="23"/>
  <c r="I541" i="23"/>
  <c r="I542" i="23"/>
  <c r="I543" i="23"/>
  <c r="I544" i="23"/>
  <c r="I545" i="23"/>
  <c r="I546" i="23"/>
  <c r="I547" i="23"/>
  <c r="I548" i="23"/>
  <c r="I549" i="23"/>
  <c r="I550" i="23"/>
  <c r="I551" i="23"/>
  <c r="I552" i="23"/>
  <c r="I553" i="23"/>
  <c r="I554" i="23"/>
  <c r="I555" i="23"/>
  <c r="I556" i="23"/>
  <c r="I557" i="23"/>
  <c r="I558" i="23"/>
  <c r="I559" i="23"/>
  <c r="I560" i="23"/>
  <c r="I561" i="23"/>
  <c r="I562" i="23"/>
  <c r="I563" i="23"/>
  <c r="I564" i="23"/>
  <c r="I565" i="23"/>
  <c r="I566" i="23"/>
  <c r="I567" i="23"/>
  <c r="I568" i="23"/>
  <c r="I569" i="23"/>
  <c r="I570" i="23"/>
  <c r="I571" i="23"/>
  <c r="I572" i="23"/>
  <c r="I573" i="23"/>
  <c r="I574" i="23"/>
  <c r="I575" i="23"/>
  <c r="I576" i="23"/>
  <c r="I577" i="23"/>
  <c r="I578" i="23"/>
  <c r="I579" i="23"/>
  <c r="I580" i="23"/>
  <c r="I581" i="23"/>
  <c r="I582" i="23"/>
  <c r="I583" i="23"/>
  <c r="I584" i="23"/>
  <c r="I585" i="23"/>
  <c r="I586" i="23"/>
  <c r="I587" i="23"/>
  <c r="I588" i="23"/>
  <c r="I589" i="23"/>
  <c r="I590" i="23"/>
  <c r="I591" i="23"/>
  <c r="I592" i="23"/>
  <c r="I593" i="23"/>
  <c r="I594" i="23"/>
  <c r="I595" i="23"/>
  <c r="I596" i="23"/>
  <c r="I597" i="23"/>
  <c r="I598" i="23"/>
  <c r="I599" i="23"/>
  <c r="I600" i="23"/>
  <c r="I601" i="23"/>
  <c r="I602" i="23"/>
  <c r="I603" i="23"/>
  <c r="I604" i="23"/>
  <c r="I605" i="23"/>
  <c r="I606" i="23"/>
  <c r="I607" i="23"/>
  <c r="I608" i="23"/>
  <c r="I609" i="23"/>
  <c r="I610" i="23"/>
  <c r="I611" i="23"/>
  <c r="I612" i="23"/>
  <c r="I613" i="23"/>
  <c r="I614" i="23"/>
  <c r="I615" i="23"/>
  <c r="I616" i="23"/>
  <c r="I617" i="23"/>
  <c r="I618" i="23"/>
  <c r="I619" i="23"/>
  <c r="I620" i="23"/>
  <c r="I621" i="23"/>
  <c r="I622" i="23"/>
  <c r="I623" i="23"/>
  <c r="I624" i="23"/>
  <c r="I625" i="23"/>
  <c r="I626" i="23"/>
  <c r="I627" i="23"/>
  <c r="I628" i="23"/>
  <c r="I629" i="23"/>
  <c r="I430" i="23"/>
  <c r="I231" i="23"/>
  <c r="I232" i="23"/>
  <c r="I233" i="23"/>
  <c r="I234" i="23"/>
  <c r="I235" i="23"/>
  <c r="I236" i="23"/>
  <c r="I237" i="23"/>
  <c r="I238" i="23"/>
  <c r="I239" i="23"/>
  <c r="I240" i="23"/>
  <c r="I241" i="23"/>
  <c r="I242" i="23"/>
  <c r="I243" i="23"/>
  <c r="I244" i="23"/>
  <c r="I245" i="23"/>
  <c r="I246" i="23"/>
  <c r="I247" i="23"/>
  <c r="I248" i="23"/>
  <c r="I249" i="23"/>
  <c r="I250" i="23"/>
  <c r="I251" i="23"/>
  <c r="I252" i="23"/>
  <c r="I253" i="23"/>
  <c r="I254" i="23"/>
  <c r="I255" i="23"/>
  <c r="I256" i="23"/>
  <c r="I257" i="23"/>
  <c r="I258" i="23"/>
  <c r="I259" i="23"/>
  <c r="I260" i="23"/>
  <c r="I261" i="23"/>
  <c r="I262" i="23"/>
  <c r="I263" i="23"/>
  <c r="I264" i="23"/>
  <c r="I265" i="23"/>
  <c r="I266" i="23"/>
  <c r="I267" i="23"/>
  <c r="I268" i="23"/>
  <c r="I269" i="23"/>
  <c r="I270" i="23"/>
  <c r="I271" i="23"/>
  <c r="I272" i="23"/>
  <c r="I273" i="23"/>
  <c r="I274" i="23"/>
  <c r="I275" i="23"/>
  <c r="I276" i="23"/>
  <c r="I277" i="23"/>
  <c r="I278" i="23"/>
  <c r="I279" i="23"/>
  <c r="I280" i="23"/>
  <c r="I281" i="23"/>
  <c r="I282" i="23"/>
  <c r="I283" i="23"/>
  <c r="I284" i="23"/>
  <c r="I285" i="23"/>
  <c r="I286" i="23"/>
  <c r="I287" i="23"/>
  <c r="I288" i="23"/>
  <c r="I289" i="23"/>
  <c r="I290" i="23"/>
  <c r="I291" i="23"/>
  <c r="I292" i="23"/>
  <c r="I293" i="23"/>
  <c r="I294" i="23"/>
  <c r="I295" i="23"/>
  <c r="I296" i="23"/>
  <c r="I297" i="23"/>
  <c r="I298" i="23"/>
  <c r="I299" i="23"/>
  <c r="I300" i="23"/>
  <c r="I301" i="23"/>
  <c r="I302" i="23"/>
  <c r="I303" i="23"/>
  <c r="I304" i="23"/>
  <c r="I305" i="23"/>
  <c r="I306" i="23"/>
  <c r="I307" i="23"/>
  <c r="I308" i="23"/>
  <c r="I309" i="23"/>
  <c r="I310" i="23"/>
  <c r="I311" i="23"/>
  <c r="I312" i="23"/>
  <c r="I313" i="23"/>
  <c r="I314" i="23"/>
  <c r="I315" i="23"/>
  <c r="I316" i="23"/>
  <c r="I317" i="23"/>
  <c r="I318" i="23"/>
  <c r="I319" i="23"/>
  <c r="I320" i="23"/>
  <c r="I321" i="23"/>
  <c r="I322" i="23"/>
  <c r="I323" i="23"/>
  <c r="I324" i="23"/>
  <c r="I325" i="23"/>
  <c r="I326" i="23"/>
  <c r="I327" i="23"/>
  <c r="I328" i="23"/>
  <c r="I329" i="23"/>
  <c r="I330" i="23"/>
  <c r="I331" i="23"/>
  <c r="I332" i="23"/>
  <c r="I333" i="23"/>
  <c r="I334" i="23"/>
  <c r="I335" i="23"/>
  <c r="I336" i="23"/>
  <c r="I337" i="23"/>
  <c r="I338" i="23"/>
  <c r="I339" i="23"/>
  <c r="I340" i="23"/>
  <c r="I341" i="23"/>
  <c r="I342" i="23"/>
  <c r="I343" i="23"/>
  <c r="I344" i="23"/>
  <c r="I345" i="23"/>
  <c r="I346" i="23"/>
  <c r="I347" i="23"/>
  <c r="I348" i="23"/>
  <c r="I349" i="23"/>
  <c r="I350" i="23"/>
  <c r="I351" i="23"/>
  <c r="I352" i="23"/>
  <c r="I353" i="23"/>
  <c r="I354" i="23"/>
  <c r="I355" i="23"/>
  <c r="I356" i="23"/>
  <c r="I357" i="23"/>
  <c r="I358" i="23"/>
  <c r="I359" i="23"/>
  <c r="I360" i="23"/>
  <c r="I361" i="23"/>
  <c r="I362" i="23"/>
  <c r="I363" i="23"/>
  <c r="I364" i="23"/>
  <c r="I365" i="23"/>
  <c r="I366" i="23"/>
  <c r="I367" i="23"/>
  <c r="I368" i="23"/>
  <c r="I369" i="23"/>
  <c r="I370" i="23"/>
  <c r="I371" i="23"/>
  <c r="I372" i="23"/>
  <c r="I373" i="23"/>
  <c r="I374" i="23"/>
  <c r="I375" i="23"/>
  <c r="I376" i="23"/>
  <c r="I377" i="23"/>
  <c r="I378" i="23"/>
  <c r="I379" i="23"/>
  <c r="I380" i="23"/>
  <c r="I381" i="23"/>
  <c r="I382" i="23"/>
  <c r="I383" i="23"/>
  <c r="I384" i="23"/>
  <c r="I385" i="23"/>
  <c r="I386" i="23"/>
  <c r="I387" i="23"/>
  <c r="I388" i="23"/>
  <c r="I389" i="23"/>
  <c r="I390" i="23"/>
  <c r="I391" i="23"/>
  <c r="I392" i="23"/>
  <c r="I393" i="23"/>
  <c r="I394" i="23"/>
  <c r="I395" i="23"/>
  <c r="I396" i="23"/>
  <c r="I397" i="23"/>
  <c r="I398" i="23"/>
  <c r="I399" i="23"/>
  <c r="I400" i="23"/>
  <c r="I401" i="23"/>
  <c r="I402" i="23"/>
  <c r="I403" i="23"/>
  <c r="I404" i="23"/>
  <c r="I405" i="23"/>
  <c r="I406" i="23"/>
  <c r="I407" i="23"/>
  <c r="I408" i="23"/>
  <c r="I409" i="23"/>
  <c r="I410" i="23"/>
  <c r="I411" i="23"/>
  <c r="I412" i="23"/>
  <c r="I413" i="23"/>
  <c r="I414" i="23"/>
  <c r="I415" i="23"/>
  <c r="I416" i="23"/>
  <c r="I417" i="23"/>
  <c r="I418" i="23"/>
  <c r="I419" i="23"/>
  <c r="I420" i="23"/>
  <c r="I421" i="23"/>
  <c r="I422" i="23"/>
  <c r="I423" i="23"/>
  <c r="I424" i="23"/>
  <c r="I425" i="23"/>
  <c r="I426" i="23"/>
  <c r="I427" i="23"/>
  <c r="I428" i="23"/>
  <c r="I429" i="23"/>
  <c r="I230" i="23"/>
  <c r="H223" i="23"/>
  <c r="G18" i="26" l="1"/>
  <c r="H18" i="26" s="1"/>
  <c r="I18" i="26" s="1"/>
  <c r="J17" i="26"/>
  <c r="F20" i="26"/>
  <c r="F19" i="25"/>
  <c r="G17" i="25"/>
  <c r="H17" i="25" s="1"/>
  <c r="I17" i="25" s="1"/>
  <c r="J16" i="25"/>
  <c r="H15" i="24"/>
  <c r="I15" i="24" s="1"/>
  <c r="G16" i="24" s="1"/>
  <c r="F18" i="24"/>
  <c r="R230" i="23"/>
  <c r="R231" i="23" s="1"/>
  <c r="R232" i="23" s="1"/>
  <c r="R233" i="23" s="1"/>
  <c r="R234" i="23" s="1"/>
  <c r="R235" i="23" s="1"/>
  <c r="R236" i="23" s="1"/>
  <c r="R237" i="23" s="1"/>
  <c r="R238" i="23" s="1"/>
  <c r="R239" i="23" s="1"/>
  <c r="R240" i="23" s="1"/>
  <c r="R241" i="23" s="1"/>
  <c r="R242" i="23" s="1"/>
  <c r="R243" i="23" s="1"/>
  <c r="R244" i="23" s="1"/>
  <c r="R245" i="23" s="1"/>
  <c r="R246" i="23" s="1"/>
  <c r="R247" i="23" s="1"/>
  <c r="R248" i="23" s="1"/>
  <c r="R249" i="23" s="1"/>
  <c r="R250" i="23" s="1"/>
  <c r="R251" i="23" s="1"/>
  <c r="R252" i="23" s="1"/>
  <c r="R253" i="23" s="1"/>
  <c r="R254" i="23" s="1"/>
  <c r="R255" i="23" s="1"/>
  <c r="R256" i="23" s="1"/>
  <c r="R257" i="23" s="1"/>
  <c r="R258" i="23" s="1"/>
  <c r="R259" i="23" s="1"/>
  <c r="R260" i="23" s="1"/>
  <c r="R261" i="23" s="1"/>
  <c r="R262" i="23" s="1"/>
  <c r="R263" i="23" s="1"/>
  <c r="R264" i="23" s="1"/>
  <c r="R265" i="23" s="1"/>
  <c r="R266" i="23" s="1"/>
  <c r="R267" i="23" s="1"/>
  <c r="R268" i="23" s="1"/>
  <c r="R269" i="23" s="1"/>
  <c r="R270" i="23" s="1"/>
  <c r="R271" i="23" s="1"/>
  <c r="R272" i="23" s="1"/>
  <c r="R273" i="23" s="1"/>
  <c r="R274" i="23" s="1"/>
  <c r="R275" i="23" s="1"/>
  <c r="R276" i="23" s="1"/>
  <c r="R277" i="23" s="1"/>
  <c r="R278" i="23" s="1"/>
  <c r="R279" i="23" s="1"/>
  <c r="R280" i="23" s="1"/>
  <c r="R281" i="23" s="1"/>
  <c r="R282" i="23" s="1"/>
  <c r="R283" i="23" s="1"/>
  <c r="R284" i="23" s="1"/>
  <c r="R285" i="23" s="1"/>
  <c r="R286" i="23" s="1"/>
  <c r="R287" i="23" s="1"/>
  <c r="R288" i="23" s="1"/>
  <c r="R289" i="23" s="1"/>
  <c r="R290" i="23" s="1"/>
  <c r="R291" i="23" s="1"/>
  <c r="R292" i="23" s="1"/>
  <c r="R293" i="23" s="1"/>
  <c r="R294" i="23" s="1"/>
  <c r="R295" i="23" s="1"/>
  <c r="R296" i="23" s="1"/>
  <c r="R297" i="23" s="1"/>
  <c r="R298" i="23" s="1"/>
  <c r="R299" i="23" s="1"/>
  <c r="R300" i="23" s="1"/>
  <c r="R301" i="23" s="1"/>
  <c r="R302" i="23" s="1"/>
  <c r="R303" i="23" s="1"/>
  <c r="R304" i="23" s="1"/>
  <c r="R305" i="23" s="1"/>
  <c r="R306" i="23" s="1"/>
  <c r="R307" i="23" s="1"/>
  <c r="R308" i="23" s="1"/>
  <c r="R309" i="23" s="1"/>
  <c r="R310" i="23" s="1"/>
  <c r="R311" i="23" s="1"/>
  <c r="R312" i="23" s="1"/>
  <c r="R313" i="23" s="1"/>
  <c r="R314" i="23" s="1"/>
  <c r="R315" i="23" s="1"/>
  <c r="R316" i="23" s="1"/>
  <c r="R317" i="23" s="1"/>
  <c r="R318" i="23" s="1"/>
  <c r="R319" i="23" s="1"/>
  <c r="R320" i="23" s="1"/>
  <c r="R321" i="23" s="1"/>
  <c r="R322" i="23" s="1"/>
  <c r="R323" i="23" s="1"/>
  <c r="R324" i="23" s="1"/>
  <c r="R325" i="23" s="1"/>
  <c r="R326" i="23" s="1"/>
  <c r="R327" i="23" s="1"/>
  <c r="R328" i="23" s="1"/>
  <c r="R329" i="23" s="1"/>
  <c r="R330" i="23" s="1"/>
  <c r="R331" i="23" s="1"/>
  <c r="R332" i="23" s="1"/>
  <c r="R333" i="23" s="1"/>
  <c r="R334" i="23" s="1"/>
  <c r="R335" i="23" s="1"/>
  <c r="R336" i="23" s="1"/>
  <c r="R337" i="23" s="1"/>
  <c r="R338" i="23" s="1"/>
  <c r="R339" i="23" s="1"/>
  <c r="R340" i="23" s="1"/>
  <c r="R341" i="23" s="1"/>
  <c r="R342" i="23" s="1"/>
  <c r="R343" i="23" s="1"/>
  <c r="R344" i="23" s="1"/>
  <c r="R345" i="23" s="1"/>
  <c r="R346" i="23" s="1"/>
  <c r="R347" i="23" s="1"/>
  <c r="R348" i="23" s="1"/>
  <c r="R349" i="23" s="1"/>
  <c r="R350" i="23" s="1"/>
  <c r="R351" i="23" s="1"/>
  <c r="R352" i="23" s="1"/>
  <c r="R353" i="23" s="1"/>
  <c r="R354" i="23" s="1"/>
  <c r="R355" i="23" s="1"/>
  <c r="R356" i="23" s="1"/>
  <c r="R357" i="23" s="1"/>
  <c r="R358" i="23" s="1"/>
  <c r="R359" i="23" s="1"/>
  <c r="R360" i="23" s="1"/>
  <c r="R361" i="23" s="1"/>
  <c r="R362" i="23" s="1"/>
  <c r="R363" i="23" s="1"/>
  <c r="R364" i="23" s="1"/>
  <c r="R365" i="23" s="1"/>
  <c r="R366" i="23" s="1"/>
  <c r="R367" i="23" s="1"/>
  <c r="R368" i="23" s="1"/>
  <c r="R369" i="23" s="1"/>
  <c r="R370" i="23" s="1"/>
  <c r="R371" i="23" s="1"/>
  <c r="R372" i="23" s="1"/>
  <c r="R373" i="23" s="1"/>
  <c r="R374" i="23" s="1"/>
  <c r="R375" i="23" s="1"/>
  <c r="R376" i="23" s="1"/>
  <c r="R377" i="23" s="1"/>
  <c r="R378" i="23" s="1"/>
  <c r="R379" i="23" s="1"/>
  <c r="R380" i="23" s="1"/>
  <c r="R381" i="23" s="1"/>
  <c r="R382" i="23" s="1"/>
  <c r="R383" i="23" s="1"/>
  <c r="R384" i="23" s="1"/>
  <c r="R385" i="23" s="1"/>
  <c r="R386" i="23" s="1"/>
  <c r="R387" i="23" s="1"/>
  <c r="R388" i="23" s="1"/>
  <c r="R389" i="23" s="1"/>
  <c r="R390" i="23" s="1"/>
  <c r="R391" i="23" s="1"/>
  <c r="R392" i="23" s="1"/>
  <c r="R393" i="23" s="1"/>
  <c r="R394" i="23" s="1"/>
  <c r="R395" i="23" s="1"/>
  <c r="R396" i="23" s="1"/>
  <c r="R397" i="23" s="1"/>
  <c r="R398" i="23" s="1"/>
  <c r="R399" i="23" s="1"/>
  <c r="R400" i="23" s="1"/>
  <c r="R401" i="23" s="1"/>
  <c r="R402" i="23" s="1"/>
  <c r="R403" i="23" s="1"/>
  <c r="R404" i="23" s="1"/>
  <c r="R405" i="23" s="1"/>
  <c r="R406" i="23" s="1"/>
  <c r="R407" i="23" s="1"/>
  <c r="R408" i="23" s="1"/>
  <c r="R409" i="23" s="1"/>
  <c r="R410" i="23" s="1"/>
  <c r="R411" i="23" s="1"/>
  <c r="R412" i="23" s="1"/>
  <c r="R413" i="23" s="1"/>
  <c r="R414" i="23" s="1"/>
  <c r="R415" i="23" s="1"/>
  <c r="R416" i="23" s="1"/>
  <c r="R417" i="23" s="1"/>
  <c r="R418" i="23" s="1"/>
  <c r="R419" i="23" s="1"/>
  <c r="R420" i="23" s="1"/>
  <c r="R421" i="23" s="1"/>
  <c r="R422" i="23" s="1"/>
  <c r="R423" i="23" s="1"/>
  <c r="R424" i="23" s="1"/>
  <c r="R425" i="23" s="1"/>
  <c r="R426" i="23" s="1"/>
  <c r="R427" i="23" s="1"/>
  <c r="R428" i="23" s="1"/>
  <c r="R429" i="23" s="1"/>
  <c r="R430" i="23" s="1"/>
  <c r="R431" i="23" s="1"/>
  <c r="R432" i="23" s="1"/>
  <c r="R433" i="23" s="1"/>
  <c r="R434" i="23" s="1"/>
  <c r="R435" i="23" s="1"/>
  <c r="R436" i="23" s="1"/>
  <c r="R437" i="23" s="1"/>
  <c r="R438" i="23" s="1"/>
  <c r="R439" i="23" s="1"/>
  <c r="R440" i="23" s="1"/>
  <c r="R441" i="23" s="1"/>
  <c r="R442" i="23" s="1"/>
  <c r="R443" i="23" s="1"/>
  <c r="R444" i="23" s="1"/>
  <c r="R445" i="23" s="1"/>
  <c r="R446" i="23" s="1"/>
  <c r="R447" i="23" s="1"/>
  <c r="R448" i="23" s="1"/>
  <c r="R449" i="23" s="1"/>
  <c r="R450" i="23" s="1"/>
  <c r="R451" i="23" s="1"/>
  <c r="R452" i="23" s="1"/>
  <c r="R453" i="23" s="1"/>
  <c r="R454" i="23" s="1"/>
  <c r="R455" i="23" s="1"/>
  <c r="R456" i="23" s="1"/>
  <c r="R457" i="23" s="1"/>
  <c r="R458" i="23" s="1"/>
  <c r="R459" i="23" s="1"/>
  <c r="R460" i="23" s="1"/>
  <c r="R461" i="23" s="1"/>
  <c r="R462" i="23" s="1"/>
  <c r="R463" i="23" s="1"/>
  <c r="R464" i="23" s="1"/>
  <c r="R465" i="23" s="1"/>
  <c r="R466" i="23" s="1"/>
  <c r="R467" i="23" s="1"/>
  <c r="R468" i="23" s="1"/>
  <c r="R469" i="23" s="1"/>
  <c r="R470" i="23" s="1"/>
  <c r="R471" i="23" s="1"/>
  <c r="R472" i="23" s="1"/>
  <c r="R473" i="23" s="1"/>
  <c r="R474" i="23" s="1"/>
  <c r="R475" i="23" s="1"/>
  <c r="R476" i="23" s="1"/>
  <c r="R477" i="23" s="1"/>
  <c r="R478" i="23" s="1"/>
  <c r="R479" i="23" s="1"/>
  <c r="R480" i="23" s="1"/>
  <c r="R481" i="23" s="1"/>
  <c r="R482" i="23" s="1"/>
  <c r="R483" i="23" s="1"/>
  <c r="R484" i="23" s="1"/>
  <c r="R485" i="23" s="1"/>
  <c r="R486" i="23" s="1"/>
  <c r="R487" i="23" s="1"/>
  <c r="R488" i="23" s="1"/>
  <c r="R489" i="23" s="1"/>
  <c r="R490" i="23" s="1"/>
  <c r="R491" i="23" s="1"/>
  <c r="R492" i="23" s="1"/>
  <c r="R493" i="23" s="1"/>
  <c r="R494" i="23" s="1"/>
  <c r="R495" i="23" s="1"/>
  <c r="R496" i="23" s="1"/>
  <c r="R497" i="23" s="1"/>
  <c r="R498" i="23" s="1"/>
  <c r="R499" i="23" s="1"/>
  <c r="R500" i="23" s="1"/>
  <c r="R501" i="23" s="1"/>
  <c r="R502" i="23" s="1"/>
  <c r="R503" i="23" s="1"/>
  <c r="R504" i="23" s="1"/>
  <c r="R505" i="23" s="1"/>
  <c r="R506" i="23" s="1"/>
  <c r="R507" i="23" s="1"/>
  <c r="R508" i="23" s="1"/>
  <c r="R509" i="23" s="1"/>
  <c r="R510" i="23" s="1"/>
  <c r="R511" i="23" s="1"/>
  <c r="R512" i="23" s="1"/>
  <c r="R513" i="23" s="1"/>
  <c r="R514" i="23" s="1"/>
  <c r="R515" i="23" s="1"/>
  <c r="R516" i="23" s="1"/>
  <c r="R517" i="23" s="1"/>
  <c r="R518" i="23" s="1"/>
  <c r="R519" i="23" s="1"/>
  <c r="R520" i="23" s="1"/>
  <c r="R521" i="23" s="1"/>
  <c r="R522" i="23" s="1"/>
  <c r="R523" i="23" s="1"/>
  <c r="R524" i="23" s="1"/>
  <c r="R525" i="23" s="1"/>
  <c r="R526" i="23" s="1"/>
  <c r="R527" i="23" s="1"/>
  <c r="R528" i="23" s="1"/>
  <c r="R529" i="23" s="1"/>
  <c r="R530" i="23" s="1"/>
  <c r="R531" i="23" s="1"/>
  <c r="R532" i="23" s="1"/>
  <c r="R533" i="23" s="1"/>
  <c r="R534" i="23" s="1"/>
  <c r="R535" i="23" s="1"/>
  <c r="R536" i="23" s="1"/>
  <c r="R537" i="23" s="1"/>
  <c r="R538" i="23" s="1"/>
  <c r="R539" i="23" s="1"/>
  <c r="R540" i="23" s="1"/>
  <c r="R541" i="23" s="1"/>
  <c r="R542" i="23" s="1"/>
  <c r="R543" i="23" s="1"/>
  <c r="R544" i="23" s="1"/>
  <c r="R545" i="23" s="1"/>
  <c r="R546" i="23" s="1"/>
  <c r="R547" i="23" s="1"/>
  <c r="R548" i="23" s="1"/>
  <c r="R549" i="23" s="1"/>
  <c r="R550" i="23" s="1"/>
  <c r="R551" i="23" s="1"/>
  <c r="R552" i="23" s="1"/>
  <c r="R553" i="23" s="1"/>
  <c r="R554" i="23" s="1"/>
  <c r="R555" i="23" s="1"/>
  <c r="R556" i="23" s="1"/>
  <c r="R557" i="23" s="1"/>
  <c r="R558" i="23" s="1"/>
  <c r="R559" i="23" s="1"/>
  <c r="R560" i="23" s="1"/>
  <c r="R561" i="23" s="1"/>
  <c r="R562" i="23" s="1"/>
  <c r="R563" i="23" s="1"/>
  <c r="R564" i="23" s="1"/>
  <c r="R565" i="23" s="1"/>
  <c r="R566" i="23" s="1"/>
  <c r="R567" i="23" s="1"/>
  <c r="R568" i="23" s="1"/>
  <c r="R569" i="23" s="1"/>
  <c r="R570" i="23" s="1"/>
  <c r="R571" i="23" s="1"/>
  <c r="R572" i="23" s="1"/>
  <c r="R573" i="23" s="1"/>
  <c r="R574" i="23" s="1"/>
  <c r="R575" i="23" s="1"/>
  <c r="R576" i="23" s="1"/>
  <c r="R577" i="23" s="1"/>
  <c r="R578" i="23" s="1"/>
  <c r="R579" i="23" s="1"/>
  <c r="R580" i="23" s="1"/>
  <c r="R581" i="23" s="1"/>
  <c r="R582" i="23" s="1"/>
  <c r="R583" i="23" s="1"/>
  <c r="R584" i="23" s="1"/>
  <c r="R585" i="23" s="1"/>
  <c r="R586" i="23" s="1"/>
  <c r="R587" i="23" s="1"/>
  <c r="R588" i="23" s="1"/>
  <c r="R589" i="23" s="1"/>
  <c r="R590" i="23" s="1"/>
  <c r="R591" i="23" s="1"/>
  <c r="R592" i="23" s="1"/>
  <c r="R593" i="23" s="1"/>
  <c r="R594" i="23" s="1"/>
  <c r="R595" i="23" s="1"/>
  <c r="R596" i="23" s="1"/>
  <c r="R597" i="23" s="1"/>
  <c r="R598" i="23" s="1"/>
  <c r="R599" i="23" s="1"/>
  <c r="R600" i="23" s="1"/>
  <c r="R601" i="23" s="1"/>
  <c r="R602" i="23" s="1"/>
  <c r="R603" i="23" s="1"/>
  <c r="R604" i="23" s="1"/>
  <c r="R605" i="23" s="1"/>
  <c r="R606" i="23" s="1"/>
  <c r="R607" i="23" s="1"/>
  <c r="R608" i="23" s="1"/>
  <c r="R609" i="23" s="1"/>
  <c r="R610" i="23" s="1"/>
  <c r="R611" i="23" s="1"/>
  <c r="R612" i="23" s="1"/>
  <c r="R613" i="23" s="1"/>
  <c r="R614" i="23" s="1"/>
  <c r="R615" i="23" s="1"/>
  <c r="R616" i="23" s="1"/>
  <c r="R617" i="23" s="1"/>
  <c r="R618" i="23" s="1"/>
  <c r="R619" i="23" s="1"/>
  <c r="R620" i="23" s="1"/>
  <c r="R621" i="23" s="1"/>
  <c r="R622" i="23" s="1"/>
  <c r="R623" i="23" s="1"/>
  <c r="R624" i="23" s="1"/>
  <c r="R625" i="23" s="1"/>
  <c r="R626" i="23" s="1"/>
  <c r="R627" i="23" s="1"/>
  <c r="R628" i="23" s="1"/>
  <c r="R629" i="23" s="1"/>
  <c r="G19" i="26" l="1"/>
  <c r="H19" i="26" s="1"/>
  <c r="I19" i="26" s="1"/>
  <c r="J18" i="26"/>
  <c r="F21" i="26"/>
  <c r="F20" i="25"/>
  <c r="J17" i="25"/>
  <c r="G18" i="25"/>
  <c r="H18" i="25" s="1"/>
  <c r="I18" i="25" s="1"/>
  <c r="J15" i="24"/>
  <c r="H16" i="24"/>
  <c r="I16" i="24" s="1"/>
  <c r="G17" i="24" s="1"/>
  <c r="H17" i="24" s="1"/>
  <c r="I17" i="24" s="1"/>
  <c r="F19" i="24"/>
  <c r="B17" i="23"/>
  <c r="D17" i="23" s="1"/>
  <c r="C17" i="23"/>
  <c r="E17" i="23" s="1"/>
  <c r="B18" i="23"/>
  <c r="D18" i="23" s="1"/>
  <c r="C18" i="23"/>
  <c r="E18" i="23" s="1"/>
  <c r="B19" i="23"/>
  <c r="D19" i="23" s="1"/>
  <c r="C19" i="23"/>
  <c r="E19" i="23" s="1"/>
  <c r="B20" i="23"/>
  <c r="D20" i="23" s="1"/>
  <c r="C20" i="23"/>
  <c r="E20" i="23" s="1"/>
  <c r="B21" i="23"/>
  <c r="D21" i="23" s="1"/>
  <c r="C21" i="23"/>
  <c r="E21" i="23" s="1"/>
  <c r="B22" i="23"/>
  <c r="D22" i="23" s="1"/>
  <c r="C22" i="23"/>
  <c r="E22" i="23" s="1"/>
  <c r="B23" i="23"/>
  <c r="D23" i="23" s="1"/>
  <c r="C23" i="23"/>
  <c r="E23" i="23" s="1"/>
  <c r="B24" i="23"/>
  <c r="D24" i="23" s="1"/>
  <c r="C24" i="23"/>
  <c r="E24" i="23" s="1"/>
  <c r="B25" i="23"/>
  <c r="D25" i="23" s="1"/>
  <c r="C25" i="23"/>
  <c r="E25" i="23" s="1"/>
  <c r="B26" i="23"/>
  <c r="D26" i="23" s="1"/>
  <c r="C26" i="23"/>
  <c r="E26" i="23" s="1"/>
  <c r="B27" i="23"/>
  <c r="D27" i="23" s="1"/>
  <c r="C27" i="23"/>
  <c r="E27" i="23" s="1"/>
  <c r="B28" i="23"/>
  <c r="D28" i="23" s="1"/>
  <c r="C28" i="23"/>
  <c r="E28" i="23" s="1"/>
  <c r="B29" i="23"/>
  <c r="D29" i="23" s="1"/>
  <c r="C29" i="23"/>
  <c r="E29" i="23" s="1"/>
  <c r="B30" i="23"/>
  <c r="D30" i="23" s="1"/>
  <c r="C30" i="23"/>
  <c r="E30" i="23" s="1"/>
  <c r="B31" i="23"/>
  <c r="D31" i="23" s="1"/>
  <c r="C31" i="23"/>
  <c r="E31" i="23" s="1"/>
  <c r="B32" i="23"/>
  <c r="D32" i="23" s="1"/>
  <c r="C32" i="23"/>
  <c r="E32" i="23" s="1"/>
  <c r="B33" i="23"/>
  <c r="D33" i="23" s="1"/>
  <c r="C33" i="23"/>
  <c r="E33" i="23" s="1"/>
  <c r="B34" i="23"/>
  <c r="D34" i="23" s="1"/>
  <c r="C34" i="23"/>
  <c r="E34" i="23" s="1"/>
  <c r="B35" i="23"/>
  <c r="D35" i="23" s="1"/>
  <c r="C35" i="23"/>
  <c r="E35" i="23" s="1"/>
  <c r="B36" i="23"/>
  <c r="D36" i="23" s="1"/>
  <c r="C36" i="23"/>
  <c r="E36" i="23" s="1"/>
  <c r="B37" i="23"/>
  <c r="D37" i="23" s="1"/>
  <c r="C37" i="23"/>
  <c r="E37" i="23" s="1"/>
  <c r="B38" i="23"/>
  <c r="D38" i="23" s="1"/>
  <c r="C38" i="23"/>
  <c r="E38" i="23" s="1"/>
  <c r="B39" i="23"/>
  <c r="D39" i="23" s="1"/>
  <c r="C39" i="23"/>
  <c r="E39" i="23" s="1"/>
  <c r="B40" i="23"/>
  <c r="D40" i="23" s="1"/>
  <c r="C40" i="23"/>
  <c r="E40" i="23" s="1"/>
  <c r="B41" i="23"/>
  <c r="D41" i="23" s="1"/>
  <c r="C41" i="23"/>
  <c r="E41" i="23" s="1"/>
  <c r="B42" i="23"/>
  <c r="D42" i="23" s="1"/>
  <c r="C42" i="23"/>
  <c r="E42" i="23" s="1"/>
  <c r="B43" i="23"/>
  <c r="D43" i="23" s="1"/>
  <c r="C43" i="23"/>
  <c r="E43" i="23" s="1"/>
  <c r="B44" i="23"/>
  <c r="D44" i="23" s="1"/>
  <c r="C44" i="23"/>
  <c r="E44" i="23" s="1"/>
  <c r="B45" i="23"/>
  <c r="D45" i="23" s="1"/>
  <c r="C45" i="23"/>
  <c r="E45" i="23" s="1"/>
  <c r="B46" i="23"/>
  <c r="D46" i="23" s="1"/>
  <c r="C46" i="23"/>
  <c r="E46" i="23" s="1"/>
  <c r="B47" i="23"/>
  <c r="D47" i="23" s="1"/>
  <c r="C47" i="23"/>
  <c r="E47" i="23" s="1"/>
  <c r="B48" i="23"/>
  <c r="D48" i="23" s="1"/>
  <c r="C48" i="23"/>
  <c r="E48" i="23" s="1"/>
  <c r="B49" i="23"/>
  <c r="D49" i="23" s="1"/>
  <c r="C49" i="23"/>
  <c r="E49" i="23" s="1"/>
  <c r="B50" i="23"/>
  <c r="D50" i="23" s="1"/>
  <c r="C50" i="23"/>
  <c r="E50" i="23" s="1"/>
  <c r="B51" i="23"/>
  <c r="D51" i="23" s="1"/>
  <c r="C51" i="23"/>
  <c r="E51" i="23" s="1"/>
  <c r="B52" i="23"/>
  <c r="D52" i="23" s="1"/>
  <c r="C52" i="23"/>
  <c r="E52" i="23" s="1"/>
  <c r="B53" i="23"/>
  <c r="D53" i="23" s="1"/>
  <c r="C53" i="23"/>
  <c r="E53" i="23" s="1"/>
  <c r="B54" i="23"/>
  <c r="D54" i="23" s="1"/>
  <c r="C54" i="23"/>
  <c r="E54" i="23" s="1"/>
  <c r="B55" i="23"/>
  <c r="D55" i="23" s="1"/>
  <c r="C55" i="23"/>
  <c r="E55" i="23" s="1"/>
  <c r="B56" i="23"/>
  <c r="D56" i="23" s="1"/>
  <c r="C56" i="23"/>
  <c r="E56" i="23" s="1"/>
  <c r="B57" i="23"/>
  <c r="D57" i="23" s="1"/>
  <c r="C57" i="23"/>
  <c r="E57" i="23" s="1"/>
  <c r="B58" i="23"/>
  <c r="D58" i="23" s="1"/>
  <c r="C58" i="23"/>
  <c r="E58" i="23" s="1"/>
  <c r="B59" i="23"/>
  <c r="D59" i="23" s="1"/>
  <c r="C59" i="23"/>
  <c r="E59" i="23" s="1"/>
  <c r="B60" i="23"/>
  <c r="D60" i="23" s="1"/>
  <c r="C60" i="23"/>
  <c r="E60" i="23" s="1"/>
  <c r="B61" i="23"/>
  <c r="D61" i="23" s="1"/>
  <c r="C61" i="23"/>
  <c r="E61" i="23" s="1"/>
  <c r="B62" i="23"/>
  <c r="D62" i="23" s="1"/>
  <c r="C62" i="23"/>
  <c r="E62" i="23" s="1"/>
  <c r="B63" i="23"/>
  <c r="D63" i="23" s="1"/>
  <c r="C63" i="23"/>
  <c r="E63" i="23" s="1"/>
  <c r="B64" i="23"/>
  <c r="D64" i="23" s="1"/>
  <c r="C64" i="23"/>
  <c r="E64" i="23" s="1"/>
  <c r="B65" i="23"/>
  <c r="D65" i="23" s="1"/>
  <c r="C65" i="23"/>
  <c r="E65" i="23" s="1"/>
  <c r="B66" i="23"/>
  <c r="D66" i="23" s="1"/>
  <c r="C66" i="23"/>
  <c r="E66" i="23" s="1"/>
  <c r="B67" i="23"/>
  <c r="D67" i="23" s="1"/>
  <c r="C67" i="23"/>
  <c r="E67" i="23" s="1"/>
  <c r="B68" i="23"/>
  <c r="D68" i="23" s="1"/>
  <c r="C68" i="23"/>
  <c r="E68" i="23" s="1"/>
  <c r="B69" i="23"/>
  <c r="D69" i="23" s="1"/>
  <c r="C69" i="23"/>
  <c r="E69" i="23" s="1"/>
  <c r="B70" i="23"/>
  <c r="D70" i="23" s="1"/>
  <c r="C70" i="23"/>
  <c r="E70" i="23" s="1"/>
  <c r="B71" i="23"/>
  <c r="D71" i="23" s="1"/>
  <c r="C71" i="23"/>
  <c r="E71" i="23" s="1"/>
  <c r="B72" i="23"/>
  <c r="D72" i="23" s="1"/>
  <c r="C72" i="23"/>
  <c r="E72" i="23" s="1"/>
  <c r="B73" i="23"/>
  <c r="D73" i="23" s="1"/>
  <c r="C73" i="23"/>
  <c r="E73" i="23" s="1"/>
  <c r="B74" i="23"/>
  <c r="D74" i="23" s="1"/>
  <c r="C74" i="23"/>
  <c r="E74" i="23" s="1"/>
  <c r="B75" i="23"/>
  <c r="D75" i="23" s="1"/>
  <c r="C75" i="23"/>
  <c r="E75" i="23" s="1"/>
  <c r="B76" i="23"/>
  <c r="D76" i="23" s="1"/>
  <c r="C76" i="23"/>
  <c r="E76" i="23" s="1"/>
  <c r="B77" i="23"/>
  <c r="D77" i="23" s="1"/>
  <c r="C77" i="23"/>
  <c r="E77" i="23" s="1"/>
  <c r="B78" i="23"/>
  <c r="D78" i="23" s="1"/>
  <c r="C78" i="23"/>
  <c r="E78" i="23" s="1"/>
  <c r="B79" i="23"/>
  <c r="D79" i="23" s="1"/>
  <c r="C79" i="23"/>
  <c r="E79" i="23" s="1"/>
  <c r="B80" i="23"/>
  <c r="D80" i="23" s="1"/>
  <c r="C80" i="23"/>
  <c r="E80" i="23" s="1"/>
  <c r="B81" i="23"/>
  <c r="D81" i="23" s="1"/>
  <c r="C81" i="23"/>
  <c r="E81" i="23" s="1"/>
  <c r="B82" i="23"/>
  <c r="D82" i="23" s="1"/>
  <c r="C82" i="23"/>
  <c r="E82" i="23" s="1"/>
  <c r="B83" i="23"/>
  <c r="D83" i="23" s="1"/>
  <c r="C83" i="23"/>
  <c r="E83" i="23" s="1"/>
  <c r="B84" i="23"/>
  <c r="D84" i="23" s="1"/>
  <c r="C84" i="23"/>
  <c r="E84" i="23" s="1"/>
  <c r="B85" i="23"/>
  <c r="D85" i="23" s="1"/>
  <c r="C85" i="23"/>
  <c r="E85" i="23" s="1"/>
  <c r="B86" i="23"/>
  <c r="D86" i="23" s="1"/>
  <c r="C86" i="23"/>
  <c r="E86" i="23" s="1"/>
  <c r="B87" i="23"/>
  <c r="D87" i="23" s="1"/>
  <c r="C87" i="23"/>
  <c r="E87" i="23" s="1"/>
  <c r="B88" i="23"/>
  <c r="D88" i="23" s="1"/>
  <c r="C88" i="23"/>
  <c r="E88" i="23" s="1"/>
  <c r="B89" i="23"/>
  <c r="D89" i="23" s="1"/>
  <c r="C89" i="23"/>
  <c r="E89" i="23" s="1"/>
  <c r="B90" i="23"/>
  <c r="D90" i="23" s="1"/>
  <c r="C90" i="23"/>
  <c r="E90" i="23" s="1"/>
  <c r="B91" i="23"/>
  <c r="D91" i="23" s="1"/>
  <c r="C91" i="23"/>
  <c r="E91" i="23" s="1"/>
  <c r="B92" i="23"/>
  <c r="D92" i="23" s="1"/>
  <c r="C92" i="23"/>
  <c r="E92" i="23" s="1"/>
  <c r="B93" i="23"/>
  <c r="D93" i="23" s="1"/>
  <c r="C93" i="23"/>
  <c r="E93" i="23" s="1"/>
  <c r="B94" i="23"/>
  <c r="D94" i="23" s="1"/>
  <c r="C94" i="23"/>
  <c r="E94" i="23" s="1"/>
  <c r="B95" i="23"/>
  <c r="D95" i="23" s="1"/>
  <c r="C95" i="23"/>
  <c r="E95" i="23" s="1"/>
  <c r="B96" i="23"/>
  <c r="D96" i="23" s="1"/>
  <c r="C96" i="23"/>
  <c r="E96" i="23" s="1"/>
  <c r="B97" i="23"/>
  <c r="D97" i="23" s="1"/>
  <c r="C97" i="23"/>
  <c r="E97" i="23" s="1"/>
  <c r="B98" i="23"/>
  <c r="D98" i="23" s="1"/>
  <c r="C98" i="23"/>
  <c r="E98" i="23" s="1"/>
  <c r="B99" i="23"/>
  <c r="D99" i="23" s="1"/>
  <c r="C99" i="23"/>
  <c r="E99" i="23" s="1"/>
  <c r="B100" i="23"/>
  <c r="D100" i="23" s="1"/>
  <c r="C100" i="23"/>
  <c r="E100" i="23" s="1"/>
  <c r="B101" i="23"/>
  <c r="D101" i="23" s="1"/>
  <c r="C101" i="23"/>
  <c r="E101" i="23" s="1"/>
  <c r="B102" i="23"/>
  <c r="D102" i="23" s="1"/>
  <c r="C102" i="23"/>
  <c r="E102" i="23" s="1"/>
  <c r="B103" i="23"/>
  <c r="D103" i="23" s="1"/>
  <c r="C103" i="23"/>
  <c r="E103" i="23" s="1"/>
  <c r="B104" i="23"/>
  <c r="D104" i="23" s="1"/>
  <c r="C104" i="23"/>
  <c r="E104" i="23" s="1"/>
  <c r="B105" i="23"/>
  <c r="D105" i="23" s="1"/>
  <c r="C105" i="23"/>
  <c r="E105" i="23" s="1"/>
  <c r="B106" i="23"/>
  <c r="D106" i="23" s="1"/>
  <c r="C106" i="23"/>
  <c r="E106" i="23" s="1"/>
  <c r="B107" i="23"/>
  <c r="D107" i="23" s="1"/>
  <c r="C107" i="23"/>
  <c r="E107" i="23" s="1"/>
  <c r="B108" i="23"/>
  <c r="D108" i="23" s="1"/>
  <c r="C108" i="23"/>
  <c r="E108" i="23" s="1"/>
  <c r="B109" i="23"/>
  <c r="D109" i="23" s="1"/>
  <c r="C109" i="23"/>
  <c r="E109" i="23" s="1"/>
  <c r="B110" i="23"/>
  <c r="D110" i="23" s="1"/>
  <c r="C110" i="23"/>
  <c r="E110" i="23" s="1"/>
  <c r="B111" i="23"/>
  <c r="D111" i="23" s="1"/>
  <c r="C111" i="23"/>
  <c r="E111" i="23" s="1"/>
  <c r="B112" i="23"/>
  <c r="D112" i="23" s="1"/>
  <c r="C112" i="23"/>
  <c r="E112" i="23" s="1"/>
  <c r="B113" i="23"/>
  <c r="D113" i="23" s="1"/>
  <c r="C113" i="23"/>
  <c r="E113" i="23" s="1"/>
  <c r="B114" i="23"/>
  <c r="D114" i="23" s="1"/>
  <c r="C114" i="23"/>
  <c r="E114" i="23" s="1"/>
  <c r="B115" i="23"/>
  <c r="D115" i="23" s="1"/>
  <c r="C115" i="23"/>
  <c r="E115" i="23" s="1"/>
  <c r="B116" i="23"/>
  <c r="D116" i="23" s="1"/>
  <c r="C116" i="23"/>
  <c r="E116" i="23" s="1"/>
  <c r="B117" i="23"/>
  <c r="D117" i="23" s="1"/>
  <c r="C117" i="23"/>
  <c r="E117" i="23" s="1"/>
  <c r="B118" i="23"/>
  <c r="D118" i="23" s="1"/>
  <c r="C118" i="23"/>
  <c r="E118" i="23" s="1"/>
  <c r="B119" i="23"/>
  <c r="D119" i="23" s="1"/>
  <c r="C119" i="23"/>
  <c r="E119" i="23" s="1"/>
  <c r="B120" i="23"/>
  <c r="D120" i="23" s="1"/>
  <c r="C120" i="23"/>
  <c r="E120" i="23" s="1"/>
  <c r="B121" i="23"/>
  <c r="D121" i="23" s="1"/>
  <c r="C121" i="23"/>
  <c r="E121" i="23" s="1"/>
  <c r="B122" i="23"/>
  <c r="D122" i="23" s="1"/>
  <c r="C122" i="23"/>
  <c r="E122" i="23" s="1"/>
  <c r="B123" i="23"/>
  <c r="D123" i="23" s="1"/>
  <c r="C123" i="23"/>
  <c r="E123" i="23" s="1"/>
  <c r="B124" i="23"/>
  <c r="D124" i="23" s="1"/>
  <c r="C124" i="23"/>
  <c r="E124" i="23" s="1"/>
  <c r="B125" i="23"/>
  <c r="D125" i="23" s="1"/>
  <c r="C125" i="23"/>
  <c r="E125" i="23" s="1"/>
  <c r="B126" i="23"/>
  <c r="D126" i="23" s="1"/>
  <c r="C126" i="23"/>
  <c r="E126" i="23" s="1"/>
  <c r="B127" i="23"/>
  <c r="D127" i="23" s="1"/>
  <c r="C127" i="23"/>
  <c r="E127" i="23" s="1"/>
  <c r="B128" i="23"/>
  <c r="D128" i="23" s="1"/>
  <c r="C128" i="23"/>
  <c r="E128" i="23" s="1"/>
  <c r="B129" i="23"/>
  <c r="D129" i="23" s="1"/>
  <c r="C129" i="23"/>
  <c r="E129" i="23" s="1"/>
  <c r="B130" i="23"/>
  <c r="D130" i="23" s="1"/>
  <c r="C130" i="23"/>
  <c r="E130" i="23" s="1"/>
  <c r="B131" i="23"/>
  <c r="D131" i="23" s="1"/>
  <c r="C131" i="23"/>
  <c r="E131" i="23" s="1"/>
  <c r="B132" i="23"/>
  <c r="D132" i="23" s="1"/>
  <c r="C132" i="23"/>
  <c r="E132" i="23" s="1"/>
  <c r="B133" i="23"/>
  <c r="D133" i="23" s="1"/>
  <c r="C133" i="23"/>
  <c r="E133" i="23" s="1"/>
  <c r="B134" i="23"/>
  <c r="D134" i="23" s="1"/>
  <c r="C134" i="23"/>
  <c r="E134" i="23" s="1"/>
  <c r="B135" i="23"/>
  <c r="D135" i="23" s="1"/>
  <c r="C135" i="23"/>
  <c r="E135" i="23" s="1"/>
  <c r="B136" i="23"/>
  <c r="D136" i="23" s="1"/>
  <c r="C136" i="23"/>
  <c r="E136" i="23" s="1"/>
  <c r="B137" i="23"/>
  <c r="D137" i="23" s="1"/>
  <c r="C137" i="23"/>
  <c r="E137" i="23" s="1"/>
  <c r="B138" i="23"/>
  <c r="D138" i="23" s="1"/>
  <c r="C138" i="23"/>
  <c r="E138" i="23" s="1"/>
  <c r="B139" i="23"/>
  <c r="D139" i="23" s="1"/>
  <c r="C139" i="23"/>
  <c r="E139" i="23" s="1"/>
  <c r="B140" i="23"/>
  <c r="D140" i="23" s="1"/>
  <c r="C140" i="23"/>
  <c r="E140" i="23" s="1"/>
  <c r="B141" i="23"/>
  <c r="D141" i="23" s="1"/>
  <c r="C141" i="23"/>
  <c r="E141" i="23" s="1"/>
  <c r="B142" i="23"/>
  <c r="D142" i="23" s="1"/>
  <c r="C142" i="23"/>
  <c r="E142" i="23" s="1"/>
  <c r="B143" i="23"/>
  <c r="D143" i="23" s="1"/>
  <c r="C143" i="23"/>
  <c r="E143" i="23" s="1"/>
  <c r="B144" i="23"/>
  <c r="D144" i="23" s="1"/>
  <c r="C144" i="23"/>
  <c r="E144" i="23" s="1"/>
  <c r="B145" i="23"/>
  <c r="D145" i="23" s="1"/>
  <c r="C145" i="23"/>
  <c r="E145" i="23" s="1"/>
  <c r="B146" i="23"/>
  <c r="D146" i="23" s="1"/>
  <c r="C146" i="23"/>
  <c r="E146" i="23" s="1"/>
  <c r="B147" i="23"/>
  <c r="D147" i="23" s="1"/>
  <c r="C147" i="23"/>
  <c r="E147" i="23" s="1"/>
  <c r="B148" i="23"/>
  <c r="D148" i="23" s="1"/>
  <c r="C148" i="23"/>
  <c r="E148" i="23" s="1"/>
  <c r="B149" i="23"/>
  <c r="D149" i="23" s="1"/>
  <c r="C149" i="23"/>
  <c r="E149" i="23" s="1"/>
  <c r="B150" i="23"/>
  <c r="D150" i="23" s="1"/>
  <c r="C150" i="23"/>
  <c r="E150" i="23" s="1"/>
  <c r="B151" i="23"/>
  <c r="D151" i="23" s="1"/>
  <c r="C151" i="23"/>
  <c r="E151" i="23" s="1"/>
  <c r="B152" i="23"/>
  <c r="D152" i="23" s="1"/>
  <c r="C152" i="23"/>
  <c r="E152" i="23" s="1"/>
  <c r="B153" i="23"/>
  <c r="D153" i="23" s="1"/>
  <c r="C153" i="23"/>
  <c r="E153" i="23" s="1"/>
  <c r="B154" i="23"/>
  <c r="D154" i="23" s="1"/>
  <c r="C154" i="23"/>
  <c r="E154" i="23" s="1"/>
  <c r="B155" i="23"/>
  <c r="D155" i="23" s="1"/>
  <c r="C155" i="23"/>
  <c r="E155" i="23" s="1"/>
  <c r="B156" i="23"/>
  <c r="D156" i="23" s="1"/>
  <c r="C156" i="23"/>
  <c r="E156" i="23" s="1"/>
  <c r="B157" i="23"/>
  <c r="D157" i="23" s="1"/>
  <c r="C157" i="23"/>
  <c r="E157" i="23" s="1"/>
  <c r="B158" i="23"/>
  <c r="D158" i="23" s="1"/>
  <c r="C158" i="23"/>
  <c r="E158" i="23" s="1"/>
  <c r="B159" i="23"/>
  <c r="D159" i="23" s="1"/>
  <c r="C159" i="23"/>
  <c r="E159" i="23" s="1"/>
  <c r="B160" i="23"/>
  <c r="D160" i="23" s="1"/>
  <c r="C160" i="23"/>
  <c r="E160" i="23" s="1"/>
  <c r="B161" i="23"/>
  <c r="D161" i="23" s="1"/>
  <c r="C161" i="23"/>
  <c r="E161" i="23" s="1"/>
  <c r="B162" i="23"/>
  <c r="D162" i="23" s="1"/>
  <c r="C162" i="23"/>
  <c r="E162" i="23" s="1"/>
  <c r="B163" i="23"/>
  <c r="D163" i="23" s="1"/>
  <c r="C163" i="23"/>
  <c r="E163" i="23" s="1"/>
  <c r="B164" i="23"/>
  <c r="D164" i="23" s="1"/>
  <c r="C164" i="23"/>
  <c r="E164" i="23" s="1"/>
  <c r="B165" i="23"/>
  <c r="D165" i="23" s="1"/>
  <c r="C165" i="23"/>
  <c r="E165" i="23" s="1"/>
  <c r="B166" i="23"/>
  <c r="D166" i="23" s="1"/>
  <c r="C166" i="23"/>
  <c r="E166" i="23" s="1"/>
  <c r="B167" i="23"/>
  <c r="D167" i="23" s="1"/>
  <c r="C167" i="23"/>
  <c r="E167" i="23" s="1"/>
  <c r="B168" i="23"/>
  <c r="D168" i="23" s="1"/>
  <c r="C168" i="23"/>
  <c r="E168" i="23" s="1"/>
  <c r="B169" i="23"/>
  <c r="D169" i="23" s="1"/>
  <c r="C169" i="23"/>
  <c r="E169" i="23" s="1"/>
  <c r="B170" i="23"/>
  <c r="D170" i="23" s="1"/>
  <c r="C170" i="23"/>
  <c r="E170" i="23" s="1"/>
  <c r="B171" i="23"/>
  <c r="D171" i="23" s="1"/>
  <c r="C171" i="23"/>
  <c r="E171" i="23" s="1"/>
  <c r="B172" i="23"/>
  <c r="D172" i="23" s="1"/>
  <c r="C172" i="23"/>
  <c r="E172" i="23" s="1"/>
  <c r="B173" i="23"/>
  <c r="D173" i="23" s="1"/>
  <c r="C173" i="23"/>
  <c r="E173" i="23" s="1"/>
  <c r="B174" i="23"/>
  <c r="D174" i="23" s="1"/>
  <c r="C174" i="23"/>
  <c r="E174" i="23" s="1"/>
  <c r="B175" i="23"/>
  <c r="D175" i="23" s="1"/>
  <c r="C175" i="23"/>
  <c r="E175" i="23" s="1"/>
  <c r="B176" i="23"/>
  <c r="D176" i="23" s="1"/>
  <c r="C176" i="23"/>
  <c r="E176" i="23" s="1"/>
  <c r="B177" i="23"/>
  <c r="D177" i="23" s="1"/>
  <c r="C177" i="23"/>
  <c r="E177" i="23" s="1"/>
  <c r="B178" i="23"/>
  <c r="D178" i="23" s="1"/>
  <c r="C178" i="23"/>
  <c r="E178" i="23" s="1"/>
  <c r="B179" i="23"/>
  <c r="D179" i="23" s="1"/>
  <c r="C179" i="23"/>
  <c r="E179" i="23" s="1"/>
  <c r="B180" i="23"/>
  <c r="D180" i="23" s="1"/>
  <c r="C180" i="23"/>
  <c r="E180" i="23" s="1"/>
  <c r="B181" i="23"/>
  <c r="D181" i="23" s="1"/>
  <c r="C181" i="23"/>
  <c r="E181" i="23" s="1"/>
  <c r="B182" i="23"/>
  <c r="D182" i="23" s="1"/>
  <c r="C182" i="23"/>
  <c r="E182" i="23" s="1"/>
  <c r="B183" i="23"/>
  <c r="D183" i="23" s="1"/>
  <c r="C183" i="23"/>
  <c r="E183" i="23" s="1"/>
  <c r="B184" i="23"/>
  <c r="D184" i="23" s="1"/>
  <c r="C184" i="23"/>
  <c r="E184" i="23" s="1"/>
  <c r="B185" i="23"/>
  <c r="D185" i="23" s="1"/>
  <c r="C185" i="23"/>
  <c r="E185" i="23" s="1"/>
  <c r="B186" i="23"/>
  <c r="D186" i="23" s="1"/>
  <c r="C186" i="23"/>
  <c r="E186" i="23" s="1"/>
  <c r="B187" i="23"/>
  <c r="D187" i="23" s="1"/>
  <c r="C187" i="23"/>
  <c r="E187" i="23" s="1"/>
  <c r="B188" i="23"/>
  <c r="D188" i="23" s="1"/>
  <c r="C188" i="23"/>
  <c r="E188" i="23" s="1"/>
  <c r="B189" i="23"/>
  <c r="D189" i="23" s="1"/>
  <c r="C189" i="23"/>
  <c r="E189" i="23" s="1"/>
  <c r="B190" i="23"/>
  <c r="D190" i="23" s="1"/>
  <c r="C190" i="23"/>
  <c r="E190" i="23" s="1"/>
  <c r="B191" i="23"/>
  <c r="D191" i="23" s="1"/>
  <c r="C191" i="23"/>
  <c r="E191" i="23" s="1"/>
  <c r="B192" i="23"/>
  <c r="D192" i="23" s="1"/>
  <c r="C192" i="23"/>
  <c r="E192" i="23" s="1"/>
  <c r="B193" i="23"/>
  <c r="D193" i="23" s="1"/>
  <c r="C193" i="23"/>
  <c r="E193" i="23" s="1"/>
  <c r="B194" i="23"/>
  <c r="D194" i="23" s="1"/>
  <c r="C194" i="23"/>
  <c r="E194" i="23" s="1"/>
  <c r="B195" i="23"/>
  <c r="D195" i="23" s="1"/>
  <c r="C195" i="23"/>
  <c r="E195" i="23" s="1"/>
  <c r="B196" i="23"/>
  <c r="D196" i="23" s="1"/>
  <c r="C196" i="23"/>
  <c r="E196" i="23" s="1"/>
  <c r="B197" i="23"/>
  <c r="D197" i="23" s="1"/>
  <c r="C197" i="23"/>
  <c r="E197" i="23" s="1"/>
  <c r="B198" i="23"/>
  <c r="D198" i="23" s="1"/>
  <c r="C198" i="23"/>
  <c r="E198" i="23" s="1"/>
  <c r="B199" i="23"/>
  <c r="D199" i="23" s="1"/>
  <c r="C199" i="23"/>
  <c r="E199" i="23" s="1"/>
  <c r="B200" i="23"/>
  <c r="D200" i="23" s="1"/>
  <c r="C200" i="23"/>
  <c r="E200" i="23" s="1"/>
  <c r="B201" i="23"/>
  <c r="D201" i="23" s="1"/>
  <c r="C201" i="23"/>
  <c r="E201" i="23" s="1"/>
  <c r="B202" i="23"/>
  <c r="D202" i="23" s="1"/>
  <c r="C202" i="23"/>
  <c r="E202" i="23" s="1"/>
  <c r="B203" i="23"/>
  <c r="D203" i="23" s="1"/>
  <c r="C203" i="23"/>
  <c r="E203" i="23" s="1"/>
  <c r="B204" i="23"/>
  <c r="D204" i="23" s="1"/>
  <c r="C204" i="23"/>
  <c r="E204" i="23" s="1"/>
  <c r="B205" i="23"/>
  <c r="D205" i="23" s="1"/>
  <c r="C205" i="23"/>
  <c r="E205" i="23" s="1"/>
  <c r="B206" i="23"/>
  <c r="D206" i="23" s="1"/>
  <c r="C206" i="23"/>
  <c r="E206" i="23" s="1"/>
  <c r="B207" i="23"/>
  <c r="D207" i="23" s="1"/>
  <c r="C207" i="23"/>
  <c r="E207" i="23" s="1"/>
  <c r="B208" i="23"/>
  <c r="D208" i="23" s="1"/>
  <c r="C208" i="23"/>
  <c r="E208" i="23" s="1"/>
  <c r="B209" i="23"/>
  <c r="D209" i="23" s="1"/>
  <c r="C209" i="23"/>
  <c r="E209" i="23" s="1"/>
  <c r="B210" i="23"/>
  <c r="D210" i="23" s="1"/>
  <c r="C210" i="23"/>
  <c r="E210" i="23" s="1"/>
  <c r="B211" i="23"/>
  <c r="D211" i="23" s="1"/>
  <c r="C211" i="23"/>
  <c r="E211" i="23" s="1"/>
  <c r="B212" i="23"/>
  <c r="D212" i="23" s="1"/>
  <c r="C212" i="23"/>
  <c r="E212" i="23" s="1"/>
  <c r="B213" i="23"/>
  <c r="D213" i="23" s="1"/>
  <c r="C213" i="23"/>
  <c r="E213" i="23" s="1"/>
  <c r="B214" i="23"/>
  <c r="D214" i="23" s="1"/>
  <c r="C214" i="23"/>
  <c r="E214" i="23" s="1"/>
  <c r="B16" i="23"/>
  <c r="D16" i="23" s="1"/>
  <c r="C16" i="23"/>
  <c r="E16" i="23" s="1"/>
  <c r="C15" i="23"/>
  <c r="E15" i="23" s="1"/>
  <c r="B15" i="23"/>
  <c r="D15" i="23" s="1"/>
  <c r="F15" i="23" s="1"/>
  <c r="J19" i="26" l="1"/>
  <c r="G20" i="26"/>
  <c r="H20" i="26" s="1"/>
  <c r="I20" i="26" s="1"/>
  <c r="F22" i="26"/>
  <c r="J16" i="24"/>
  <c r="J18" i="25"/>
  <c r="G19" i="25"/>
  <c r="H19" i="25" s="1"/>
  <c r="I19" i="25" s="1"/>
  <c r="F21" i="25"/>
  <c r="J17" i="24"/>
  <c r="G18" i="24"/>
  <c r="H18" i="24" s="1"/>
  <c r="I18" i="24" s="1"/>
  <c r="F20" i="24"/>
  <c r="F16" i="23"/>
  <c r="H15" i="23"/>
  <c r="I15" i="23" s="1"/>
  <c r="L33" i="22"/>
  <c r="B17" i="22"/>
  <c r="D17" i="22" s="1"/>
  <c r="C17" i="22"/>
  <c r="E17" i="22" s="1"/>
  <c r="B18" i="22"/>
  <c r="D18" i="22" s="1"/>
  <c r="C18" i="22"/>
  <c r="E18" i="22" s="1"/>
  <c r="B19" i="22"/>
  <c r="D19" i="22" s="1"/>
  <c r="C19" i="22"/>
  <c r="E19" i="22" s="1"/>
  <c r="B20" i="22"/>
  <c r="D20" i="22" s="1"/>
  <c r="C20" i="22"/>
  <c r="E20" i="22" s="1"/>
  <c r="B21" i="22"/>
  <c r="D21" i="22" s="1"/>
  <c r="C21" i="22"/>
  <c r="E21" i="22" s="1"/>
  <c r="B22" i="22"/>
  <c r="D22" i="22" s="1"/>
  <c r="C22" i="22"/>
  <c r="E22" i="22" s="1"/>
  <c r="B23" i="22"/>
  <c r="D23" i="22" s="1"/>
  <c r="C23" i="22"/>
  <c r="E23" i="22" s="1"/>
  <c r="B24" i="22"/>
  <c r="D24" i="22" s="1"/>
  <c r="C24" i="22"/>
  <c r="E24" i="22" s="1"/>
  <c r="B25" i="22"/>
  <c r="D25" i="22" s="1"/>
  <c r="C25" i="22"/>
  <c r="E25" i="22" s="1"/>
  <c r="B26" i="22"/>
  <c r="D26" i="22" s="1"/>
  <c r="C26" i="22"/>
  <c r="E26" i="22" s="1"/>
  <c r="B27" i="22"/>
  <c r="D27" i="22" s="1"/>
  <c r="C27" i="22"/>
  <c r="E27" i="22" s="1"/>
  <c r="B28" i="22"/>
  <c r="D28" i="22" s="1"/>
  <c r="C28" i="22"/>
  <c r="E28" i="22" s="1"/>
  <c r="B29" i="22"/>
  <c r="D29" i="22" s="1"/>
  <c r="C29" i="22"/>
  <c r="E29" i="22" s="1"/>
  <c r="B30" i="22"/>
  <c r="D30" i="22" s="1"/>
  <c r="C30" i="22"/>
  <c r="E30" i="22" s="1"/>
  <c r="B31" i="22"/>
  <c r="D31" i="22" s="1"/>
  <c r="C31" i="22"/>
  <c r="E31" i="22" s="1"/>
  <c r="B32" i="22"/>
  <c r="D32" i="22" s="1"/>
  <c r="C32" i="22"/>
  <c r="E32" i="22" s="1"/>
  <c r="B33" i="22"/>
  <c r="D33" i="22" s="1"/>
  <c r="C33" i="22"/>
  <c r="E33" i="22" s="1"/>
  <c r="B34" i="22"/>
  <c r="D34" i="22" s="1"/>
  <c r="C34" i="22"/>
  <c r="E34" i="22" s="1"/>
  <c r="B35" i="22"/>
  <c r="D35" i="22" s="1"/>
  <c r="C35" i="22"/>
  <c r="E35" i="22" s="1"/>
  <c r="B36" i="22"/>
  <c r="D36" i="22" s="1"/>
  <c r="C36" i="22"/>
  <c r="E36" i="22" s="1"/>
  <c r="B37" i="22"/>
  <c r="D37" i="22" s="1"/>
  <c r="C37" i="22"/>
  <c r="E37" i="22" s="1"/>
  <c r="B38" i="22"/>
  <c r="D38" i="22" s="1"/>
  <c r="C38" i="22"/>
  <c r="E38" i="22" s="1"/>
  <c r="B39" i="22"/>
  <c r="D39" i="22" s="1"/>
  <c r="C39" i="22"/>
  <c r="E39" i="22" s="1"/>
  <c r="B40" i="22"/>
  <c r="D40" i="22" s="1"/>
  <c r="C40" i="22"/>
  <c r="E40" i="22" s="1"/>
  <c r="B41" i="22"/>
  <c r="D41" i="22" s="1"/>
  <c r="C41" i="22"/>
  <c r="E41" i="22" s="1"/>
  <c r="B42" i="22"/>
  <c r="D42" i="22" s="1"/>
  <c r="C42" i="22"/>
  <c r="E42" i="22" s="1"/>
  <c r="B43" i="22"/>
  <c r="D43" i="22" s="1"/>
  <c r="C43" i="22"/>
  <c r="E43" i="22" s="1"/>
  <c r="B44" i="22"/>
  <c r="D44" i="22" s="1"/>
  <c r="C44" i="22"/>
  <c r="E44" i="22" s="1"/>
  <c r="B45" i="22"/>
  <c r="D45" i="22" s="1"/>
  <c r="C45" i="22"/>
  <c r="E45" i="22" s="1"/>
  <c r="B46" i="22"/>
  <c r="D46" i="22" s="1"/>
  <c r="C46" i="22"/>
  <c r="E46" i="22" s="1"/>
  <c r="B47" i="22"/>
  <c r="D47" i="22" s="1"/>
  <c r="C47" i="22"/>
  <c r="E47" i="22" s="1"/>
  <c r="B48" i="22"/>
  <c r="D48" i="22" s="1"/>
  <c r="C48" i="22"/>
  <c r="E48" i="22" s="1"/>
  <c r="B49" i="22"/>
  <c r="D49" i="22" s="1"/>
  <c r="C49" i="22"/>
  <c r="E49" i="22" s="1"/>
  <c r="B50" i="22"/>
  <c r="D50" i="22" s="1"/>
  <c r="C50" i="22"/>
  <c r="E50" i="22" s="1"/>
  <c r="B51" i="22"/>
  <c r="D51" i="22" s="1"/>
  <c r="C51" i="22"/>
  <c r="E51" i="22" s="1"/>
  <c r="B52" i="22"/>
  <c r="D52" i="22" s="1"/>
  <c r="C52" i="22"/>
  <c r="E52" i="22" s="1"/>
  <c r="B53" i="22"/>
  <c r="D53" i="22" s="1"/>
  <c r="C53" i="22"/>
  <c r="E53" i="22" s="1"/>
  <c r="B54" i="22"/>
  <c r="D54" i="22" s="1"/>
  <c r="C54" i="22"/>
  <c r="E54" i="22" s="1"/>
  <c r="B55" i="22"/>
  <c r="D55" i="22" s="1"/>
  <c r="C55" i="22"/>
  <c r="E55" i="22" s="1"/>
  <c r="B56" i="22"/>
  <c r="D56" i="22" s="1"/>
  <c r="C56" i="22"/>
  <c r="E56" i="22" s="1"/>
  <c r="B57" i="22"/>
  <c r="D57" i="22" s="1"/>
  <c r="C57" i="22"/>
  <c r="E57" i="22" s="1"/>
  <c r="B58" i="22"/>
  <c r="D58" i="22" s="1"/>
  <c r="C58" i="22"/>
  <c r="E58" i="22" s="1"/>
  <c r="B59" i="22"/>
  <c r="D59" i="22" s="1"/>
  <c r="C59" i="22"/>
  <c r="E59" i="22" s="1"/>
  <c r="B60" i="22"/>
  <c r="D60" i="22" s="1"/>
  <c r="C60" i="22"/>
  <c r="E60" i="22" s="1"/>
  <c r="B61" i="22"/>
  <c r="D61" i="22" s="1"/>
  <c r="C61" i="22"/>
  <c r="E61" i="22" s="1"/>
  <c r="B62" i="22"/>
  <c r="D62" i="22" s="1"/>
  <c r="C62" i="22"/>
  <c r="E62" i="22" s="1"/>
  <c r="B63" i="22"/>
  <c r="D63" i="22" s="1"/>
  <c r="C63" i="22"/>
  <c r="E63" i="22" s="1"/>
  <c r="B64" i="22"/>
  <c r="D64" i="22" s="1"/>
  <c r="C64" i="22"/>
  <c r="E64" i="22" s="1"/>
  <c r="B16" i="22"/>
  <c r="D16" i="22" s="1"/>
  <c r="C16" i="22"/>
  <c r="E16" i="22" s="1"/>
  <c r="C15" i="22"/>
  <c r="E15" i="22" s="1"/>
  <c r="B15" i="22"/>
  <c r="D15" i="22" s="1"/>
  <c r="F15" i="22" s="1"/>
  <c r="H15" i="22" s="1"/>
  <c r="J20" i="26" l="1"/>
  <c r="G21" i="26"/>
  <c r="H21" i="26" s="1"/>
  <c r="I21" i="26" s="1"/>
  <c r="F23" i="26"/>
  <c r="F22" i="25"/>
  <c r="J19" i="25"/>
  <c r="G20" i="25"/>
  <c r="H20" i="25" s="1"/>
  <c r="I20" i="25" s="1"/>
  <c r="J18" i="24"/>
  <c r="G19" i="24"/>
  <c r="H19" i="24" s="1"/>
  <c r="I19" i="24" s="1"/>
  <c r="F21" i="24"/>
  <c r="F17" i="23"/>
  <c r="J15" i="23"/>
  <c r="G16" i="23"/>
  <c r="H16" i="23" s="1"/>
  <c r="I16" i="23" s="1"/>
  <c r="E66" i="22"/>
  <c r="E68" i="22" s="1"/>
  <c r="D66" i="22"/>
  <c r="D68" i="22" s="1"/>
  <c r="I15" i="22"/>
  <c r="F16" i="22"/>
  <c r="F17" i="22" s="1"/>
  <c r="B17" i="21"/>
  <c r="D17" i="21" s="1"/>
  <c r="C17" i="21"/>
  <c r="E17" i="21" s="1"/>
  <c r="B18" i="21"/>
  <c r="D18" i="21" s="1"/>
  <c r="C18" i="21"/>
  <c r="E18" i="21" s="1"/>
  <c r="B19" i="21"/>
  <c r="D19" i="21" s="1"/>
  <c r="C19" i="21"/>
  <c r="E19" i="21" s="1"/>
  <c r="B20" i="21"/>
  <c r="D20" i="21" s="1"/>
  <c r="C20" i="21"/>
  <c r="E20" i="21" s="1"/>
  <c r="B21" i="21"/>
  <c r="D21" i="21" s="1"/>
  <c r="C21" i="21"/>
  <c r="E21" i="21" s="1"/>
  <c r="B22" i="21"/>
  <c r="D22" i="21" s="1"/>
  <c r="C22" i="21"/>
  <c r="E22" i="21" s="1"/>
  <c r="B23" i="21"/>
  <c r="D23" i="21" s="1"/>
  <c r="C23" i="21"/>
  <c r="E23" i="21" s="1"/>
  <c r="B24" i="21"/>
  <c r="D24" i="21" s="1"/>
  <c r="C24" i="21"/>
  <c r="E24" i="21" s="1"/>
  <c r="B25" i="21"/>
  <c r="D25" i="21" s="1"/>
  <c r="C25" i="21"/>
  <c r="E25" i="21" s="1"/>
  <c r="B26" i="21"/>
  <c r="D26" i="21" s="1"/>
  <c r="C26" i="21"/>
  <c r="E26" i="21" s="1"/>
  <c r="B27" i="21"/>
  <c r="D27" i="21" s="1"/>
  <c r="C27" i="21"/>
  <c r="E27" i="21" s="1"/>
  <c r="B28" i="21"/>
  <c r="D28" i="21" s="1"/>
  <c r="C28" i="21"/>
  <c r="E28" i="21" s="1"/>
  <c r="B29" i="21"/>
  <c r="D29" i="21" s="1"/>
  <c r="C29" i="21"/>
  <c r="E29" i="21" s="1"/>
  <c r="B30" i="21"/>
  <c r="D30" i="21" s="1"/>
  <c r="C30" i="21"/>
  <c r="E30" i="21" s="1"/>
  <c r="B31" i="21"/>
  <c r="D31" i="21" s="1"/>
  <c r="C31" i="21"/>
  <c r="E31" i="21" s="1"/>
  <c r="B32" i="21"/>
  <c r="D32" i="21" s="1"/>
  <c r="C32" i="21"/>
  <c r="E32" i="21" s="1"/>
  <c r="B33" i="21"/>
  <c r="D33" i="21" s="1"/>
  <c r="C33" i="21"/>
  <c r="E33" i="21" s="1"/>
  <c r="B34" i="21"/>
  <c r="D34" i="21" s="1"/>
  <c r="C34" i="21"/>
  <c r="E34" i="21" s="1"/>
  <c r="B35" i="21"/>
  <c r="D35" i="21" s="1"/>
  <c r="C35" i="21"/>
  <c r="E35" i="21" s="1"/>
  <c r="B36" i="21"/>
  <c r="D36" i="21" s="1"/>
  <c r="C36" i="21"/>
  <c r="E36" i="21" s="1"/>
  <c r="B37" i="21"/>
  <c r="D37" i="21" s="1"/>
  <c r="C37" i="21"/>
  <c r="E37" i="21" s="1"/>
  <c r="B38" i="21"/>
  <c r="D38" i="21" s="1"/>
  <c r="C38" i="21"/>
  <c r="E38" i="21" s="1"/>
  <c r="B39" i="21"/>
  <c r="D39" i="21" s="1"/>
  <c r="C39" i="21"/>
  <c r="E39" i="21" s="1"/>
  <c r="B40" i="21"/>
  <c r="D40" i="21" s="1"/>
  <c r="C40" i="21"/>
  <c r="E40" i="21" s="1"/>
  <c r="B41" i="21"/>
  <c r="D41" i="21" s="1"/>
  <c r="C41" i="21"/>
  <c r="E41" i="21" s="1"/>
  <c r="B42" i="21"/>
  <c r="D42" i="21" s="1"/>
  <c r="C42" i="21"/>
  <c r="E42" i="21" s="1"/>
  <c r="B43" i="21"/>
  <c r="D43" i="21" s="1"/>
  <c r="C43" i="21"/>
  <c r="E43" i="21" s="1"/>
  <c r="B44" i="21"/>
  <c r="D44" i="21" s="1"/>
  <c r="C44" i="21"/>
  <c r="E44" i="21" s="1"/>
  <c r="B45" i="21"/>
  <c r="D45" i="21" s="1"/>
  <c r="C45" i="21"/>
  <c r="E45" i="21" s="1"/>
  <c r="B46" i="21"/>
  <c r="D46" i="21" s="1"/>
  <c r="C46" i="21"/>
  <c r="E46" i="21" s="1"/>
  <c r="B47" i="21"/>
  <c r="D47" i="21" s="1"/>
  <c r="C47" i="21"/>
  <c r="E47" i="21" s="1"/>
  <c r="B48" i="21"/>
  <c r="D48" i="21" s="1"/>
  <c r="C48" i="21"/>
  <c r="E48" i="21" s="1"/>
  <c r="B49" i="21"/>
  <c r="D49" i="21" s="1"/>
  <c r="C49" i="21"/>
  <c r="E49" i="21" s="1"/>
  <c r="B50" i="21"/>
  <c r="D50" i="21" s="1"/>
  <c r="C50" i="21"/>
  <c r="E50" i="21" s="1"/>
  <c r="B16" i="21"/>
  <c r="D16" i="21" s="1"/>
  <c r="C16" i="21"/>
  <c r="E16" i="21" s="1"/>
  <c r="C15" i="21"/>
  <c r="E15" i="21" s="1"/>
  <c r="B15" i="21"/>
  <c r="D15" i="21" s="1"/>
  <c r="F15" i="21" s="1"/>
  <c r="H15" i="21" s="1"/>
  <c r="G22" i="26" l="1"/>
  <c r="H22" i="26" s="1"/>
  <c r="I22" i="26" s="1"/>
  <c r="J21" i="26"/>
  <c r="F24" i="26"/>
  <c r="J20" i="25"/>
  <c r="G21" i="25"/>
  <c r="H21" i="25" s="1"/>
  <c r="I21" i="25" s="1"/>
  <c r="F23" i="25"/>
  <c r="F22" i="24"/>
  <c r="J19" i="24"/>
  <c r="G20" i="24"/>
  <c r="F18" i="23"/>
  <c r="J16" i="23"/>
  <c r="G17" i="23"/>
  <c r="H17" i="23" s="1"/>
  <c r="I17" i="23" s="1"/>
  <c r="F18" i="22"/>
  <c r="J15" i="22"/>
  <c r="G16" i="22"/>
  <c r="E52" i="21"/>
  <c r="E54" i="21" s="1"/>
  <c r="D52" i="21"/>
  <c r="D54" i="21" s="1"/>
  <c r="I15" i="21"/>
  <c r="F16" i="21"/>
  <c r="F17" i="21" s="1"/>
  <c r="B17" i="20"/>
  <c r="D17" i="20" s="1"/>
  <c r="C17" i="20"/>
  <c r="E17" i="20" s="1"/>
  <c r="B18" i="20"/>
  <c r="D18" i="20" s="1"/>
  <c r="C18" i="20"/>
  <c r="E18" i="20" s="1"/>
  <c r="B19" i="20"/>
  <c r="D19" i="20" s="1"/>
  <c r="C19" i="20"/>
  <c r="E19" i="20" s="1"/>
  <c r="B20" i="20"/>
  <c r="D20" i="20" s="1"/>
  <c r="C20" i="20"/>
  <c r="E20" i="20" s="1"/>
  <c r="B21" i="20"/>
  <c r="D21" i="20" s="1"/>
  <c r="C21" i="20"/>
  <c r="E21" i="20" s="1"/>
  <c r="B22" i="20"/>
  <c r="D22" i="20" s="1"/>
  <c r="C22" i="20"/>
  <c r="E22" i="20" s="1"/>
  <c r="B23" i="20"/>
  <c r="D23" i="20" s="1"/>
  <c r="C23" i="20"/>
  <c r="E23" i="20" s="1"/>
  <c r="B24" i="20"/>
  <c r="D24" i="20" s="1"/>
  <c r="C24" i="20"/>
  <c r="E24" i="20" s="1"/>
  <c r="B25" i="20"/>
  <c r="D25" i="20" s="1"/>
  <c r="C25" i="20"/>
  <c r="E25" i="20" s="1"/>
  <c r="B26" i="20"/>
  <c r="D26" i="20" s="1"/>
  <c r="C26" i="20"/>
  <c r="E26" i="20" s="1"/>
  <c r="B27" i="20"/>
  <c r="D27" i="20" s="1"/>
  <c r="C27" i="20"/>
  <c r="E27" i="20" s="1"/>
  <c r="B28" i="20"/>
  <c r="D28" i="20" s="1"/>
  <c r="C28" i="20"/>
  <c r="E28" i="20" s="1"/>
  <c r="B29" i="20"/>
  <c r="D29" i="20" s="1"/>
  <c r="C29" i="20"/>
  <c r="E29" i="20" s="1"/>
  <c r="B30" i="20"/>
  <c r="D30" i="20" s="1"/>
  <c r="C30" i="20"/>
  <c r="E30" i="20" s="1"/>
  <c r="B31" i="20"/>
  <c r="D31" i="20" s="1"/>
  <c r="C31" i="20"/>
  <c r="E31" i="20" s="1"/>
  <c r="B32" i="20"/>
  <c r="D32" i="20" s="1"/>
  <c r="C32" i="20"/>
  <c r="E32" i="20" s="1"/>
  <c r="B33" i="20"/>
  <c r="D33" i="20" s="1"/>
  <c r="C33" i="20"/>
  <c r="E33" i="20" s="1"/>
  <c r="B34" i="20"/>
  <c r="D34" i="20" s="1"/>
  <c r="C34" i="20"/>
  <c r="E34" i="20" s="1"/>
  <c r="B35" i="20"/>
  <c r="D35" i="20" s="1"/>
  <c r="C35" i="20"/>
  <c r="E35" i="20" s="1"/>
  <c r="B36" i="20"/>
  <c r="D36" i="20" s="1"/>
  <c r="C36" i="20"/>
  <c r="E36" i="20" s="1"/>
  <c r="B37" i="20"/>
  <c r="D37" i="20" s="1"/>
  <c r="C37" i="20"/>
  <c r="E37" i="20" s="1"/>
  <c r="B38" i="20"/>
  <c r="D38" i="20" s="1"/>
  <c r="C38" i="20"/>
  <c r="E38" i="20" s="1"/>
  <c r="B39" i="20"/>
  <c r="D39" i="20" s="1"/>
  <c r="C39" i="20"/>
  <c r="E39" i="20" s="1"/>
  <c r="B40" i="20"/>
  <c r="D40" i="20" s="1"/>
  <c r="C40" i="20"/>
  <c r="E40" i="20" s="1"/>
  <c r="B41" i="20"/>
  <c r="D41" i="20" s="1"/>
  <c r="C41" i="20"/>
  <c r="E41" i="20" s="1"/>
  <c r="B42" i="20"/>
  <c r="D42" i="20" s="1"/>
  <c r="C42" i="20"/>
  <c r="E42" i="20" s="1"/>
  <c r="B43" i="20"/>
  <c r="D43" i="20" s="1"/>
  <c r="C43" i="20"/>
  <c r="E43" i="20" s="1"/>
  <c r="B44" i="20"/>
  <c r="D44" i="20" s="1"/>
  <c r="C44" i="20"/>
  <c r="E44" i="20" s="1"/>
  <c r="B45" i="20"/>
  <c r="D45" i="20" s="1"/>
  <c r="C45" i="20"/>
  <c r="E45" i="20" s="1"/>
  <c r="B46" i="20"/>
  <c r="D46" i="20" s="1"/>
  <c r="C46" i="20"/>
  <c r="E46" i="20" s="1"/>
  <c r="B47" i="20"/>
  <c r="D47" i="20" s="1"/>
  <c r="C47" i="20"/>
  <c r="E47" i="20" s="1"/>
  <c r="B48" i="20"/>
  <c r="D48" i="20" s="1"/>
  <c r="C48" i="20"/>
  <c r="E48" i="20" s="1"/>
  <c r="B49" i="20"/>
  <c r="D49" i="20" s="1"/>
  <c r="C49" i="20"/>
  <c r="E49" i="20" s="1"/>
  <c r="B50" i="20"/>
  <c r="D50" i="20" s="1"/>
  <c r="C50" i="20"/>
  <c r="E50" i="20" s="1"/>
  <c r="B51" i="20"/>
  <c r="D51" i="20" s="1"/>
  <c r="C51" i="20"/>
  <c r="E51" i="20" s="1"/>
  <c r="B52" i="20"/>
  <c r="D52" i="20" s="1"/>
  <c r="C52" i="20"/>
  <c r="E52" i="20" s="1"/>
  <c r="B53" i="20"/>
  <c r="D53" i="20" s="1"/>
  <c r="C53" i="20"/>
  <c r="E53" i="20" s="1"/>
  <c r="B54" i="20"/>
  <c r="D54" i="20" s="1"/>
  <c r="C54" i="20"/>
  <c r="E54" i="20" s="1"/>
  <c r="B16" i="20"/>
  <c r="D16" i="20" s="1"/>
  <c r="C16" i="20"/>
  <c r="E16" i="20" s="1"/>
  <c r="C15" i="20"/>
  <c r="E15" i="20" s="1"/>
  <c r="B15" i="20"/>
  <c r="D15" i="20" s="1"/>
  <c r="F15" i="20" s="1"/>
  <c r="H15" i="20" s="1"/>
  <c r="G23" i="26" l="1"/>
  <c r="H23" i="26" s="1"/>
  <c r="I23" i="26" s="1"/>
  <c r="J22" i="26"/>
  <c r="F25" i="26"/>
  <c r="J21" i="25"/>
  <c r="G22" i="25"/>
  <c r="H22" i="25" s="1"/>
  <c r="I22" i="25" s="1"/>
  <c r="F24" i="25"/>
  <c r="H20" i="24"/>
  <c r="I20" i="24" s="1"/>
  <c r="J20" i="24" s="1"/>
  <c r="F23" i="24"/>
  <c r="F19" i="23"/>
  <c r="J17" i="23"/>
  <c r="G18" i="23"/>
  <c r="H18" i="23" s="1"/>
  <c r="I18" i="23" s="1"/>
  <c r="H16" i="22"/>
  <c r="I16" i="22" s="1"/>
  <c r="G17" i="22" s="1"/>
  <c r="F19" i="22"/>
  <c r="F18" i="21"/>
  <c r="J15" i="21"/>
  <c r="G16" i="21"/>
  <c r="F16" i="20"/>
  <c r="F17" i="20" s="1"/>
  <c r="I15" i="20"/>
  <c r="B17" i="19"/>
  <c r="D17" i="19" s="1"/>
  <c r="C17" i="19"/>
  <c r="E17" i="19" s="1"/>
  <c r="B18" i="19"/>
  <c r="D18" i="19" s="1"/>
  <c r="C18" i="19"/>
  <c r="E18" i="19" s="1"/>
  <c r="B19" i="19"/>
  <c r="D19" i="19" s="1"/>
  <c r="C19" i="19"/>
  <c r="E19" i="19" s="1"/>
  <c r="B20" i="19"/>
  <c r="D20" i="19" s="1"/>
  <c r="C20" i="19"/>
  <c r="E20" i="19" s="1"/>
  <c r="B21" i="19"/>
  <c r="D21" i="19" s="1"/>
  <c r="C21" i="19"/>
  <c r="E21" i="19" s="1"/>
  <c r="B22" i="19"/>
  <c r="D22" i="19" s="1"/>
  <c r="C22" i="19"/>
  <c r="E22" i="19" s="1"/>
  <c r="B23" i="19"/>
  <c r="D23" i="19" s="1"/>
  <c r="C23" i="19"/>
  <c r="E23" i="19" s="1"/>
  <c r="B24" i="19"/>
  <c r="D24" i="19" s="1"/>
  <c r="C24" i="19"/>
  <c r="E24" i="19" s="1"/>
  <c r="B25" i="19"/>
  <c r="D25" i="19" s="1"/>
  <c r="C25" i="19"/>
  <c r="E25" i="19" s="1"/>
  <c r="B26" i="19"/>
  <c r="D26" i="19" s="1"/>
  <c r="C26" i="19"/>
  <c r="E26" i="19" s="1"/>
  <c r="B27" i="19"/>
  <c r="D27" i="19" s="1"/>
  <c r="C27" i="19"/>
  <c r="E27" i="19" s="1"/>
  <c r="B28" i="19"/>
  <c r="D28" i="19" s="1"/>
  <c r="C28" i="19"/>
  <c r="E28" i="19" s="1"/>
  <c r="B29" i="19"/>
  <c r="D29" i="19" s="1"/>
  <c r="C29" i="19"/>
  <c r="E29" i="19" s="1"/>
  <c r="B30" i="19"/>
  <c r="D30" i="19" s="1"/>
  <c r="C30" i="19"/>
  <c r="E30" i="19" s="1"/>
  <c r="B31" i="19"/>
  <c r="D31" i="19" s="1"/>
  <c r="C31" i="19"/>
  <c r="E31" i="19" s="1"/>
  <c r="B32" i="19"/>
  <c r="D32" i="19" s="1"/>
  <c r="C32" i="19"/>
  <c r="E32" i="19" s="1"/>
  <c r="B33" i="19"/>
  <c r="D33" i="19" s="1"/>
  <c r="C33" i="19"/>
  <c r="E33" i="19" s="1"/>
  <c r="B34" i="19"/>
  <c r="D34" i="19" s="1"/>
  <c r="C34" i="19"/>
  <c r="E34" i="19" s="1"/>
  <c r="B35" i="19"/>
  <c r="D35" i="19" s="1"/>
  <c r="C35" i="19"/>
  <c r="E35" i="19" s="1"/>
  <c r="B36" i="19"/>
  <c r="D36" i="19" s="1"/>
  <c r="C36" i="19"/>
  <c r="E36" i="19" s="1"/>
  <c r="B37" i="19"/>
  <c r="D37" i="19" s="1"/>
  <c r="C37" i="19"/>
  <c r="E37" i="19" s="1"/>
  <c r="B38" i="19"/>
  <c r="D38" i="19" s="1"/>
  <c r="C38" i="19"/>
  <c r="E38" i="19" s="1"/>
  <c r="B39" i="19"/>
  <c r="D39" i="19" s="1"/>
  <c r="C39" i="19"/>
  <c r="E39" i="19" s="1"/>
  <c r="B40" i="19"/>
  <c r="D40" i="19" s="1"/>
  <c r="C40" i="19"/>
  <c r="E40" i="19" s="1"/>
  <c r="B41" i="19"/>
  <c r="D41" i="19" s="1"/>
  <c r="C41" i="19"/>
  <c r="E41" i="19" s="1"/>
  <c r="B42" i="19"/>
  <c r="D42" i="19" s="1"/>
  <c r="C42" i="19"/>
  <c r="E42" i="19" s="1"/>
  <c r="B43" i="19"/>
  <c r="D43" i="19" s="1"/>
  <c r="C43" i="19"/>
  <c r="E43" i="19" s="1"/>
  <c r="B44" i="19"/>
  <c r="D44" i="19" s="1"/>
  <c r="C44" i="19"/>
  <c r="E44" i="19" s="1"/>
  <c r="B45" i="19"/>
  <c r="D45" i="19" s="1"/>
  <c r="C45" i="19"/>
  <c r="E45" i="19" s="1"/>
  <c r="B46" i="19"/>
  <c r="D46" i="19" s="1"/>
  <c r="C46" i="19"/>
  <c r="E46" i="19" s="1"/>
  <c r="B47" i="19"/>
  <c r="D47" i="19" s="1"/>
  <c r="C47" i="19"/>
  <c r="E47" i="19" s="1"/>
  <c r="B48" i="19"/>
  <c r="D48" i="19" s="1"/>
  <c r="C48" i="19"/>
  <c r="E48" i="19" s="1"/>
  <c r="B49" i="19"/>
  <c r="D49" i="19" s="1"/>
  <c r="C49" i="19"/>
  <c r="E49" i="19" s="1"/>
  <c r="B50" i="19"/>
  <c r="D50" i="19" s="1"/>
  <c r="C50" i="19"/>
  <c r="E50" i="19" s="1"/>
  <c r="B51" i="19"/>
  <c r="D51" i="19" s="1"/>
  <c r="C51" i="19"/>
  <c r="E51" i="19" s="1"/>
  <c r="B52" i="19"/>
  <c r="D52" i="19" s="1"/>
  <c r="C52" i="19"/>
  <c r="E52" i="19" s="1"/>
  <c r="B53" i="19"/>
  <c r="D53" i="19" s="1"/>
  <c r="C53" i="19"/>
  <c r="E53" i="19" s="1"/>
  <c r="B54" i="19"/>
  <c r="D54" i="19" s="1"/>
  <c r="C54" i="19"/>
  <c r="E54" i="19" s="1"/>
  <c r="B55" i="19"/>
  <c r="D55" i="19" s="1"/>
  <c r="C55" i="19"/>
  <c r="E55" i="19" s="1"/>
  <c r="B56" i="19"/>
  <c r="D56" i="19" s="1"/>
  <c r="C56" i="19"/>
  <c r="E56" i="19" s="1"/>
  <c r="B57" i="19"/>
  <c r="D57" i="19" s="1"/>
  <c r="C57" i="19"/>
  <c r="E57" i="19" s="1"/>
  <c r="B58" i="19"/>
  <c r="D58" i="19" s="1"/>
  <c r="C58" i="19"/>
  <c r="E58" i="19" s="1"/>
  <c r="B59" i="19"/>
  <c r="D59" i="19" s="1"/>
  <c r="C59" i="19"/>
  <c r="E59" i="19" s="1"/>
  <c r="B60" i="19"/>
  <c r="D60" i="19" s="1"/>
  <c r="C60" i="19"/>
  <c r="E60" i="19" s="1"/>
  <c r="B61" i="19"/>
  <c r="D61" i="19" s="1"/>
  <c r="C61" i="19"/>
  <c r="E61" i="19" s="1"/>
  <c r="B62" i="19"/>
  <c r="D62" i="19" s="1"/>
  <c r="C62" i="19"/>
  <c r="E62" i="19" s="1"/>
  <c r="B63" i="19"/>
  <c r="D63" i="19" s="1"/>
  <c r="C63" i="19"/>
  <c r="E63" i="19" s="1"/>
  <c r="B64" i="19"/>
  <c r="D64" i="19" s="1"/>
  <c r="C64" i="19"/>
  <c r="E64" i="19" s="1"/>
  <c r="B16" i="19"/>
  <c r="D16" i="19" s="1"/>
  <c r="C16" i="19"/>
  <c r="E16" i="19" s="1"/>
  <c r="C15" i="19"/>
  <c r="E15" i="19" s="1"/>
  <c r="B15" i="19"/>
  <c r="D15" i="19" s="1"/>
  <c r="F15" i="19" s="1"/>
  <c r="H15" i="19" s="1"/>
  <c r="J23" i="26" l="1"/>
  <c r="G24" i="26"/>
  <c r="H24" i="26" s="1"/>
  <c r="I24" i="26" s="1"/>
  <c r="F26" i="26"/>
  <c r="F25" i="25"/>
  <c r="J22" i="25"/>
  <c r="G23" i="25"/>
  <c r="H23" i="25" s="1"/>
  <c r="I23" i="25" s="1"/>
  <c r="G21" i="24"/>
  <c r="H21" i="24" s="1"/>
  <c r="I21" i="24" s="1"/>
  <c r="G22" i="24" s="1"/>
  <c r="H22" i="24" s="1"/>
  <c r="I22" i="24" s="1"/>
  <c r="F24" i="24"/>
  <c r="F20" i="23"/>
  <c r="J18" i="23"/>
  <c r="G19" i="23"/>
  <c r="H19" i="23" s="1"/>
  <c r="I19" i="23" s="1"/>
  <c r="J16" i="22"/>
  <c r="H17" i="22"/>
  <c r="I17" i="22" s="1"/>
  <c r="G18" i="22" s="1"/>
  <c r="F20" i="22"/>
  <c r="H16" i="21"/>
  <c r="I16" i="21" s="1"/>
  <c r="G17" i="21" s="1"/>
  <c r="F19" i="21"/>
  <c r="F18" i="20"/>
  <c r="J15" i="20"/>
  <c r="G16" i="20"/>
  <c r="H16" i="20" s="1"/>
  <c r="I16" i="20" s="1"/>
  <c r="E65" i="19"/>
  <c r="E66" i="19" s="1"/>
  <c r="D65" i="19"/>
  <c r="D66" i="19" s="1"/>
  <c r="F16" i="19"/>
  <c r="F17" i="19" s="1"/>
  <c r="I15" i="19"/>
  <c r="B16" i="18"/>
  <c r="D16" i="18" s="1"/>
  <c r="C16" i="18"/>
  <c r="E16" i="18" s="1"/>
  <c r="B17" i="18"/>
  <c r="D17" i="18" s="1"/>
  <c r="C17" i="18"/>
  <c r="E17" i="18" s="1"/>
  <c r="B18" i="18"/>
  <c r="D18" i="18" s="1"/>
  <c r="C18" i="18"/>
  <c r="E18" i="18" s="1"/>
  <c r="B19" i="18"/>
  <c r="D19" i="18" s="1"/>
  <c r="C19" i="18"/>
  <c r="E19" i="18" s="1"/>
  <c r="B20" i="18"/>
  <c r="D20" i="18" s="1"/>
  <c r="C20" i="18"/>
  <c r="E20" i="18" s="1"/>
  <c r="B21" i="18"/>
  <c r="D21" i="18" s="1"/>
  <c r="C21" i="18"/>
  <c r="E21" i="18" s="1"/>
  <c r="B22" i="18"/>
  <c r="D22" i="18" s="1"/>
  <c r="C22" i="18"/>
  <c r="E22" i="18" s="1"/>
  <c r="B23" i="18"/>
  <c r="D23" i="18" s="1"/>
  <c r="C23" i="18"/>
  <c r="E23" i="18" s="1"/>
  <c r="B24" i="18"/>
  <c r="D24" i="18" s="1"/>
  <c r="C24" i="18"/>
  <c r="E24" i="18" s="1"/>
  <c r="B25" i="18"/>
  <c r="D25" i="18" s="1"/>
  <c r="C25" i="18"/>
  <c r="E25" i="18" s="1"/>
  <c r="B26" i="18"/>
  <c r="D26" i="18" s="1"/>
  <c r="C26" i="18"/>
  <c r="E26" i="18" s="1"/>
  <c r="B27" i="18"/>
  <c r="D27" i="18" s="1"/>
  <c r="C27" i="18"/>
  <c r="E27" i="18" s="1"/>
  <c r="B28" i="18"/>
  <c r="D28" i="18" s="1"/>
  <c r="C28" i="18"/>
  <c r="E28" i="18" s="1"/>
  <c r="B29" i="18"/>
  <c r="D29" i="18" s="1"/>
  <c r="C29" i="18"/>
  <c r="E29" i="18" s="1"/>
  <c r="B30" i="18"/>
  <c r="D30" i="18" s="1"/>
  <c r="C30" i="18"/>
  <c r="E30" i="18" s="1"/>
  <c r="B31" i="18"/>
  <c r="D31" i="18" s="1"/>
  <c r="C31" i="18"/>
  <c r="E31" i="18" s="1"/>
  <c r="B32" i="18"/>
  <c r="D32" i="18" s="1"/>
  <c r="C32" i="18"/>
  <c r="E32" i="18" s="1"/>
  <c r="B33" i="18"/>
  <c r="D33" i="18" s="1"/>
  <c r="C33" i="18"/>
  <c r="E33" i="18" s="1"/>
  <c r="B34" i="18"/>
  <c r="D34" i="18" s="1"/>
  <c r="C34" i="18"/>
  <c r="E34" i="18" s="1"/>
  <c r="B35" i="18"/>
  <c r="D35" i="18" s="1"/>
  <c r="C35" i="18"/>
  <c r="E35" i="18" s="1"/>
  <c r="B36" i="18"/>
  <c r="D36" i="18" s="1"/>
  <c r="C36" i="18"/>
  <c r="E36" i="18" s="1"/>
  <c r="B37" i="18"/>
  <c r="D37" i="18" s="1"/>
  <c r="C37" i="18"/>
  <c r="E37" i="18" s="1"/>
  <c r="B38" i="18"/>
  <c r="D38" i="18" s="1"/>
  <c r="C38" i="18"/>
  <c r="E38" i="18" s="1"/>
  <c r="B39" i="18"/>
  <c r="D39" i="18" s="1"/>
  <c r="C39" i="18"/>
  <c r="E39" i="18" s="1"/>
  <c r="B40" i="18"/>
  <c r="D40" i="18" s="1"/>
  <c r="C40" i="18"/>
  <c r="E40" i="18" s="1"/>
  <c r="B41" i="18"/>
  <c r="D41" i="18" s="1"/>
  <c r="C41" i="18"/>
  <c r="E41" i="18" s="1"/>
  <c r="B42" i="18"/>
  <c r="D42" i="18" s="1"/>
  <c r="C42" i="18"/>
  <c r="E42" i="18" s="1"/>
  <c r="B43" i="18"/>
  <c r="D43" i="18" s="1"/>
  <c r="C43" i="18"/>
  <c r="E43" i="18" s="1"/>
  <c r="B44" i="18"/>
  <c r="D44" i="18" s="1"/>
  <c r="C44" i="18"/>
  <c r="E44" i="18" s="1"/>
  <c r="B45" i="18"/>
  <c r="D45" i="18" s="1"/>
  <c r="C45" i="18"/>
  <c r="E45" i="18" s="1"/>
  <c r="B46" i="18"/>
  <c r="D46" i="18" s="1"/>
  <c r="C46" i="18"/>
  <c r="E46" i="18" s="1"/>
  <c r="B47" i="18"/>
  <c r="D47" i="18" s="1"/>
  <c r="C47" i="18"/>
  <c r="E47" i="18" s="1"/>
  <c r="B48" i="18"/>
  <c r="D48" i="18" s="1"/>
  <c r="C48" i="18"/>
  <c r="E48" i="18" s="1"/>
  <c r="B49" i="18"/>
  <c r="D49" i="18" s="1"/>
  <c r="C49" i="18"/>
  <c r="E49" i="18" s="1"/>
  <c r="B50" i="18"/>
  <c r="D50" i="18" s="1"/>
  <c r="C50" i="18"/>
  <c r="E50" i="18" s="1"/>
  <c r="B51" i="18"/>
  <c r="D51" i="18" s="1"/>
  <c r="C51" i="18"/>
  <c r="E51" i="18" s="1"/>
  <c r="B52" i="18"/>
  <c r="D52" i="18" s="1"/>
  <c r="C52" i="18"/>
  <c r="E52" i="18" s="1"/>
  <c r="B53" i="18"/>
  <c r="D53" i="18" s="1"/>
  <c r="C53" i="18"/>
  <c r="E53" i="18" s="1"/>
  <c r="B54" i="18"/>
  <c r="D54" i="18" s="1"/>
  <c r="C54" i="18"/>
  <c r="E54" i="18" s="1"/>
  <c r="B55" i="18"/>
  <c r="D55" i="18" s="1"/>
  <c r="C55" i="18"/>
  <c r="E55" i="18" s="1"/>
  <c r="B56" i="18"/>
  <c r="D56" i="18" s="1"/>
  <c r="C56" i="18"/>
  <c r="E56" i="18" s="1"/>
  <c r="B57" i="18"/>
  <c r="D57" i="18" s="1"/>
  <c r="C57" i="18"/>
  <c r="E57" i="18" s="1"/>
  <c r="B58" i="18"/>
  <c r="D58" i="18" s="1"/>
  <c r="C58" i="18"/>
  <c r="E58" i="18" s="1"/>
  <c r="B59" i="18"/>
  <c r="D59" i="18" s="1"/>
  <c r="C59" i="18"/>
  <c r="E59" i="18" s="1"/>
  <c r="B60" i="18"/>
  <c r="D60" i="18" s="1"/>
  <c r="C60" i="18"/>
  <c r="E60" i="18" s="1"/>
  <c r="B61" i="18"/>
  <c r="D61" i="18" s="1"/>
  <c r="C61" i="18"/>
  <c r="E61" i="18" s="1"/>
  <c r="B62" i="18"/>
  <c r="D62" i="18" s="1"/>
  <c r="C62" i="18"/>
  <c r="E62" i="18" s="1"/>
  <c r="B63" i="18"/>
  <c r="D63" i="18" s="1"/>
  <c r="C63" i="18"/>
  <c r="E63" i="18" s="1"/>
  <c r="B64" i="18"/>
  <c r="D64" i="18" s="1"/>
  <c r="C64" i="18"/>
  <c r="E64" i="18" s="1"/>
  <c r="C15" i="18"/>
  <c r="E15" i="18" s="1"/>
  <c r="B15" i="18"/>
  <c r="D15" i="18" s="1"/>
  <c r="F15" i="18" s="1"/>
  <c r="J24" i="26" l="1"/>
  <c r="G25" i="26"/>
  <c r="H25" i="26" s="1"/>
  <c r="I25" i="26" s="1"/>
  <c r="F27" i="26"/>
  <c r="J23" i="25"/>
  <c r="G24" i="25"/>
  <c r="H24" i="25" s="1"/>
  <c r="I24" i="25" s="1"/>
  <c r="F26" i="25"/>
  <c r="F27" i="25" s="1"/>
  <c r="J21" i="24"/>
  <c r="J22" i="24"/>
  <c r="G23" i="24"/>
  <c r="H23" i="24" s="1"/>
  <c r="I23" i="24" s="1"/>
  <c r="F25" i="24"/>
  <c r="F21" i="23"/>
  <c r="J19" i="23"/>
  <c r="G20" i="23"/>
  <c r="H20" i="23" s="1"/>
  <c r="I20" i="23" s="1"/>
  <c r="J17" i="22"/>
  <c r="H18" i="22"/>
  <c r="I18" i="22" s="1"/>
  <c r="J18" i="22" s="1"/>
  <c r="F21" i="22"/>
  <c r="J16" i="21"/>
  <c r="H17" i="21"/>
  <c r="I17" i="21" s="1"/>
  <c r="G18" i="21" s="1"/>
  <c r="F20" i="21"/>
  <c r="J16" i="20"/>
  <c r="G17" i="20"/>
  <c r="H17" i="20" s="1"/>
  <c r="I17" i="20" s="1"/>
  <c r="F19" i="20"/>
  <c r="F18" i="19"/>
  <c r="F16" i="18"/>
  <c r="F17" i="18" s="1"/>
  <c r="F18" i="18" s="1"/>
  <c r="F19" i="18" s="1"/>
  <c r="F20" i="18" s="1"/>
  <c r="F21" i="18" s="1"/>
  <c r="F22" i="18" s="1"/>
  <c r="F23" i="18" s="1"/>
  <c r="F24" i="18" s="1"/>
  <c r="F25" i="18" s="1"/>
  <c r="F26" i="18" s="1"/>
  <c r="F27" i="18" s="1"/>
  <c r="F28" i="18" s="1"/>
  <c r="F29" i="18" s="1"/>
  <c r="F30" i="18" s="1"/>
  <c r="F31" i="18" s="1"/>
  <c r="F32" i="18" s="1"/>
  <c r="F33" i="18" s="1"/>
  <c r="F34" i="18" s="1"/>
  <c r="F35" i="18" s="1"/>
  <c r="F36" i="18" s="1"/>
  <c r="F37" i="18" s="1"/>
  <c r="F38" i="18" s="1"/>
  <c r="F39" i="18" s="1"/>
  <c r="F40" i="18" s="1"/>
  <c r="F41" i="18" s="1"/>
  <c r="F42" i="18" s="1"/>
  <c r="F43" i="18" s="1"/>
  <c r="J15" i="19"/>
  <c r="G16" i="19"/>
  <c r="E65" i="18"/>
  <c r="E67" i="18" s="1"/>
  <c r="D65" i="18"/>
  <c r="D67" i="18" s="1"/>
  <c r="H15" i="18"/>
  <c r="I15" i="18" s="1"/>
  <c r="O33" i="17"/>
  <c r="N33" i="17"/>
  <c r="M33" i="17"/>
  <c r="G26" i="26" l="1"/>
  <c r="H26" i="26" s="1"/>
  <c r="I26" i="26" s="1"/>
  <c r="J25" i="26"/>
  <c r="F28" i="26"/>
  <c r="F28" i="25"/>
  <c r="J24" i="25"/>
  <c r="G25" i="25"/>
  <c r="H25" i="25" s="1"/>
  <c r="I25" i="25" s="1"/>
  <c r="F26" i="24"/>
  <c r="J23" i="24"/>
  <c r="G24" i="24"/>
  <c r="H24" i="24" s="1"/>
  <c r="I24" i="24" s="1"/>
  <c r="F22" i="23"/>
  <c r="J20" i="23"/>
  <c r="G21" i="23"/>
  <c r="H21" i="23" s="1"/>
  <c r="I21" i="23" s="1"/>
  <c r="G19" i="22"/>
  <c r="F22" i="22"/>
  <c r="J17" i="21"/>
  <c r="H18" i="21"/>
  <c r="I18" i="21" s="1"/>
  <c r="J18" i="21" s="1"/>
  <c r="F21" i="21"/>
  <c r="J17" i="20"/>
  <c r="G18" i="20"/>
  <c r="H18" i="20" s="1"/>
  <c r="I18" i="20" s="1"/>
  <c r="F20" i="20"/>
  <c r="H16" i="19"/>
  <c r="I16" i="19" s="1"/>
  <c r="G17" i="19" s="1"/>
  <c r="F19" i="19"/>
  <c r="F44" i="18"/>
  <c r="J15" i="18"/>
  <c r="G16" i="18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6" i="17"/>
  <c r="B7" i="17"/>
  <c r="B8" i="17"/>
  <c r="B9" i="17"/>
  <c r="B10" i="17"/>
  <c r="B11" i="17"/>
  <c r="B12" i="17"/>
  <c r="B13" i="17"/>
  <c r="B14" i="17"/>
  <c r="B15" i="17"/>
  <c r="B16" i="17"/>
  <c r="B17" i="17"/>
  <c r="B18" i="17"/>
  <c r="B19" i="17"/>
  <c r="B20" i="17"/>
  <c r="B21" i="17"/>
  <c r="B22" i="17"/>
  <c r="B23" i="17"/>
  <c r="B24" i="17"/>
  <c r="B25" i="17"/>
  <c r="B26" i="17"/>
  <c r="B27" i="17"/>
  <c r="B28" i="17"/>
  <c r="B29" i="17"/>
  <c r="B30" i="17"/>
  <c r="B6" i="17"/>
  <c r="C6" i="17" s="1"/>
  <c r="G27" i="26" l="1"/>
  <c r="H27" i="26" s="1"/>
  <c r="I27" i="26" s="1"/>
  <c r="J26" i="26"/>
  <c r="F29" i="26"/>
  <c r="F29" i="25"/>
  <c r="J25" i="25"/>
  <c r="G26" i="25"/>
  <c r="H26" i="25" s="1"/>
  <c r="I26" i="25" s="1"/>
  <c r="J24" i="24"/>
  <c r="G25" i="24"/>
  <c r="H25" i="24" s="1"/>
  <c r="I25" i="24" s="1"/>
  <c r="F27" i="24"/>
  <c r="F23" i="23"/>
  <c r="G19" i="21"/>
  <c r="H19" i="21" s="1"/>
  <c r="I19" i="21" s="1"/>
  <c r="J19" i="21" s="1"/>
  <c r="J21" i="23"/>
  <c r="G22" i="23"/>
  <c r="H22" i="23" s="1"/>
  <c r="I22" i="23" s="1"/>
  <c r="H19" i="22"/>
  <c r="I19" i="22" s="1"/>
  <c r="F23" i="22"/>
  <c r="F22" i="21"/>
  <c r="F21" i="20"/>
  <c r="J18" i="20"/>
  <c r="G19" i="20"/>
  <c r="H19" i="20" s="1"/>
  <c r="I19" i="20" s="1"/>
  <c r="J16" i="19"/>
  <c r="H17" i="19"/>
  <c r="I17" i="19" s="1"/>
  <c r="J17" i="19" s="1"/>
  <c r="F20" i="19"/>
  <c r="H16" i="18"/>
  <c r="I16" i="18" s="1"/>
  <c r="J16" i="18" s="1"/>
  <c r="F45" i="18"/>
  <c r="C7" i="17"/>
  <c r="C8" i="17" s="1"/>
  <c r="F8" i="17" s="1"/>
  <c r="G6" i="17"/>
  <c r="E6" i="17"/>
  <c r="F6" i="17"/>
  <c r="A5" i="1"/>
  <c r="J27" i="26" l="1"/>
  <c r="G28" i="26"/>
  <c r="H28" i="26" s="1"/>
  <c r="I28" i="26" s="1"/>
  <c r="F30" i="26"/>
  <c r="J26" i="25"/>
  <c r="G27" i="25"/>
  <c r="H27" i="25" s="1"/>
  <c r="I27" i="25" s="1"/>
  <c r="F30" i="25"/>
  <c r="F28" i="24"/>
  <c r="J25" i="24"/>
  <c r="G26" i="24"/>
  <c r="H26" i="24" s="1"/>
  <c r="I26" i="24" s="1"/>
  <c r="F24" i="23"/>
  <c r="G20" i="21"/>
  <c r="H20" i="21" s="1"/>
  <c r="I20" i="21" s="1"/>
  <c r="G21" i="21" s="1"/>
  <c r="J22" i="23"/>
  <c r="G23" i="23"/>
  <c r="H23" i="23" s="1"/>
  <c r="I23" i="23" s="1"/>
  <c r="J19" i="22"/>
  <c r="G20" i="22"/>
  <c r="F24" i="22"/>
  <c r="F23" i="21"/>
  <c r="G18" i="19"/>
  <c r="H18" i="19" s="1"/>
  <c r="I18" i="19" s="1"/>
  <c r="G19" i="19" s="1"/>
  <c r="H19" i="19" s="1"/>
  <c r="I19" i="19" s="1"/>
  <c r="J19" i="20"/>
  <c r="G20" i="20"/>
  <c r="H20" i="20" s="1"/>
  <c r="I20" i="20" s="1"/>
  <c r="F22" i="20"/>
  <c r="F21" i="19"/>
  <c r="G17" i="18"/>
  <c r="H17" i="18" s="1"/>
  <c r="I17" i="18" s="1"/>
  <c r="G18" i="18" s="1"/>
  <c r="H18" i="18" s="1"/>
  <c r="I18" i="18" s="1"/>
  <c r="F46" i="18"/>
  <c r="E7" i="17"/>
  <c r="F7" i="17"/>
  <c r="G7" i="17"/>
  <c r="G8" i="17"/>
  <c r="E8" i="17"/>
  <c r="C9" i="17"/>
  <c r="B13" i="16"/>
  <c r="B12" i="16"/>
  <c r="B17" i="16"/>
  <c r="D17" i="16" s="1"/>
  <c r="C17" i="16"/>
  <c r="E17" i="16" s="1"/>
  <c r="B18" i="16"/>
  <c r="D18" i="16" s="1"/>
  <c r="C18" i="16"/>
  <c r="E18" i="16" s="1"/>
  <c r="B19" i="16"/>
  <c r="D19" i="16" s="1"/>
  <c r="C19" i="16"/>
  <c r="E19" i="16" s="1"/>
  <c r="B20" i="16"/>
  <c r="D20" i="16" s="1"/>
  <c r="C20" i="16"/>
  <c r="E20" i="16" s="1"/>
  <c r="B21" i="16"/>
  <c r="D21" i="16" s="1"/>
  <c r="C21" i="16"/>
  <c r="E21" i="16" s="1"/>
  <c r="B22" i="16"/>
  <c r="D22" i="16" s="1"/>
  <c r="C22" i="16"/>
  <c r="E22" i="16" s="1"/>
  <c r="B23" i="16"/>
  <c r="D23" i="16" s="1"/>
  <c r="C23" i="16"/>
  <c r="E23" i="16" s="1"/>
  <c r="B24" i="16"/>
  <c r="D24" i="16" s="1"/>
  <c r="C24" i="16"/>
  <c r="E24" i="16" s="1"/>
  <c r="B25" i="16"/>
  <c r="D25" i="16" s="1"/>
  <c r="C25" i="16"/>
  <c r="E25" i="16" s="1"/>
  <c r="B26" i="16"/>
  <c r="D26" i="16" s="1"/>
  <c r="C26" i="16"/>
  <c r="E26" i="16" s="1"/>
  <c r="B27" i="16"/>
  <c r="D27" i="16" s="1"/>
  <c r="C27" i="16"/>
  <c r="E27" i="16" s="1"/>
  <c r="B28" i="16"/>
  <c r="D28" i="16" s="1"/>
  <c r="C28" i="16"/>
  <c r="E28" i="16" s="1"/>
  <c r="B29" i="16"/>
  <c r="D29" i="16" s="1"/>
  <c r="C29" i="16"/>
  <c r="E29" i="16" s="1"/>
  <c r="B30" i="16"/>
  <c r="D30" i="16" s="1"/>
  <c r="C30" i="16"/>
  <c r="E30" i="16" s="1"/>
  <c r="B31" i="16"/>
  <c r="D31" i="16" s="1"/>
  <c r="C31" i="16"/>
  <c r="E31" i="16" s="1"/>
  <c r="B32" i="16"/>
  <c r="D32" i="16" s="1"/>
  <c r="C32" i="16"/>
  <c r="E32" i="16" s="1"/>
  <c r="B33" i="16"/>
  <c r="D33" i="16" s="1"/>
  <c r="C33" i="16"/>
  <c r="E33" i="16" s="1"/>
  <c r="B34" i="16"/>
  <c r="D34" i="16" s="1"/>
  <c r="C34" i="16"/>
  <c r="E34" i="16" s="1"/>
  <c r="B35" i="16"/>
  <c r="D35" i="16" s="1"/>
  <c r="C35" i="16"/>
  <c r="E35" i="16" s="1"/>
  <c r="C16" i="16"/>
  <c r="E16" i="16" s="1"/>
  <c r="B16" i="16"/>
  <c r="D16" i="16" s="1"/>
  <c r="F16" i="16" s="1"/>
  <c r="F13" i="16"/>
  <c r="F12" i="16"/>
  <c r="J28" i="26" l="1"/>
  <c r="G29" i="26"/>
  <c r="H29" i="26" s="1"/>
  <c r="I29" i="26" s="1"/>
  <c r="F31" i="26"/>
  <c r="F31" i="25"/>
  <c r="J27" i="25"/>
  <c r="G28" i="25"/>
  <c r="H28" i="25" s="1"/>
  <c r="I28" i="25" s="1"/>
  <c r="J26" i="24"/>
  <c r="G27" i="24"/>
  <c r="H27" i="24" s="1"/>
  <c r="I27" i="24" s="1"/>
  <c r="F29" i="24"/>
  <c r="F25" i="23"/>
  <c r="F26" i="23" s="1"/>
  <c r="J23" i="23"/>
  <c r="G24" i="23"/>
  <c r="H24" i="23" s="1"/>
  <c r="I24" i="23" s="1"/>
  <c r="H20" i="22"/>
  <c r="I20" i="22" s="1"/>
  <c r="F25" i="22"/>
  <c r="J20" i="21"/>
  <c r="H21" i="21"/>
  <c r="I21" i="21" s="1"/>
  <c r="J21" i="21" s="1"/>
  <c r="F24" i="21"/>
  <c r="J18" i="19"/>
  <c r="F23" i="20"/>
  <c r="J20" i="20"/>
  <c r="G21" i="20"/>
  <c r="H21" i="20" s="1"/>
  <c r="I21" i="20" s="1"/>
  <c r="F22" i="19"/>
  <c r="J19" i="19"/>
  <c r="G20" i="19"/>
  <c r="H20" i="19" s="1"/>
  <c r="I20" i="19" s="1"/>
  <c r="J17" i="18"/>
  <c r="G19" i="18"/>
  <c r="J18" i="18"/>
  <c r="F47" i="18"/>
  <c r="E9" i="17"/>
  <c r="G9" i="17"/>
  <c r="C10" i="17"/>
  <c r="E10" i="17" s="1"/>
  <c r="F9" i="17"/>
  <c r="E36" i="16"/>
  <c r="E37" i="16" s="1"/>
  <c r="D36" i="16"/>
  <c r="D37" i="16" s="1"/>
  <c r="F17" i="16"/>
  <c r="F18" i="16" s="1"/>
  <c r="H16" i="16"/>
  <c r="I16" i="16" s="1"/>
  <c r="G30" i="26" l="1"/>
  <c r="H30" i="26" s="1"/>
  <c r="I30" i="26" s="1"/>
  <c r="J29" i="26"/>
  <c r="F32" i="26"/>
  <c r="J28" i="25"/>
  <c r="G29" i="25"/>
  <c r="H29" i="25" s="1"/>
  <c r="I29" i="25" s="1"/>
  <c r="F32" i="25"/>
  <c r="F30" i="24"/>
  <c r="J27" i="24"/>
  <c r="G28" i="24"/>
  <c r="H28" i="24" s="1"/>
  <c r="I28" i="24" s="1"/>
  <c r="F27" i="23"/>
  <c r="J24" i="23"/>
  <c r="G25" i="23"/>
  <c r="H25" i="23" s="1"/>
  <c r="I25" i="23" s="1"/>
  <c r="G21" i="22"/>
  <c r="H21" i="22" s="1"/>
  <c r="I21" i="22" s="1"/>
  <c r="J20" i="22"/>
  <c r="F26" i="22"/>
  <c r="G22" i="21"/>
  <c r="H22" i="21" s="1"/>
  <c r="I22" i="21" s="1"/>
  <c r="G23" i="21" s="1"/>
  <c r="H23" i="21" s="1"/>
  <c r="I23" i="21" s="1"/>
  <c r="F25" i="21"/>
  <c r="J21" i="20"/>
  <c r="G22" i="20"/>
  <c r="H22" i="20" s="1"/>
  <c r="I22" i="20" s="1"/>
  <c r="F24" i="20"/>
  <c r="J20" i="19"/>
  <c r="G21" i="19"/>
  <c r="F23" i="19"/>
  <c r="H19" i="18"/>
  <c r="I19" i="18" s="1"/>
  <c r="J19" i="18" s="1"/>
  <c r="F48" i="18"/>
  <c r="F10" i="17"/>
  <c r="G10" i="17"/>
  <c r="C11" i="17"/>
  <c r="F19" i="16"/>
  <c r="G17" i="16"/>
  <c r="F33" i="26" l="1"/>
  <c r="G31" i="26"/>
  <c r="H31" i="26" s="1"/>
  <c r="I31" i="26" s="1"/>
  <c r="J30" i="26"/>
  <c r="F33" i="25"/>
  <c r="J29" i="25"/>
  <c r="G30" i="25"/>
  <c r="H30" i="25" s="1"/>
  <c r="I30" i="25" s="1"/>
  <c r="F31" i="24"/>
  <c r="J28" i="24"/>
  <c r="G29" i="24"/>
  <c r="H29" i="24" s="1"/>
  <c r="I29" i="24" s="1"/>
  <c r="J25" i="23"/>
  <c r="G26" i="23"/>
  <c r="H26" i="23" s="1"/>
  <c r="I26" i="23" s="1"/>
  <c r="F28" i="23"/>
  <c r="J21" i="22"/>
  <c r="G22" i="22"/>
  <c r="H22" i="22" s="1"/>
  <c r="I22" i="22" s="1"/>
  <c r="F27" i="22"/>
  <c r="J22" i="21"/>
  <c r="F26" i="21"/>
  <c r="J23" i="21"/>
  <c r="G24" i="21"/>
  <c r="H24" i="21" s="1"/>
  <c r="I24" i="21" s="1"/>
  <c r="F25" i="20"/>
  <c r="J22" i="20"/>
  <c r="G23" i="20"/>
  <c r="H23" i="20" s="1"/>
  <c r="I23" i="20" s="1"/>
  <c r="H21" i="19"/>
  <c r="I21" i="19" s="1"/>
  <c r="J21" i="19" s="1"/>
  <c r="F24" i="19"/>
  <c r="G20" i="18"/>
  <c r="H20" i="18" s="1"/>
  <c r="I20" i="18" s="1"/>
  <c r="G21" i="18" s="1"/>
  <c r="H21" i="18" s="1"/>
  <c r="I21" i="18" s="1"/>
  <c r="F49" i="18"/>
  <c r="G11" i="17"/>
  <c r="E11" i="17"/>
  <c r="C12" i="17"/>
  <c r="G12" i="17" s="1"/>
  <c r="F11" i="17"/>
  <c r="H17" i="16"/>
  <c r="I17" i="16" s="1"/>
  <c r="F20" i="16"/>
  <c r="F34" i="26" l="1"/>
  <c r="J31" i="26"/>
  <c r="G32" i="26"/>
  <c r="H32" i="26" s="1"/>
  <c r="I32" i="26" s="1"/>
  <c r="J30" i="25"/>
  <c r="G31" i="25"/>
  <c r="H31" i="25" s="1"/>
  <c r="I31" i="25" s="1"/>
  <c r="F34" i="25"/>
  <c r="J29" i="24"/>
  <c r="G30" i="24"/>
  <c r="H30" i="24" s="1"/>
  <c r="I30" i="24" s="1"/>
  <c r="F32" i="24"/>
  <c r="F29" i="23"/>
  <c r="J26" i="23"/>
  <c r="G27" i="23"/>
  <c r="H27" i="23" s="1"/>
  <c r="I27" i="23" s="1"/>
  <c r="G23" i="22"/>
  <c r="H23" i="22" s="1"/>
  <c r="I23" i="22" s="1"/>
  <c r="J22" i="22"/>
  <c r="F28" i="22"/>
  <c r="J24" i="21"/>
  <c r="G25" i="21"/>
  <c r="H25" i="21" s="1"/>
  <c r="I25" i="21" s="1"/>
  <c r="F27" i="21"/>
  <c r="F26" i="20"/>
  <c r="J23" i="20"/>
  <c r="G24" i="20"/>
  <c r="H24" i="20" s="1"/>
  <c r="I24" i="20" s="1"/>
  <c r="G22" i="19"/>
  <c r="H22" i="19" s="1"/>
  <c r="I22" i="19" s="1"/>
  <c r="J22" i="19" s="1"/>
  <c r="F25" i="19"/>
  <c r="J20" i="18"/>
  <c r="G22" i="18"/>
  <c r="J21" i="18"/>
  <c r="F50" i="18"/>
  <c r="E12" i="17"/>
  <c r="F12" i="17"/>
  <c r="C13" i="17"/>
  <c r="G18" i="16"/>
  <c r="F21" i="16"/>
  <c r="F35" i="26" l="1"/>
  <c r="J32" i="26"/>
  <c r="G33" i="26"/>
  <c r="H33" i="26" s="1"/>
  <c r="I33" i="26" s="1"/>
  <c r="F35" i="25"/>
  <c r="J31" i="25"/>
  <c r="G32" i="25"/>
  <c r="H32" i="25" s="1"/>
  <c r="I32" i="25" s="1"/>
  <c r="F33" i="24"/>
  <c r="J30" i="24"/>
  <c r="G31" i="24"/>
  <c r="H31" i="24" s="1"/>
  <c r="I31" i="24" s="1"/>
  <c r="J27" i="23"/>
  <c r="G28" i="23"/>
  <c r="H28" i="23" s="1"/>
  <c r="I28" i="23" s="1"/>
  <c r="F30" i="23"/>
  <c r="G24" i="22"/>
  <c r="H24" i="22" s="1"/>
  <c r="I24" i="22" s="1"/>
  <c r="J23" i="22"/>
  <c r="F29" i="22"/>
  <c r="F28" i="21"/>
  <c r="J25" i="21"/>
  <c r="G26" i="21"/>
  <c r="H26" i="21" s="1"/>
  <c r="I26" i="21" s="1"/>
  <c r="J24" i="20"/>
  <c r="G25" i="20"/>
  <c r="H25" i="20" s="1"/>
  <c r="I25" i="20" s="1"/>
  <c r="F27" i="20"/>
  <c r="G23" i="19"/>
  <c r="H23" i="19" s="1"/>
  <c r="I23" i="19" s="1"/>
  <c r="G24" i="19" s="1"/>
  <c r="H24" i="19" s="1"/>
  <c r="I24" i="19" s="1"/>
  <c r="F26" i="19"/>
  <c r="H22" i="18"/>
  <c r="I22" i="18" s="1"/>
  <c r="G23" i="18" s="1"/>
  <c r="H23" i="18" s="1"/>
  <c r="I23" i="18" s="1"/>
  <c r="F51" i="18"/>
  <c r="E13" i="17"/>
  <c r="G13" i="17"/>
  <c r="F13" i="17"/>
  <c r="C14" i="17"/>
  <c r="H18" i="16"/>
  <c r="F22" i="16"/>
  <c r="F36" i="26" l="1"/>
  <c r="G34" i="26"/>
  <c r="H34" i="26" s="1"/>
  <c r="I34" i="26" s="1"/>
  <c r="J33" i="26"/>
  <c r="J32" i="25"/>
  <c r="G33" i="25"/>
  <c r="H33" i="25" s="1"/>
  <c r="I33" i="25" s="1"/>
  <c r="F36" i="25"/>
  <c r="J31" i="24"/>
  <c r="G32" i="24"/>
  <c r="H32" i="24" s="1"/>
  <c r="I32" i="24" s="1"/>
  <c r="F34" i="24"/>
  <c r="F31" i="23"/>
  <c r="J28" i="23"/>
  <c r="G29" i="23"/>
  <c r="H29" i="23" s="1"/>
  <c r="I29" i="23" s="1"/>
  <c r="J24" i="22"/>
  <c r="G25" i="22"/>
  <c r="H25" i="22" s="1"/>
  <c r="I25" i="22" s="1"/>
  <c r="F30" i="22"/>
  <c r="J26" i="21"/>
  <c r="G27" i="21"/>
  <c r="H27" i="21" s="1"/>
  <c r="I27" i="21" s="1"/>
  <c r="F29" i="21"/>
  <c r="F28" i="20"/>
  <c r="J25" i="20"/>
  <c r="G26" i="20"/>
  <c r="H26" i="20" s="1"/>
  <c r="I26" i="20" s="1"/>
  <c r="J23" i="19"/>
  <c r="J24" i="19"/>
  <c r="G25" i="19"/>
  <c r="H25" i="19" s="1"/>
  <c r="I25" i="19" s="1"/>
  <c r="F27" i="19"/>
  <c r="J22" i="18"/>
  <c r="G24" i="18"/>
  <c r="H24" i="18" s="1"/>
  <c r="I24" i="18" s="1"/>
  <c r="J23" i="18"/>
  <c r="F52" i="18"/>
  <c r="E14" i="17"/>
  <c r="G14" i="17"/>
  <c r="C15" i="17"/>
  <c r="F14" i="17"/>
  <c r="I18" i="16"/>
  <c r="G19" i="16"/>
  <c r="F23" i="16"/>
  <c r="K13" i="3"/>
  <c r="K12" i="3"/>
  <c r="B205" i="2"/>
  <c r="B206" i="2" s="1"/>
  <c r="B204" i="2"/>
  <c r="F37" i="26" l="1"/>
  <c r="G35" i="26"/>
  <c r="H35" i="26" s="1"/>
  <c r="I35" i="26" s="1"/>
  <c r="J34" i="26"/>
  <c r="F37" i="25"/>
  <c r="J33" i="25"/>
  <c r="G34" i="25"/>
  <c r="H34" i="25" s="1"/>
  <c r="I34" i="25" s="1"/>
  <c r="J32" i="24"/>
  <c r="G33" i="24"/>
  <c r="H33" i="24" s="1"/>
  <c r="I33" i="24" s="1"/>
  <c r="F35" i="24"/>
  <c r="J29" i="23"/>
  <c r="G30" i="23"/>
  <c r="H30" i="23" s="1"/>
  <c r="I30" i="23" s="1"/>
  <c r="F32" i="23"/>
  <c r="G26" i="22"/>
  <c r="H26" i="22" s="1"/>
  <c r="I26" i="22" s="1"/>
  <c r="J25" i="22"/>
  <c r="F31" i="22"/>
  <c r="F30" i="21"/>
  <c r="J27" i="21"/>
  <c r="G28" i="21"/>
  <c r="H28" i="21" s="1"/>
  <c r="I28" i="21" s="1"/>
  <c r="J26" i="20"/>
  <c r="G27" i="20"/>
  <c r="H27" i="20" s="1"/>
  <c r="I27" i="20" s="1"/>
  <c r="F29" i="20"/>
  <c r="J25" i="19"/>
  <c r="G26" i="19"/>
  <c r="H26" i="19" s="1"/>
  <c r="I26" i="19" s="1"/>
  <c r="F28" i="19"/>
  <c r="G25" i="18"/>
  <c r="H25" i="18" s="1"/>
  <c r="I25" i="18" s="1"/>
  <c r="J24" i="18"/>
  <c r="F53" i="18"/>
  <c r="G15" i="17"/>
  <c r="F15" i="17"/>
  <c r="E15" i="17"/>
  <c r="C16" i="17"/>
  <c r="F16" i="17" s="1"/>
  <c r="H19" i="16"/>
  <c r="F24" i="16"/>
  <c r="B17" i="15"/>
  <c r="D17" i="15" s="1"/>
  <c r="C17" i="15"/>
  <c r="E17" i="15" s="1"/>
  <c r="B18" i="15"/>
  <c r="D18" i="15" s="1"/>
  <c r="C18" i="15"/>
  <c r="E18" i="15" s="1"/>
  <c r="B19" i="15"/>
  <c r="D19" i="15" s="1"/>
  <c r="C19" i="15"/>
  <c r="E19" i="15" s="1"/>
  <c r="B20" i="15"/>
  <c r="D20" i="15" s="1"/>
  <c r="C20" i="15"/>
  <c r="E20" i="15" s="1"/>
  <c r="B21" i="15"/>
  <c r="D21" i="15" s="1"/>
  <c r="C21" i="15"/>
  <c r="E21" i="15" s="1"/>
  <c r="B22" i="15"/>
  <c r="D22" i="15" s="1"/>
  <c r="C22" i="15"/>
  <c r="E22" i="15" s="1"/>
  <c r="B23" i="15"/>
  <c r="D23" i="15" s="1"/>
  <c r="C23" i="15"/>
  <c r="E23" i="15" s="1"/>
  <c r="B24" i="15"/>
  <c r="D24" i="15" s="1"/>
  <c r="C24" i="15"/>
  <c r="E24" i="15" s="1"/>
  <c r="B25" i="15"/>
  <c r="D25" i="15" s="1"/>
  <c r="C25" i="15"/>
  <c r="E25" i="15" s="1"/>
  <c r="B26" i="15"/>
  <c r="D26" i="15" s="1"/>
  <c r="C26" i="15"/>
  <c r="E26" i="15" s="1"/>
  <c r="B27" i="15"/>
  <c r="D27" i="15" s="1"/>
  <c r="C27" i="15"/>
  <c r="E27" i="15" s="1"/>
  <c r="B28" i="15"/>
  <c r="D28" i="15" s="1"/>
  <c r="C28" i="15"/>
  <c r="E28" i="15" s="1"/>
  <c r="B29" i="15"/>
  <c r="D29" i="15" s="1"/>
  <c r="C29" i="15"/>
  <c r="E29" i="15" s="1"/>
  <c r="B30" i="15"/>
  <c r="D30" i="15" s="1"/>
  <c r="C30" i="15"/>
  <c r="E30" i="15" s="1"/>
  <c r="B31" i="15"/>
  <c r="D31" i="15" s="1"/>
  <c r="C31" i="15"/>
  <c r="E31" i="15" s="1"/>
  <c r="B32" i="15"/>
  <c r="D32" i="15" s="1"/>
  <c r="C32" i="15"/>
  <c r="E32" i="15" s="1"/>
  <c r="B33" i="15"/>
  <c r="D33" i="15" s="1"/>
  <c r="C33" i="15"/>
  <c r="E33" i="15" s="1"/>
  <c r="B34" i="15"/>
  <c r="D34" i="15" s="1"/>
  <c r="C34" i="15"/>
  <c r="E34" i="15" s="1"/>
  <c r="B35" i="15"/>
  <c r="D35" i="15" s="1"/>
  <c r="C35" i="15"/>
  <c r="E35" i="15" s="1"/>
  <c r="C16" i="15"/>
  <c r="E16" i="15" s="1"/>
  <c r="B16" i="15"/>
  <c r="D16" i="15" s="1"/>
  <c r="F16" i="15" s="1"/>
  <c r="F13" i="15"/>
  <c r="F12" i="15"/>
  <c r="F38" i="26" l="1"/>
  <c r="J35" i="26"/>
  <c r="G36" i="26"/>
  <c r="H36" i="26" s="1"/>
  <c r="I36" i="26" s="1"/>
  <c r="J34" i="25"/>
  <c r="G35" i="25"/>
  <c r="H35" i="25" s="1"/>
  <c r="I35" i="25" s="1"/>
  <c r="F38" i="25"/>
  <c r="F36" i="24"/>
  <c r="J33" i="24"/>
  <c r="G34" i="24"/>
  <c r="H34" i="24" s="1"/>
  <c r="I34" i="24" s="1"/>
  <c r="F33" i="23"/>
  <c r="J30" i="23"/>
  <c r="G31" i="23"/>
  <c r="H31" i="23" s="1"/>
  <c r="I31" i="23" s="1"/>
  <c r="J26" i="22"/>
  <c r="G27" i="22"/>
  <c r="H27" i="22" s="1"/>
  <c r="I27" i="22" s="1"/>
  <c r="F32" i="22"/>
  <c r="J28" i="21"/>
  <c r="G29" i="21"/>
  <c r="H29" i="21" s="1"/>
  <c r="I29" i="21" s="1"/>
  <c r="F31" i="21"/>
  <c r="J27" i="20"/>
  <c r="G28" i="20"/>
  <c r="H28" i="20" s="1"/>
  <c r="I28" i="20" s="1"/>
  <c r="F30" i="20"/>
  <c r="F29" i="19"/>
  <c r="J26" i="19"/>
  <c r="G27" i="19"/>
  <c r="H27" i="19" s="1"/>
  <c r="I27" i="19" s="1"/>
  <c r="G26" i="18"/>
  <c r="H26" i="18" s="1"/>
  <c r="I26" i="18" s="1"/>
  <c r="J25" i="18"/>
  <c r="F54" i="18"/>
  <c r="E16" i="17"/>
  <c r="G16" i="17"/>
  <c r="C17" i="17"/>
  <c r="I19" i="16"/>
  <c r="G20" i="16"/>
  <c r="F25" i="16"/>
  <c r="E36" i="15"/>
  <c r="E37" i="15" s="1"/>
  <c r="D36" i="15"/>
  <c r="D37" i="15" s="1"/>
  <c r="F17" i="15"/>
  <c r="F18" i="15" s="1"/>
  <c r="F19" i="15" s="1"/>
  <c r="H16" i="15"/>
  <c r="I16" i="15" s="1"/>
  <c r="J36" i="26" l="1"/>
  <c r="G37" i="26"/>
  <c r="H37" i="26" s="1"/>
  <c r="I37" i="26" s="1"/>
  <c r="F39" i="26"/>
  <c r="F39" i="25"/>
  <c r="J35" i="25"/>
  <c r="G36" i="25"/>
  <c r="H36" i="25" s="1"/>
  <c r="I36" i="25" s="1"/>
  <c r="J34" i="24"/>
  <c r="G35" i="24"/>
  <c r="H35" i="24" s="1"/>
  <c r="I35" i="24" s="1"/>
  <c r="F37" i="24"/>
  <c r="J31" i="23"/>
  <c r="G32" i="23"/>
  <c r="H32" i="23" s="1"/>
  <c r="I32" i="23" s="1"/>
  <c r="F34" i="23"/>
  <c r="G28" i="22"/>
  <c r="H28" i="22" s="1"/>
  <c r="I28" i="22" s="1"/>
  <c r="J27" i="22"/>
  <c r="F33" i="22"/>
  <c r="F32" i="21"/>
  <c r="J29" i="21"/>
  <c r="G30" i="21"/>
  <c r="H30" i="21" s="1"/>
  <c r="I30" i="21" s="1"/>
  <c r="F31" i="20"/>
  <c r="J28" i="20"/>
  <c r="G29" i="20"/>
  <c r="H29" i="20" s="1"/>
  <c r="I29" i="20" s="1"/>
  <c r="J27" i="19"/>
  <c r="G28" i="19"/>
  <c r="H28" i="19" s="1"/>
  <c r="I28" i="19" s="1"/>
  <c r="F30" i="19"/>
  <c r="G27" i="18"/>
  <c r="H27" i="18" s="1"/>
  <c r="I27" i="18" s="1"/>
  <c r="J26" i="18"/>
  <c r="F55" i="18"/>
  <c r="E17" i="17"/>
  <c r="G17" i="17"/>
  <c r="C18" i="17"/>
  <c r="F17" i="17"/>
  <c r="H20" i="16"/>
  <c r="F26" i="16"/>
  <c r="F20" i="15"/>
  <c r="G17" i="15"/>
  <c r="G38" i="26" l="1"/>
  <c r="H38" i="26" s="1"/>
  <c r="I38" i="26" s="1"/>
  <c r="J37" i="26"/>
  <c r="F40" i="26"/>
  <c r="J36" i="25"/>
  <c r="G37" i="25"/>
  <c r="H37" i="25" s="1"/>
  <c r="I37" i="25" s="1"/>
  <c r="F40" i="25"/>
  <c r="F38" i="24"/>
  <c r="J35" i="24"/>
  <c r="G36" i="24"/>
  <c r="H36" i="24" s="1"/>
  <c r="I36" i="24" s="1"/>
  <c r="F35" i="23"/>
  <c r="J32" i="23"/>
  <c r="G33" i="23"/>
  <c r="H33" i="23" s="1"/>
  <c r="I33" i="23" s="1"/>
  <c r="G29" i="22"/>
  <c r="H29" i="22" s="1"/>
  <c r="I29" i="22" s="1"/>
  <c r="J28" i="22"/>
  <c r="F34" i="22"/>
  <c r="J30" i="21"/>
  <c r="G31" i="21"/>
  <c r="H31" i="21" s="1"/>
  <c r="I31" i="21" s="1"/>
  <c r="F33" i="21"/>
  <c r="F32" i="20"/>
  <c r="J29" i="20"/>
  <c r="G30" i="20"/>
  <c r="H30" i="20" s="1"/>
  <c r="I30" i="20" s="1"/>
  <c r="F31" i="19"/>
  <c r="J28" i="19"/>
  <c r="G29" i="19"/>
  <c r="H29" i="19" s="1"/>
  <c r="I29" i="19" s="1"/>
  <c r="G28" i="18"/>
  <c r="H28" i="18" s="1"/>
  <c r="I28" i="18" s="1"/>
  <c r="J27" i="18"/>
  <c r="F56" i="18"/>
  <c r="G18" i="17"/>
  <c r="F18" i="17"/>
  <c r="E18" i="17"/>
  <c r="C19" i="17"/>
  <c r="I20" i="16"/>
  <c r="G21" i="16"/>
  <c r="H21" i="16" s="1"/>
  <c r="F27" i="16"/>
  <c r="H17" i="15"/>
  <c r="I17" i="15" s="1"/>
  <c r="F21" i="15"/>
  <c r="G39" i="26" l="1"/>
  <c r="H39" i="26" s="1"/>
  <c r="I39" i="26" s="1"/>
  <c r="J38" i="26"/>
  <c r="F41" i="26"/>
  <c r="F41" i="25"/>
  <c r="J37" i="25"/>
  <c r="G38" i="25"/>
  <c r="H38" i="25" s="1"/>
  <c r="I38" i="25" s="1"/>
  <c r="J36" i="24"/>
  <c r="G37" i="24"/>
  <c r="H37" i="24" s="1"/>
  <c r="I37" i="24" s="1"/>
  <c r="F39" i="24"/>
  <c r="J33" i="23"/>
  <c r="G34" i="23"/>
  <c r="H34" i="23" s="1"/>
  <c r="I34" i="23" s="1"/>
  <c r="F36" i="23"/>
  <c r="J29" i="22"/>
  <c r="G30" i="22"/>
  <c r="H30" i="22" s="1"/>
  <c r="I30" i="22" s="1"/>
  <c r="F35" i="22"/>
  <c r="J31" i="21"/>
  <c r="G32" i="21"/>
  <c r="H32" i="21" s="1"/>
  <c r="I32" i="21" s="1"/>
  <c r="F34" i="21"/>
  <c r="J30" i="20"/>
  <c r="G31" i="20"/>
  <c r="H31" i="20" s="1"/>
  <c r="I31" i="20" s="1"/>
  <c r="F33" i="20"/>
  <c r="J29" i="19"/>
  <c r="G30" i="19"/>
  <c r="H30" i="19" s="1"/>
  <c r="I30" i="19" s="1"/>
  <c r="F32" i="19"/>
  <c r="G29" i="18"/>
  <c r="H29" i="18" s="1"/>
  <c r="I29" i="18" s="1"/>
  <c r="J28" i="18"/>
  <c r="F57" i="18"/>
  <c r="E19" i="17"/>
  <c r="G19" i="17"/>
  <c r="F19" i="17"/>
  <c r="C20" i="17"/>
  <c r="I21" i="16"/>
  <c r="G22" i="16"/>
  <c r="H22" i="16" s="1"/>
  <c r="F28" i="16"/>
  <c r="G18" i="15"/>
  <c r="F22" i="15"/>
  <c r="F42" i="26" l="1"/>
  <c r="J39" i="26"/>
  <c r="G40" i="26"/>
  <c r="H40" i="26" s="1"/>
  <c r="I40" i="26" s="1"/>
  <c r="J38" i="25"/>
  <c r="G39" i="25"/>
  <c r="H39" i="25" s="1"/>
  <c r="I39" i="25" s="1"/>
  <c r="F42" i="25"/>
  <c r="J37" i="24"/>
  <c r="G38" i="24"/>
  <c r="H38" i="24" s="1"/>
  <c r="I38" i="24" s="1"/>
  <c r="F40" i="24"/>
  <c r="J34" i="23"/>
  <c r="G35" i="23"/>
  <c r="H35" i="23" s="1"/>
  <c r="I35" i="23" s="1"/>
  <c r="F37" i="23"/>
  <c r="G31" i="22"/>
  <c r="H31" i="22" s="1"/>
  <c r="I31" i="22" s="1"/>
  <c r="J30" i="22"/>
  <c r="F36" i="22"/>
  <c r="F35" i="21"/>
  <c r="J32" i="21"/>
  <c r="G33" i="21"/>
  <c r="H33" i="21" s="1"/>
  <c r="I33" i="21" s="1"/>
  <c r="J31" i="20"/>
  <c r="G32" i="20"/>
  <c r="H32" i="20" s="1"/>
  <c r="I32" i="20" s="1"/>
  <c r="F34" i="20"/>
  <c r="F33" i="19"/>
  <c r="J30" i="19"/>
  <c r="G31" i="19"/>
  <c r="H31" i="19" s="1"/>
  <c r="I31" i="19" s="1"/>
  <c r="G30" i="18"/>
  <c r="H30" i="18" s="1"/>
  <c r="I30" i="18" s="1"/>
  <c r="J29" i="18"/>
  <c r="F58" i="18"/>
  <c r="E20" i="17"/>
  <c r="G20" i="17"/>
  <c r="F20" i="17"/>
  <c r="C21" i="17"/>
  <c r="I22" i="16"/>
  <c r="G23" i="16"/>
  <c r="H23" i="16" s="1"/>
  <c r="F29" i="16"/>
  <c r="H18" i="15"/>
  <c r="F23" i="15"/>
  <c r="J40" i="26" l="1"/>
  <c r="G41" i="26"/>
  <c r="H41" i="26" s="1"/>
  <c r="I41" i="26" s="1"/>
  <c r="F43" i="26"/>
  <c r="F43" i="25"/>
  <c r="J39" i="25"/>
  <c r="G40" i="25"/>
  <c r="H40" i="25" s="1"/>
  <c r="I40" i="25" s="1"/>
  <c r="F41" i="24"/>
  <c r="J38" i="24"/>
  <c r="G39" i="24"/>
  <c r="H39" i="24" s="1"/>
  <c r="I39" i="24" s="1"/>
  <c r="J35" i="23"/>
  <c r="G36" i="23"/>
  <c r="H36" i="23" s="1"/>
  <c r="I36" i="23" s="1"/>
  <c r="F38" i="23"/>
  <c r="G32" i="22"/>
  <c r="H32" i="22" s="1"/>
  <c r="I32" i="22" s="1"/>
  <c r="J31" i="22"/>
  <c r="F37" i="22"/>
  <c r="J33" i="21"/>
  <c r="G34" i="21"/>
  <c r="H34" i="21" s="1"/>
  <c r="I34" i="21" s="1"/>
  <c r="F36" i="21"/>
  <c r="F35" i="20"/>
  <c r="J32" i="20"/>
  <c r="G33" i="20"/>
  <c r="H33" i="20" s="1"/>
  <c r="I33" i="20" s="1"/>
  <c r="J31" i="19"/>
  <c r="G32" i="19"/>
  <c r="H32" i="19" s="1"/>
  <c r="I32" i="19" s="1"/>
  <c r="F34" i="19"/>
  <c r="G31" i="18"/>
  <c r="H31" i="18" s="1"/>
  <c r="I31" i="18" s="1"/>
  <c r="J30" i="18"/>
  <c r="F59" i="18"/>
  <c r="E21" i="17"/>
  <c r="G21" i="17"/>
  <c r="F21" i="17"/>
  <c r="C22" i="17"/>
  <c r="F22" i="17" s="1"/>
  <c r="I23" i="16"/>
  <c r="G24" i="16"/>
  <c r="H24" i="16" s="1"/>
  <c r="F30" i="16"/>
  <c r="G19" i="15"/>
  <c r="I18" i="15"/>
  <c r="F24" i="15"/>
  <c r="G42" i="26" l="1"/>
  <c r="H42" i="26" s="1"/>
  <c r="I42" i="26" s="1"/>
  <c r="J41" i="26"/>
  <c r="F44" i="26"/>
  <c r="J40" i="25"/>
  <c r="G41" i="25"/>
  <c r="H41" i="25" s="1"/>
  <c r="I41" i="25" s="1"/>
  <c r="F44" i="25"/>
  <c r="J39" i="24"/>
  <c r="G40" i="24"/>
  <c r="H40" i="24" s="1"/>
  <c r="I40" i="24" s="1"/>
  <c r="F42" i="24"/>
  <c r="F39" i="23"/>
  <c r="J36" i="23"/>
  <c r="G37" i="23"/>
  <c r="H37" i="23" s="1"/>
  <c r="I37" i="23" s="1"/>
  <c r="G33" i="22"/>
  <c r="H33" i="22" s="1"/>
  <c r="I33" i="22" s="1"/>
  <c r="J32" i="22"/>
  <c r="F38" i="22"/>
  <c r="F37" i="21"/>
  <c r="J34" i="21"/>
  <c r="G35" i="21"/>
  <c r="H35" i="21" s="1"/>
  <c r="I35" i="21" s="1"/>
  <c r="J33" i="20"/>
  <c r="G34" i="20"/>
  <c r="H34" i="20" s="1"/>
  <c r="I34" i="20" s="1"/>
  <c r="F36" i="20"/>
  <c r="F35" i="19"/>
  <c r="J32" i="19"/>
  <c r="G33" i="19"/>
  <c r="H33" i="19" s="1"/>
  <c r="I33" i="19" s="1"/>
  <c r="G32" i="18"/>
  <c r="H32" i="18" s="1"/>
  <c r="I32" i="18" s="1"/>
  <c r="J31" i="18"/>
  <c r="F60" i="18"/>
  <c r="E22" i="17"/>
  <c r="G22" i="17"/>
  <c r="C23" i="17"/>
  <c r="G23" i="17" s="1"/>
  <c r="I24" i="16"/>
  <c r="G25" i="16"/>
  <c r="H25" i="16" s="1"/>
  <c r="F31" i="16"/>
  <c r="H19" i="15"/>
  <c r="F25" i="15"/>
  <c r="B17" i="14"/>
  <c r="D17" i="14" s="1"/>
  <c r="C17" i="14"/>
  <c r="E17" i="14" s="1"/>
  <c r="B18" i="14"/>
  <c r="D18" i="14" s="1"/>
  <c r="C18" i="14"/>
  <c r="E18" i="14" s="1"/>
  <c r="B19" i="14"/>
  <c r="D19" i="14" s="1"/>
  <c r="C19" i="14"/>
  <c r="E19" i="14" s="1"/>
  <c r="B20" i="14"/>
  <c r="D20" i="14" s="1"/>
  <c r="C20" i="14"/>
  <c r="E20" i="14" s="1"/>
  <c r="B21" i="14"/>
  <c r="D21" i="14" s="1"/>
  <c r="C21" i="14"/>
  <c r="E21" i="14" s="1"/>
  <c r="B22" i="14"/>
  <c r="D22" i="14" s="1"/>
  <c r="C22" i="14"/>
  <c r="E22" i="14" s="1"/>
  <c r="B23" i="14"/>
  <c r="D23" i="14" s="1"/>
  <c r="C23" i="14"/>
  <c r="E23" i="14" s="1"/>
  <c r="B24" i="14"/>
  <c r="D24" i="14" s="1"/>
  <c r="C24" i="14"/>
  <c r="E24" i="14" s="1"/>
  <c r="B25" i="14"/>
  <c r="D25" i="14" s="1"/>
  <c r="C25" i="14"/>
  <c r="E25" i="14" s="1"/>
  <c r="B26" i="14"/>
  <c r="D26" i="14" s="1"/>
  <c r="C26" i="14"/>
  <c r="E26" i="14" s="1"/>
  <c r="B27" i="14"/>
  <c r="D27" i="14" s="1"/>
  <c r="C27" i="14"/>
  <c r="E27" i="14" s="1"/>
  <c r="B28" i="14"/>
  <c r="D28" i="14" s="1"/>
  <c r="C28" i="14"/>
  <c r="E28" i="14" s="1"/>
  <c r="B29" i="14"/>
  <c r="D29" i="14" s="1"/>
  <c r="C29" i="14"/>
  <c r="E29" i="14" s="1"/>
  <c r="B30" i="14"/>
  <c r="D30" i="14" s="1"/>
  <c r="C30" i="14"/>
  <c r="E30" i="14" s="1"/>
  <c r="B31" i="14"/>
  <c r="D31" i="14" s="1"/>
  <c r="C31" i="14"/>
  <c r="E31" i="14" s="1"/>
  <c r="B32" i="14"/>
  <c r="D32" i="14" s="1"/>
  <c r="C32" i="14"/>
  <c r="E32" i="14" s="1"/>
  <c r="B33" i="14"/>
  <c r="D33" i="14" s="1"/>
  <c r="C33" i="14"/>
  <c r="E33" i="14" s="1"/>
  <c r="B34" i="14"/>
  <c r="D34" i="14" s="1"/>
  <c r="C34" i="14"/>
  <c r="E34" i="14" s="1"/>
  <c r="B35" i="14"/>
  <c r="D35" i="14" s="1"/>
  <c r="C35" i="14"/>
  <c r="E35" i="14" s="1"/>
  <c r="C16" i="14"/>
  <c r="E16" i="14" s="1"/>
  <c r="B16" i="14"/>
  <c r="D16" i="14" s="1"/>
  <c r="F16" i="14" s="1"/>
  <c r="F13" i="14"/>
  <c r="F12" i="14"/>
  <c r="G43" i="26" l="1"/>
  <c r="H43" i="26" s="1"/>
  <c r="I43" i="26" s="1"/>
  <c r="J42" i="26"/>
  <c r="F45" i="26"/>
  <c r="F45" i="25"/>
  <c r="J41" i="25"/>
  <c r="G42" i="25"/>
  <c r="H42" i="25" s="1"/>
  <c r="I42" i="25" s="1"/>
  <c r="F43" i="24"/>
  <c r="G41" i="24"/>
  <c r="H41" i="24" s="1"/>
  <c r="I41" i="24" s="1"/>
  <c r="J40" i="24"/>
  <c r="J37" i="23"/>
  <c r="G38" i="23"/>
  <c r="H38" i="23" s="1"/>
  <c r="I38" i="23" s="1"/>
  <c r="F40" i="23"/>
  <c r="J33" i="22"/>
  <c r="G34" i="22"/>
  <c r="H34" i="22" s="1"/>
  <c r="I34" i="22" s="1"/>
  <c r="F39" i="22"/>
  <c r="J35" i="21"/>
  <c r="G36" i="21"/>
  <c r="H36" i="21" s="1"/>
  <c r="I36" i="21" s="1"/>
  <c r="F38" i="21"/>
  <c r="F37" i="20"/>
  <c r="J34" i="20"/>
  <c r="G35" i="20"/>
  <c r="H35" i="20" s="1"/>
  <c r="I35" i="20" s="1"/>
  <c r="J33" i="19"/>
  <c r="G34" i="19"/>
  <c r="H34" i="19" s="1"/>
  <c r="I34" i="19" s="1"/>
  <c r="F36" i="19"/>
  <c r="G33" i="18"/>
  <c r="H33" i="18" s="1"/>
  <c r="I33" i="18" s="1"/>
  <c r="J32" i="18"/>
  <c r="F61" i="18"/>
  <c r="F23" i="17"/>
  <c r="C24" i="17"/>
  <c r="E23" i="17"/>
  <c r="I25" i="16"/>
  <c r="G26" i="16"/>
  <c r="H26" i="16" s="1"/>
  <c r="F32" i="16"/>
  <c r="I19" i="15"/>
  <c r="G20" i="15"/>
  <c r="F26" i="15"/>
  <c r="E36" i="14"/>
  <c r="E37" i="14" s="1"/>
  <c r="D36" i="14"/>
  <c r="D37" i="14" s="1"/>
  <c r="F17" i="14"/>
  <c r="F18" i="14" s="1"/>
  <c r="H16" i="14"/>
  <c r="I16" i="14" s="1"/>
  <c r="E13" i="13"/>
  <c r="E12" i="13"/>
  <c r="B17" i="13"/>
  <c r="D17" i="13" s="1"/>
  <c r="C17" i="13"/>
  <c r="E17" i="13" s="1"/>
  <c r="B18" i="13"/>
  <c r="D18" i="13" s="1"/>
  <c r="C18" i="13"/>
  <c r="E18" i="13" s="1"/>
  <c r="B19" i="13"/>
  <c r="D19" i="13" s="1"/>
  <c r="C19" i="13"/>
  <c r="E19" i="13" s="1"/>
  <c r="B20" i="13"/>
  <c r="D20" i="13" s="1"/>
  <c r="C20" i="13"/>
  <c r="E20" i="13" s="1"/>
  <c r="B21" i="13"/>
  <c r="D21" i="13" s="1"/>
  <c r="C21" i="13"/>
  <c r="E21" i="13" s="1"/>
  <c r="B22" i="13"/>
  <c r="D22" i="13" s="1"/>
  <c r="C22" i="13"/>
  <c r="E22" i="13" s="1"/>
  <c r="B23" i="13"/>
  <c r="D23" i="13" s="1"/>
  <c r="C23" i="13"/>
  <c r="E23" i="13" s="1"/>
  <c r="B24" i="13"/>
  <c r="D24" i="13" s="1"/>
  <c r="C24" i="13"/>
  <c r="E24" i="13" s="1"/>
  <c r="B25" i="13"/>
  <c r="D25" i="13" s="1"/>
  <c r="C25" i="13"/>
  <c r="E25" i="13" s="1"/>
  <c r="B26" i="13"/>
  <c r="D26" i="13" s="1"/>
  <c r="C26" i="13"/>
  <c r="E26" i="13" s="1"/>
  <c r="B27" i="13"/>
  <c r="D27" i="13" s="1"/>
  <c r="C27" i="13"/>
  <c r="E27" i="13" s="1"/>
  <c r="B28" i="13"/>
  <c r="D28" i="13" s="1"/>
  <c r="C28" i="13"/>
  <c r="E28" i="13" s="1"/>
  <c r="B29" i="13"/>
  <c r="D29" i="13" s="1"/>
  <c r="C29" i="13"/>
  <c r="E29" i="13" s="1"/>
  <c r="B30" i="13"/>
  <c r="D30" i="13" s="1"/>
  <c r="C30" i="13"/>
  <c r="E30" i="13" s="1"/>
  <c r="B31" i="13"/>
  <c r="D31" i="13" s="1"/>
  <c r="C31" i="13"/>
  <c r="E31" i="13" s="1"/>
  <c r="B32" i="13"/>
  <c r="D32" i="13" s="1"/>
  <c r="C32" i="13"/>
  <c r="E32" i="13" s="1"/>
  <c r="B33" i="13"/>
  <c r="D33" i="13" s="1"/>
  <c r="C33" i="13"/>
  <c r="E33" i="13" s="1"/>
  <c r="B34" i="13"/>
  <c r="D34" i="13" s="1"/>
  <c r="C34" i="13"/>
  <c r="E34" i="13" s="1"/>
  <c r="B35" i="13"/>
  <c r="D35" i="13" s="1"/>
  <c r="C35" i="13"/>
  <c r="E35" i="13" s="1"/>
  <c r="C16" i="13"/>
  <c r="E16" i="13" s="1"/>
  <c r="B16" i="13"/>
  <c r="D16" i="13" s="1"/>
  <c r="F16" i="13" s="1"/>
  <c r="J43" i="26" l="1"/>
  <c r="G44" i="26"/>
  <c r="H44" i="26" s="1"/>
  <c r="I44" i="26" s="1"/>
  <c r="F46" i="26"/>
  <c r="J42" i="25"/>
  <c r="G43" i="25"/>
  <c r="H43" i="25" s="1"/>
  <c r="I43" i="25" s="1"/>
  <c r="F46" i="25"/>
  <c r="J41" i="24"/>
  <c r="G42" i="24"/>
  <c r="H42" i="24" s="1"/>
  <c r="I42" i="24" s="1"/>
  <c r="F44" i="24"/>
  <c r="F41" i="23"/>
  <c r="J38" i="23"/>
  <c r="G39" i="23"/>
  <c r="H39" i="23" s="1"/>
  <c r="I39" i="23" s="1"/>
  <c r="G35" i="22"/>
  <c r="H35" i="22" s="1"/>
  <c r="I35" i="22" s="1"/>
  <c r="J34" i="22"/>
  <c r="F40" i="22"/>
  <c r="F39" i="21"/>
  <c r="J36" i="21"/>
  <c r="G37" i="21"/>
  <c r="H37" i="21" s="1"/>
  <c r="I37" i="21" s="1"/>
  <c r="J35" i="20"/>
  <c r="G36" i="20"/>
  <c r="H36" i="20" s="1"/>
  <c r="I36" i="20" s="1"/>
  <c r="F38" i="20"/>
  <c r="F37" i="19"/>
  <c r="J34" i="19"/>
  <c r="G35" i="19"/>
  <c r="H35" i="19" s="1"/>
  <c r="I35" i="19" s="1"/>
  <c r="G34" i="18"/>
  <c r="H34" i="18" s="1"/>
  <c r="I34" i="18" s="1"/>
  <c r="J33" i="18"/>
  <c r="F62" i="18"/>
  <c r="F24" i="17"/>
  <c r="G24" i="17"/>
  <c r="E24" i="17"/>
  <c r="C25" i="17"/>
  <c r="I26" i="16"/>
  <c r="G27" i="16"/>
  <c r="H27" i="16" s="1"/>
  <c r="F33" i="16"/>
  <c r="H20" i="15"/>
  <c r="F27" i="15"/>
  <c r="F19" i="14"/>
  <c r="G17" i="14"/>
  <c r="E36" i="13"/>
  <c r="E37" i="13" s="1"/>
  <c r="D36" i="13"/>
  <c r="D37" i="13" s="1"/>
  <c r="H16" i="13"/>
  <c r="I16" i="13" s="1"/>
  <c r="F17" i="13"/>
  <c r="F18" i="13" s="1"/>
  <c r="K18" i="3"/>
  <c r="K17" i="3"/>
  <c r="B8" i="12"/>
  <c r="D8" i="12" s="1"/>
  <c r="C8" i="12"/>
  <c r="E8" i="12" s="1"/>
  <c r="B9" i="12"/>
  <c r="D9" i="12" s="1"/>
  <c r="C9" i="12"/>
  <c r="E9" i="12" s="1"/>
  <c r="B10" i="12"/>
  <c r="D10" i="12" s="1"/>
  <c r="C10" i="12"/>
  <c r="E10" i="12" s="1"/>
  <c r="B11" i="12"/>
  <c r="D11" i="12" s="1"/>
  <c r="C11" i="12"/>
  <c r="E11" i="12" s="1"/>
  <c r="B12" i="12"/>
  <c r="D12" i="12" s="1"/>
  <c r="C12" i="12"/>
  <c r="E12" i="12" s="1"/>
  <c r="B13" i="12"/>
  <c r="D13" i="12" s="1"/>
  <c r="C13" i="12"/>
  <c r="E13" i="12" s="1"/>
  <c r="B14" i="12"/>
  <c r="D14" i="12" s="1"/>
  <c r="C14" i="12"/>
  <c r="E14" i="12" s="1"/>
  <c r="B15" i="12"/>
  <c r="D15" i="12" s="1"/>
  <c r="C15" i="12"/>
  <c r="E15" i="12" s="1"/>
  <c r="B16" i="12"/>
  <c r="D16" i="12" s="1"/>
  <c r="C16" i="12"/>
  <c r="E16" i="12" s="1"/>
  <c r="B17" i="12"/>
  <c r="D17" i="12" s="1"/>
  <c r="C17" i="12"/>
  <c r="E17" i="12" s="1"/>
  <c r="B18" i="12"/>
  <c r="D18" i="12" s="1"/>
  <c r="C18" i="12"/>
  <c r="E18" i="12" s="1"/>
  <c r="B19" i="12"/>
  <c r="D19" i="12" s="1"/>
  <c r="C19" i="12"/>
  <c r="E19" i="12" s="1"/>
  <c r="B20" i="12"/>
  <c r="D20" i="12" s="1"/>
  <c r="C20" i="12"/>
  <c r="E20" i="12" s="1"/>
  <c r="B21" i="12"/>
  <c r="D21" i="12" s="1"/>
  <c r="C21" i="12"/>
  <c r="E21" i="12" s="1"/>
  <c r="B22" i="12"/>
  <c r="D22" i="12" s="1"/>
  <c r="C22" i="12"/>
  <c r="E22" i="12" s="1"/>
  <c r="B23" i="12"/>
  <c r="D23" i="12" s="1"/>
  <c r="C23" i="12"/>
  <c r="E23" i="12" s="1"/>
  <c r="B24" i="12"/>
  <c r="D24" i="12" s="1"/>
  <c r="C24" i="12"/>
  <c r="E24" i="12" s="1"/>
  <c r="B25" i="12"/>
  <c r="D25" i="12" s="1"/>
  <c r="C25" i="12"/>
  <c r="E25" i="12" s="1"/>
  <c r="B26" i="12"/>
  <c r="D26" i="12" s="1"/>
  <c r="C26" i="12"/>
  <c r="E26" i="12" s="1"/>
  <c r="C7" i="12"/>
  <c r="E7" i="12" s="1"/>
  <c r="B7" i="12"/>
  <c r="D7" i="12" s="1"/>
  <c r="F7" i="12" s="1"/>
  <c r="E38" i="11"/>
  <c r="M36" i="11"/>
  <c r="M37" i="11"/>
  <c r="M38" i="11" s="1"/>
  <c r="M34" i="11"/>
  <c r="M33" i="11"/>
  <c r="E39" i="11" s="1"/>
  <c r="F38" i="11" l="1"/>
  <c r="F33" i="11"/>
  <c r="F36" i="11"/>
  <c r="F37" i="11"/>
  <c r="F39" i="11"/>
  <c r="F34" i="11"/>
  <c r="F35" i="11"/>
  <c r="E37" i="11"/>
  <c r="E35" i="11"/>
  <c r="E33" i="11"/>
  <c r="E36" i="11"/>
  <c r="E34" i="11"/>
  <c r="J44" i="26"/>
  <c r="G45" i="26"/>
  <c r="H45" i="26" s="1"/>
  <c r="I45" i="26" s="1"/>
  <c r="F47" i="26"/>
  <c r="F47" i="25"/>
  <c r="J43" i="25"/>
  <c r="G44" i="25"/>
  <c r="H44" i="25" s="1"/>
  <c r="I44" i="25" s="1"/>
  <c r="F45" i="24"/>
  <c r="J42" i="24"/>
  <c r="G43" i="24"/>
  <c r="H43" i="24" s="1"/>
  <c r="I43" i="24" s="1"/>
  <c r="J39" i="23"/>
  <c r="G40" i="23"/>
  <c r="H40" i="23" s="1"/>
  <c r="I40" i="23" s="1"/>
  <c r="F42" i="23"/>
  <c r="G36" i="22"/>
  <c r="H36" i="22" s="1"/>
  <c r="I36" i="22" s="1"/>
  <c r="J35" i="22"/>
  <c r="F41" i="22"/>
  <c r="J37" i="21"/>
  <c r="G38" i="21"/>
  <c r="H38" i="21" s="1"/>
  <c r="I38" i="21" s="1"/>
  <c r="F40" i="21"/>
  <c r="F39" i="20"/>
  <c r="J36" i="20"/>
  <c r="G37" i="20"/>
  <c r="H37" i="20" s="1"/>
  <c r="I37" i="20" s="1"/>
  <c r="J35" i="19"/>
  <c r="G36" i="19"/>
  <c r="H36" i="19" s="1"/>
  <c r="I36" i="19" s="1"/>
  <c r="F38" i="19"/>
  <c r="G35" i="18"/>
  <c r="H35" i="18" s="1"/>
  <c r="I35" i="18" s="1"/>
  <c r="J34" i="18"/>
  <c r="F63" i="18"/>
  <c r="E25" i="17"/>
  <c r="G25" i="17"/>
  <c r="F25" i="17"/>
  <c r="C26" i="17"/>
  <c r="I27" i="16"/>
  <c r="G28" i="16"/>
  <c r="H28" i="16" s="1"/>
  <c r="F34" i="16"/>
  <c r="F35" i="16" s="1"/>
  <c r="I20" i="15"/>
  <c r="G21" i="15"/>
  <c r="H21" i="15" s="1"/>
  <c r="F28" i="15"/>
  <c r="H17" i="14"/>
  <c r="I17" i="14" s="1"/>
  <c r="F20" i="14"/>
  <c r="F19" i="13"/>
  <c r="G17" i="13"/>
  <c r="E27" i="12"/>
  <c r="E28" i="12" s="1"/>
  <c r="D27" i="12"/>
  <c r="D28" i="12" s="1"/>
  <c r="F8" i="12"/>
  <c r="F9" i="12" s="1"/>
  <c r="H7" i="12"/>
  <c r="I7" i="12" s="1"/>
  <c r="B9" i="11"/>
  <c r="C9" i="11"/>
  <c r="E9" i="11" s="1"/>
  <c r="B10" i="11"/>
  <c r="C10" i="11"/>
  <c r="E10" i="11" s="1"/>
  <c r="B11" i="11"/>
  <c r="C11" i="11"/>
  <c r="E11" i="11" s="1"/>
  <c r="B12" i="11"/>
  <c r="C12" i="11"/>
  <c r="E12" i="11" s="1"/>
  <c r="B13" i="11"/>
  <c r="C13" i="11"/>
  <c r="E13" i="11" s="1"/>
  <c r="B14" i="11"/>
  <c r="C14" i="11"/>
  <c r="E14" i="11" s="1"/>
  <c r="B15" i="11"/>
  <c r="C15" i="11"/>
  <c r="E15" i="11" s="1"/>
  <c r="B16" i="11"/>
  <c r="C16" i="11"/>
  <c r="E16" i="11" s="1"/>
  <c r="B17" i="11"/>
  <c r="C17" i="11"/>
  <c r="E17" i="11" s="1"/>
  <c r="B18" i="11"/>
  <c r="C18" i="11"/>
  <c r="E18" i="11" s="1"/>
  <c r="B19" i="11"/>
  <c r="C19" i="11"/>
  <c r="E19" i="11" s="1"/>
  <c r="B20" i="11"/>
  <c r="C20" i="11"/>
  <c r="E20" i="11" s="1"/>
  <c r="B21" i="11"/>
  <c r="C21" i="11"/>
  <c r="E21" i="11" s="1"/>
  <c r="B22" i="11"/>
  <c r="C22" i="11"/>
  <c r="E22" i="11" s="1"/>
  <c r="B23" i="11"/>
  <c r="C23" i="11"/>
  <c r="E23" i="11" s="1"/>
  <c r="B24" i="11"/>
  <c r="C24" i="11"/>
  <c r="E24" i="11" s="1"/>
  <c r="B25" i="11"/>
  <c r="C25" i="11"/>
  <c r="E25" i="11" s="1"/>
  <c r="B26" i="11"/>
  <c r="C26" i="11"/>
  <c r="D26" i="11" s="1"/>
  <c r="B8" i="11"/>
  <c r="C8" i="11"/>
  <c r="E8" i="11" s="1"/>
  <c r="C7" i="11"/>
  <c r="E7" i="11" s="1"/>
  <c r="B7" i="11"/>
  <c r="G46" i="26" l="1"/>
  <c r="H46" i="26" s="1"/>
  <c r="I46" i="26" s="1"/>
  <c r="J45" i="26"/>
  <c r="F48" i="26"/>
  <c r="J44" i="25"/>
  <c r="G45" i="25"/>
  <c r="H45" i="25" s="1"/>
  <c r="I45" i="25" s="1"/>
  <c r="F48" i="25"/>
  <c r="J43" i="24"/>
  <c r="G44" i="24"/>
  <c r="H44" i="24" s="1"/>
  <c r="I44" i="24" s="1"/>
  <c r="F46" i="24"/>
  <c r="F43" i="23"/>
  <c r="J40" i="23"/>
  <c r="G41" i="23"/>
  <c r="H41" i="23" s="1"/>
  <c r="I41" i="23" s="1"/>
  <c r="J36" i="22"/>
  <c r="G37" i="22"/>
  <c r="H37" i="22" s="1"/>
  <c r="I37" i="22" s="1"/>
  <c r="F42" i="22"/>
  <c r="F41" i="21"/>
  <c r="J38" i="21"/>
  <c r="G39" i="21"/>
  <c r="H39" i="21" s="1"/>
  <c r="I39" i="21" s="1"/>
  <c r="J37" i="20"/>
  <c r="G38" i="20"/>
  <c r="H38" i="20" s="1"/>
  <c r="I38" i="20" s="1"/>
  <c r="F40" i="20"/>
  <c r="F39" i="19"/>
  <c r="J36" i="19"/>
  <c r="G37" i="19"/>
  <c r="H37" i="19" s="1"/>
  <c r="I37" i="19" s="1"/>
  <c r="G36" i="18"/>
  <c r="H36" i="18" s="1"/>
  <c r="I36" i="18" s="1"/>
  <c r="J35" i="18"/>
  <c r="F64" i="18"/>
  <c r="F26" i="17"/>
  <c r="G26" i="17"/>
  <c r="E26" i="17"/>
  <c r="C27" i="17"/>
  <c r="I28" i="16"/>
  <c r="G29" i="16"/>
  <c r="H29" i="16" s="1"/>
  <c r="G22" i="15"/>
  <c r="H22" i="15" s="1"/>
  <c r="I21" i="15"/>
  <c r="F29" i="15"/>
  <c r="G18" i="14"/>
  <c r="H18" i="14" s="1"/>
  <c r="I18" i="14" s="1"/>
  <c r="F21" i="14"/>
  <c r="H17" i="13"/>
  <c r="I17" i="13" s="1"/>
  <c r="F20" i="13"/>
  <c r="F10" i="12"/>
  <c r="G8" i="12"/>
  <c r="D25" i="11"/>
  <c r="D24" i="11"/>
  <c r="D23" i="11"/>
  <c r="D22" i="11"/>
  <c r="D21" i="11"/>
  <c r="D20" i="11"/>
  <c r="D19" i="11"/>
  <c r="D18" i="11"/>
  <c r="D17" i="11"/>
  <c r="D16" i="11"/>
  <c r="D15" i="11"/>
  <c r="D14" i="11"/>
  <c r="D13" i="11"/>
  <c r="D12" i="11"/>
  <c r="D11" i="11"/>
  <c r="D10" i="11"/>
  <c r="D9" i="11"/>
  <c r="D8" i="11"/>
  <c r="E26" i="11"/>
  <c r="E27" i="11" s="1"/>
  <c r="E28" i="11" s="1"/>
  <c r="D7" i="11"/>
  <c r="G47" i="26" l="1"/>
  <c r="H47" i="26" s="1"/>
  <c r="I47" i="26" s="1"/>
  <c r="J46" i="26"/>
  <c r="F49" i="26"/>
  <c r="F49" i="25"/>
  <c r="J45" i="25"/>
  <c r="G46" i="25"/>
  <c r="H46" i="25" s="1"/>
  <c r="I46" i="25" s="1"/>
  <c r="F47" i="24"/>
  <c r="G45" i="24"/>
  <c r="H45" i="24" s="1"/>
  <c r="I45" i="24" s="1"/>
  <c r="J44" i="24"/>
  <c r="J41" i="23"/>
  <c r="G42" i="23"/>
  <c r="H42" i="23" s="1"/>
  <c r="I42" i="23" s="1"/>
  <c r="F44" i="23"/>
  <c r="J37" i="22"/>
  <c r="G38" i="22"/>
  <c r="H38" i="22" s="1"/>
  <c r="I38" i="22" s="1"/>
  <c r="F43" i="22"/>
  <c r="J39" i="21"/>
  <c r="G40" i="21"/>
  <c r="H40" i="21" s="1"/>
  <c r="I40" i="21" s="1"/>
  <c r="F42" i="21"/>
  <c r="F41" i="20"/>
  <c r="J38" i="20"/>
  <c r="G39" i="20"/>
  <c r="H39" i="20" s="1"/>
  <c r="I39" i="20" s="1"/>
  <c r="J37" i="19"/>
  <c r="G38" i="19"/>
  <c r="H38" i="19" s="1"/>
  <c r="I38" i="19" s="1"/>
  <c r="F40" i="19"/>
  <c r="G37" i="18"/>
  <c r="H37" i="18" s="1"/>
  <c r="I37" i="18" s="1"/>
  <c r="J36" i="18"/>
  <c r="F27" i="17"/>
  <c r="G27" i="17"/>
  <c r="C28" i="17"/>
  <c r="E27" i="17"/>
  <c r="I29" i="16"/>
  <c r="G30" i="16"/>
  <c r="H30" i="16" s="1"/>
  <c r="G23" i="15"/>
  <c r="H23" i="15" s="1"/>
  <c r="I22" i="15"/>
  <c r="F30" i="15"/>
  <c r="G19" i="14"/>
  <c r="H19" i="14" s="1"/>
  <c r="I19" i="14" s="1"/>
  <c r="F22" i="14"/>
  <c r="G18" i="13"/>
  <c r="H18" i="13" s="1"/>
  <c r="I18" i="13" s="1"/>
  <c r="F21" i="13"/>
  <c r="H8" i="12"/>
  <c r="I8" i="12" s="1"/>
  <c r="F11" i="12"/>
  <c r="D27" i="11"/>
  <c r="D28" i="11" s="1"/>
  <c r="F7" i="11"/>
  <c r="F8" i="11" s="1"/>
  <c r="F9" i="11" s="1"/>
  <c r="J47" i="26" l="1"/>
  <c r="G48" i="26"/>
  <c r="H48" i="26" s="1"/>
  <c r="I48" i="26" s="1"/>
  <c r="F50" i="26"/>
  <c r="J46" i="25"/>
  <c r="G47" i="25"/>
  <c r="H47" i="25" s="1"/>
  <c r="I47" i="25" s="1"/>
  <c r="F50" i="25"/>
  <c r="J45" i="24"/>
  <c r="G46" i="24"/>
  <c r="H46" i="24" s="1"/>
  <c r="I46" i="24" s="1"/>
  <c r="F48" i="24"/>
  <c r="F45" i="23"/>
  <c r="J42" i="23"/>
  <c r="G43" i="23"/>
  <c r="H43" i="23" s="1"/>
  <c r="I43" i="23" s="1"/>
  <c r="G39" i="22"/>
  <c r="H39" i="22" s="1"/>
  <c r="I39" i="22" s="1"/>
  <c r="J38" i="22"/>
  <c r="F44" i="22"/>
  <c r="J40" i="21"/>
  <c r="G41" i="21"/>
  <c r="H41" i="21" s="1"/>
  <c r="I41" i="21" s="1"/>
  <c r="F43" i="21"/>
  <c r="G40" i="20"/>
  <c r="H40" i="20" s="1"/>
  <c r="I40" i="20" s="1"/>
  <c r="J39" i="20"/>
  <c r="F42" i="20"/>
  <c r="J38" i="19"/>
  <c r="G39" i="19"/>
  <c r="H39" i="19" s="1"/>
  <c r="I39" i="19" s="1"/>
  <c r="F41" i="19"/>
  <c r="G38" i="18"/>
  <c r="H38" i="18" s="1"/>
  <c r="I38" i="18" s="1"/>
  <c r="J37" i="18"/>
  <c r="F28" i="17"/>
  <c r="G28" i="17"/>
  <c r="E28" i="17"/>
  <c r="C29" i="17"/>
  <c r="G29" i="17" s="1"/>
  <c r="I30" i="16"/>
  <c r="G31" i="16"/>
  <c r="H31" i="16" s="1"/>
  <c r="G24" i="15"/>
  <c r="H24" i="15" s="1"/>
  <c r="I23" i="15"/>
  <c r="F31" i="15"/>
  <c r="G20" i="14"/>
  <c r="F23" i="14"/>
  <c r="G19" i="13"/>
  <c r="H19" i="13" s="1"/>
  <c r="I19" i="13" s="1"/>
  <c r="F22" i="13"/>
  <c r="G9" i="12"/>
  <c r="H9" i="12" s="1"/>
  <c r="I9" i="12" s="1"/>
  <c r="F12" i="12"/>
  <c r="H7" i="11"/>
  <c r="I7" i="11" s="1"/>
  <c r="F10" i="11"/>
  <c r="J48" i="26" l="1"/>
  <c r="G49" i="26"/>
  <c r="H49" i="26" s="1"/>
  <c r="I49" i="26" s="1"/>
  <c r="F51" i="26"/>
  <c r="F51" i="25"/>
  <c r="J47" i="25"/>
  <c r="G48" i="25"/>
  <c r="H48" i="25" s="1"/>
  <c r="I48" i="25" s="1"/>
  <c r="F49" i="24"/>
  <c r="J46" i="24"/>
  <c r="G47" i="24"/>
  <c r="H47" i="24" s="1"/>
  <c r="I47" i="24" s="1"/>
  <c r="J43" i="23"/>
  <c r="G44" i="23"/>
  <c r="H44" i="23" s="1"/>
  <c r="I44" i="23" s="1"/>
  <c r="F46" i="23"/>
  <c r="J39" i="22"/>
  <c r="G40" i="22"/>
  <c r="H40" i="22" s="1"/>
  <c r="I40" i="22" s="1"/>
  <c r="F45" i="22"/>
  <c r="F44" i="21"/>
  <c r="J41" i="21"/>
  <c r="G42" i="21"/>
  <c r="H42" i="21" s="1"/>
  <c r="I42" i="21" s="1"/>
  <c r="F43" i="20"/>
  <c r="J40" i="20"/>
  <c r="G41" i="20"/>
  <c r="H41" i="20" s="1"/>
  <c r="I41" i="20" s="1"/>
  <c r="F42" i="19"/>
  <c r="J39" i="19"/>
  <c r="G40" i="19"/>
  <c r="H40" i="19" s="1"/>
  <c r="I40" i="19" s="1"/>
  <c r="G39" i="18"/>
  <c r="H39" i="18" s="1"/>
  <c r="I39" i="18" s="1"/>
  <c r="J38" i="18"/>
  <c r="E29" i="17"/>
  <c r="F29" i="17"/>
  <c r="C30" i="17"/>
  <c r="G30" i="17" s="1"/>
  <c r="I31" i="16"/>
  <c r="G32" i="16"/>
  <c r="H32" i="16" s="1"/>
  <c r="G25" i="15"/>
  <c r="H25" i="15" s="1"/>
  <c r="I24" i="15"/>
  <c r="F32" i="15"/>
  <c r="H20" i="14"/>
  <c r="F24" i="14"/>
  <c r="G20" i="13"/>
  <c r="H20" i="13" s="1"/>
  <c r="I20" i="13" s="1"/>
  <c r="F23" i="13"/>
  <c r="G10" i="12"/>
  <c r="H10" i="12" s="1"/>
  <c r="I10" i="12" s="1"/>
  <c r="G8" i="11"/>
  <c r="H8" i="11" s="1"/>
  <c r="I8" i="11" s="1"/>
  <c r="F13" i="12"/>
  <c r="F11" i="11"/>
  <c r="G50" i="26" l="1"/>
  <c r="H50" i="26" s="1"/>
  <c r="I50" i="26" s="1"/>
  <c r="J49" i="26"/>
  <c r="F52" i="26"/>
  <c r="J48" i="25"/>
  <c r="G49" i="25"/>
  <c r="H49" i="25" s="1"/>
  <c r="I49" i="25" s="1"/>
  <c r="F52" i="25"/>
  <c r="J47" i="24"/>
  <c r="G48" i="24"/>
  <c r="H48" i="24" s="1"/>
  <c r="I48" i="24" s="1"/>
  <c r="F50" i="24"/>
  <c r="J44" i="23"/>
  <c r="G45" i="23"/>
  <c r="H45" i="23" s="1"/>
  <c r="I45" i="23" s="1"/>
  <c r="F47" i="23"/>
  <c r="G41" i="22"/>
  <c r="H41" i="22" s="1"/>
  <c r="I41" i="22" s="1"/>
  <c r="J40" i="22"/>
  <c r="F46" i="22"/>
  <c r="J42" i="21"/>
  <c r="G43" i="21"/>
  <c r="H43" i="21" s="1"/>
  <c r="I43" i="21" s="1"/>
  <c r="F45" i="21"/>
  <c r="J41" i="20"/>
  <c r="G42" i="20"/>
  <c r="H42" i="20" s="1"/>
  <c r="I42" i="20" s="1"/>
  <c r="F44" i="20"/>
  <c r="J40" i="19"/>
  <c r="G41" i="19"/>
  <c r="H41" i="19" s="1"/>
  <c r="I41" i="19" s="1"/>
  <c r="F43" i="19"/>
  <c r="G40" i="18"/>
  <c r="H40" i="18" s="1"/>
  <c r="I40" i="18" s="1"/>
  <c r="J39" i="18"/>
  <c r="E30" i="17"/>
  <c r="F30" i="17"/>
  <c r="I32" i="16"/>
  <c r="G33" i="16"/>
  <c r="H33" i="16" s="1"/>
  <c r="G26" i="15"/>
  <c r="H26" i="15" s="1"/>
  <c r="I25" i="15"/>
  <c r="F33" i="15"/>
  <c r="I20" i="14"/>
  <c r="G21" i="14"/>
  <c r="F25" i="14"/>
  <c r="G21" i="13"/>
  <c r="H21" i="13" s="1"/>
  <c r="I21" i="13" s="1"/>
  <c r="F24" i="13"/>
  <c r="G11" i="12"/>
  <c r="H11" i="12" s="1"/>
  <c r="I11" i="12" s="1"/>
  <c r="F14" i="12"/>
  <c r="G9" i="11"/>
  <c r="F12" i="11"/>
  <c r="G51" i="26" l="1"/>
  <c r="H51" i="26" s="1"/>
  <c r="I51" i="26" s="1"/>
  <c r="J50" i="26"/>
  <c r="F53" i="26"/>
  <c r="F53" i="25"/>
  <c r="J49" i="25"/>
  <c r="G50" i="25"/>
  <c r="H50" i="25" s="1"/>
  <c r="I50" i="25" s="1"/>
  <c r="F51" i="24"/>
  <c r="G49" i="24"/>
  <c r="H49" i="24" s="1"/>
  <c r="I49" i="24" s="1"/>
  <c r="J48" i="24"/>
  <c r="F48" i="23"/>
  <c r="J45" i="23"/>
  <c r="G46" i="23"/>
  <c r="H46" i="23" s="1"/>
  <c r="I46" i="23" s="1"/>
  <c r="J41" i="22"/>
  <c r="G42" i="22"/>
  <c r="H42" i="22" s="1"/>
  <c r="I42" i="22" s="1"/>
  <c r="F47" i="22"/>
  <c r="F46" i="21"/>
  <c r="G44" i="21"/>
  <c r="H44" i="21" s="1"/>
  <c r="I44" i="21" s="1"/>
  <c r="J43" i="21"/>
  <c r="J42" i="20"/>
  <c r="G43" i="20"/>
  <c r="H43" i="20" s="1"/>
  <c r="I43" i="20" s="1"/>
  <c r="F45" i="20"/>
  <c r="F44" i="19"/>
  <c r="G42" i="19"/>
  <c r="H42" i="19" s="1"/>
  <c r="I42" i="19" s="1"/>
  <c r="J41" i="19"/>
  <c r="G41" i="18"/>
  <c r="H41" i="18" s="1"/>
  <c r="I41" i="18" s="1"/>
  <c r="J40" i="18"/>
  <c r="I33" i="16"/>
  <c r="G34" i="16"/>
  <c r="H34" i="16" s="1"/>
  <c r="G27" i="15"/>
  <c r="H27" i="15" s="1"/>
  <c r="I26" i="15"/>
  <c r="F34" i="15"/>
  <c r="H21" i="14"/>
  <c r="F26" i="14"/>
  <c r="G22" i="13"/>
  <c r="H22" i="13" s="1"/>
  <c r="I22" i="13" s="1"/>
  <c r="F25" i="13"/>
  <c r="G12" i="12"/>
  <c r="H12" i="12" s="1"/>
  <c r="I12" i="12" s="1"/>
  <c r="F15" i="12"/>
  <c r="H9" i="11"/>
  <c r="F13" i="11"/>
  <c r="E63" i="10"/>
  <c r="M66" i="10"/>
  <c r="F64" i="10" s="1"/>
  <c r="M64" i="10"/>
  <c r="F65" i="10" s="1"/>
  <c r="M65" i="10"/>
  <c r="M62" i="10"/>
  <c r="M61" i="10"/>
  <c r="E65" i="10" s="1"/>
  <c r="D63" i="10"/>
  <c r="D64" i="10"/>
  <c r="D65" i="10"/>
  <c r="D66" i="10"/>
  <c r="D67" i="10"/>
  <c r="D68" i="10"/>
  <c r="D62" i="10"/>
  <c r="C63" i="10"/>
  <c r="C64" i="10"/>
  <c r="C65" i="10"/>
  <c r="C66" i="10"/>
  <c r="C67" i="10"/>
  <c r="C68" i="10"/>
  <c r="C62" i="10"/>
  <c r="D39" i="10"/>
  <c r="B39" i="10"/>
  <c r="B17" i="10"/>
  <c r="D17" i="10" s="1"/>
  <c r="C17" i="10"/>
  <c r="E17" i="10" s="1"/>
  <c r="B18" i="10"/>
  <c r="D18" i="10" s="1"/>
  <c r="C18" i="10"/>
  <c r="E18" i="10" s="1"/>
  <c r="B19" i="10"/>
  <c r="D19" i="10" s="1"/>
  <c r="C19" i="10"/>
  <c r="E19" i="10" s="1"/>
  <c r="B20" i="10"/>
  <c r="D20" i="10" s="1"/>
  <c r="C20" i="10"/>
  <c r="E20" i="10" s="1"/>
  <c r="B21" i="10"/>
  <c r="D21" i="10" s="1"/>
  <c r="C21" i="10"/>
  <c r="E21" i="10" s="1"/>
  <c r="B22" i="10"/>
  <c r="D22" i="10" s="1"/>
  <c r="C22" i="10"/>
  <c r="E22" i="10" s="1"/>
  <c r="B23" i="10"/>
  <c r="D23" i="10" s="1"/>
  <c r="C23" i="10"/>
  <c r="E23" i="10" s="1"/>
  <c r="B24" i="10"/>
  <c r="D24" i="10" s="1"/>
  <c r="C24" i="10"/>
  <c r="E24" i="10" s="1"/>
  <c r="B25" i="10"/>
  <c r="D25" i="10" s="1"/>
  <c r="C25" i="10"/>
  <c r="E25" i="10" s="1"/>
  <c r="B26" i="10"/>
  <c r="D26" i="10" s="1"/>
  <c r="C26" i="10"/>
  <c r="E26" i="10" s="1"/>
  <c r="B27" i="10"/>
  <c r="D27" i="10" s="1"/>
  <c r="C27" i="10"/>
  <c r="E27" i="10" s="1"/>
  <c r="B28" i="10"/>
  <c r="D28" i="10" s="1"/>
  <c r="C28" i="10"/>
  <c r="E28" i="10" s="1"/>
  <c r="B29" i="10"/>
  <c r="D29" i="10" s="1"/>
  <c r="C29" i="10"/>
  <c r="E29" i="10" s="1"/>
  <c r="B30" i="10"/>
  <c r="D30" i="10" s="1"/>
  <c r="C30" i="10"/>
  <c r="E30" i="10" s="1"/>
  <c r="B31" i="10"/>
  <c r="D31" i="10" s="1"/>
  <c r="C31" i="10"/>
  <c r="E31" i="10" s="1"/>
  <c r="B32" i="10"/>
  <c r="D32" i="10" s="1"/>
  <c r="C32" i="10"/>
  <c r="E32" i="10" s="1"/>
  <c r="B33" i="10"/>
  <c r="D33" i="10" s="1"/>
  <c r="C33" i="10"/>
  <c r="E33" i="10" s="1"/>
  <c r="B34" i="10"/>
  <c r="D34" i="10" s="1"/>
  <c r="C34" i="10"/>
  <c r="E34" i="10" s="1"/>
  <c r="B35" i="10"/>
  <c r="D35" i="10" s="1"/>
  <c r="C35" i="10"/>
  <c r="E35" i="10" s="1"/>
  <c r="C16" i="10"/>
  <c r="E16" i="10" s="1"/>
  <c r="B16" i="10"/>
  <c r="D16" i="10" s="1"/>
  <c r="F16" i="10" s="1"/>
  <c r="B80" i="9"/>
  <c r="B79" i="9"/>
  <c r="E64" i="10" l="1"/>
  <c r="F63" i="10"/>
  <c r="F62" i="10"/>
  <c r="E62" i="10"/>
  <c r="F68" i="10"/>
  <c r="E68" i="10"/>
  <c r="F67" i="10"/>
  <c r="E67" i="10"/>
  <c r="F66" i="10"/>
  <c r="E66" i="10"/>
  <c r="J51" i="26"/>
  <c r="G52" i="26"/>
  <c r="H52" i="26" s="1"/>
  <c r="I52" i="26" s="1"/>
  <c r="F54" i="26"/>
  <c r="J50" i="25"/>
  <c r="G51" i="25"/>
  <c r="H51" i="25" s="1"/>
  <c r="I51" i="25" s="1"/>
  <c r="F54" i="25"/>
  <c r="F52" i="24"/>
  <c r="J49" i="24"/>
  <c r="G50" i="24"/>
  <c r="H50" i="24" s="1"/>
  <c r="I50" i="24" s="1"/>
  <c r="J46" i="23"/>
  <c r="G47" i="23"/>
  <c r="H47" i="23" s="1"/>
  <c r="I47" i="23" s="1"/>
  <c r="F49" i="23"/>
  <c r="G43" i="22"/>
  <c r="H43" i="22" s="1"/>
  <c r="I43" i="22" s="1"/>
  <c r="J42" i="22"/>
  <c r="F48" i="22"/>
  <c r="J44" i="21"/>
  <c r="G45" i="21"/>
  <c r="H45" i="21" s="1"/>
  <c r="I45" i="21" s="1"/>
  <c r="F47" i="21"/>
  <c r="F46" i="20"/>
  <c r="G44" i="20"/>
  <c r="H44" i="20" s="1"/>
  <c r="I44" i="20" s="1"/>
  <c r="J43" i="20"/>
  <c r="J42" i="19"/>
  <c r="G43" i="19"/>
  <c r="H43" i="19" s="1"/>
  <c r="I43" i="19" s="1"/>
  <c r="F45" i="19"/>
  <c r="G42" i="18"/>
  <c r="H42" i="18" s="1"/>
  <c r="I42" i="18" s="1"/>
  <c r="J41" i="18"/>
  <c r="I34" i="16"/>
  <c r="G35" i="16"/>
  <c r="G28" i="15"/>
  <c r="H28" i="15" s="1"/>
  <c r="I27" i="15"/>
  <c r="F35" i="15"/>
  <c r="I21" i="14"/>
  <c r="G22" i="14"/>
  <c r="H22" i="14" s="1"/>
  <c r="F27" i="14"/>
  <c r="G23" i="13"/>
  <c r="H23" i="13" s="1"/>
  <c r="I23" i="13" s="1"/>
  <c r="F26" i="13"/>
  <c r="G13" i="12"/>
  <c r="H13" i="12" s="1"/>
  <c r="I13" i="12" s="1"/>
  <c r="F16" i="12"/>
  <c r="I9" i="11"/>
  <c r="G10" i="11"/>
  <c r="F14" i="11"/>
  <c r="E36" i="10"/>
  <c r="E37" i="10" s="1"/>
  <c r="D36" i="10"/>
  <c r="D37" i="10" s="1"/>
  <c r="H16" i="10"/>
  <c r="I16" i="10" s="1"/>
  <c r="F17" i="10"/>
  <c r="J52" i="26" l="1"/>
  <c r="G53" i="26"/>
  <c r="H53" i="26" s="1"/>
  <c r="I53" i="26" s="1"/>
  <c r="F55" i="26"/>
  <c r="F55" i="25"/>
  <c r="J51" i="25"/>
  <c r="G52" i="25"/>
  <c r="H52" i="25" s="1"/>
  <c r="I52" i="25" s="1"/>
  <c r="J50" i="24"/>
  <c r="G51" i="24"/>
  <c r="H51" i="24" s="1"/>
  <c r="I51" i="24" s="1"/>
  <c r="F53" i="24"/>
  <c r="F50" i="23"/>
  <c r="G48" i="23"/>
  <c r="H48" i="23" s="1"/>
  <c r="I48" i="23" s="1"/>
  <c r="J47" i="23"/>
  <c r="J43" i="22"/>
  <c r="G44" i="22"/>
  <c r="H44" i="22" s="1"/>
  <c r="I44" i="22" s="1"/>
  <c r="F49" i="22"/>
  <c r="F48" i="21"/>
  <c r="J45" i="21"/>
  <c r="G46" i="21"/>
  <c r="H46" i="21" s="1"/>
  <c r="I46" i="21" s="1"/>
  <c r="J44" i="20"/>
  <c r="G45" i="20"/>
  <c r="H45" i="20" s="1"/>
  <c r="I45" i="20" s="1"/>
  <c r="F47" i="20"/>
  <c r="F46" i="19"/>
  <c r="G44" i="19"/>
  <c r="H44" i="19" s="1"/>
  <c r="I44" i="19" s="1"/>
  <c r="J43" i="19"/>
  <c r="G43" i="18"/>
  <c r="H43" i="18" s="1"/>
  <c r="I43" i="18" s="1"/>
  <c r="J42" i="18"/>
  <c r="G36" i="16"/>
  <c r="H35" i="16"/>
  <c r="G29" i="15"/>
  <c r="H29" i="15" s="1"/>
  <c r="I28" i="15"/>
  <c r="I22" i="14"/>
  <c r="G23" i="14"/>
  <c r="H23" i="14" s="1"/>
  <c r="F28" i="14"/>
  <c r="G24" i="13"/>
  <c r="H24" i="13" s="1"/>
  <c r="F27" i="13"/>
  <c r="G14" i="12"/>
  <c r="H14" i="12" s="1"/>
  <c r="F17" i="12"/>
  <c r="H10" i="11"/>
  <c r="F15" i="11"/>
  <c r="F18" i="10"/>
  <c r="G17" i="10"/>
  <c r="G54" i="26" l="1"/>
  <c r="H54" i="26" s="1"/>
  <c r="I54" i="26" s="1"/>
  <c r="J53" i="26"/>
  <c r="F56" i="26"/>
  <c r="G53" i="25"/>
  <c r="H53" i="25" s="1"/>
  <c r="I53" i="25" s="1"/>
  <c r="J52" i="25"/>
  <c r="F56" i="25"/>
  <c r="F54" i="24"/>
  <c r="J51" i="24"/>
  <c r="G52" i="24"/>
  <c r="H52" i="24" s="1"/>
  <c r="I52" i="24" s="1"/>
  <c r="J48" i="23"/>
  <c r="G49" i="23"/>
  <c r="H49" i="23" s="1"/>
  <c r="I49" i="23" s="1"/>
  <c r="F51" i="23"/>
  <c r="G45" i="22"/>
  <c r="H45" i="22" s="1"/>
  <c r="I45" i="22" s="1"/>
  <c r="J44" i="22"/>
  <c r="F50" i="22"/>
  <c r="J46" i="21"/>
  <c r="G47" i="21"/>
  <c r="H47" i="21" s="1"/>
  <c r="I47" i="21" s="1"/>
  <c r="F49" i="21"/>
  <c r="F48" i="20"/>
  <c r="J45" i="20"/>
  <c r="G46" i="20"/>
  <c r="H46" i="20" s="1"/>
  <c r="I46" i="20" s="1"/>
  <c r="J44" i="19"/>
  <c r="G45" i="19"/>
  <c r="H45" i="19" s="1"/>
  <c r="I45" i="19" s="1"/>
  <c r="F47" i="19"/>
  <c r="J43" i="18"/>
  <c r="G44" i="18"/>
  <c r="H44" i="18" s="1"/>
  <c r="I44" i="18" s="1"/>
  <c r="I35" i="16"/>
  <c r="I37" i="16" s="1"/>
  <c r="G37" i="16"/>
  <c r="G30" i="15"/>
  <c r="H30" i="15" s="1"/>
  <c r="I29" i="15"/>
  <c r="I23" i="14"/>
  <c r="G24" i="14"/>
  <c r="H24" i="14" s="1"/>
  <c r="F29" i="14"/>
  <c r="I24" i="13"/>
  <c r="G25" i="13"/>
  <c r="H25" i="13" s="1"/>
  <c r="F28" i="13"/>
  <c r="I14" i="12"/>
  <c r="G15" i="12"/>
  <c r="H15" i="12" s="1"/>
  <c r="F18" i="12"/>
  <c r="I10" i="11"/>
  <c r="G11" i="11"/>
  <c r="F16" i="11"/>
  <c r="H17" i="10"/>
  <c r="I17" i="10" s="1"/>
  <c r="F19" i="10"/>
  <c r="G55" i="26" l="1"/>
  <c r="H55" i="26" s="1"/>
  <c r="I55" i="26" s="1"/>
  <c r="J54" i="26"/>
  <c r="F57" i="26"/>
  <c r="F57" i="25"/>
  <c r="J53" i="25"/>
  <c r="G54" i="25"/>
  <c r="H54" i="25" s="1"/>
  <c r="I54" i="25" s="1"/>
  <c r="J52" i="24"/>
  <c r="G53" i="24"/>
  <c r="H53" i="24" s="1"/>
  <c r="I53" i="24" s="1"/>
  <c r="F55" i="24"/>
  <c r="F52" i="23"/>
  <c r="J49" i="23"/>
  <c r="G50" i="23"/>
  <c r="H50" i="23" s="1"/>
  <c r="I50" i="23" s="1"/>
  <c r="J45" i="22"/>
  <c r="G46" i="22"/>
  <c r="H46" i="22" s="1"/>
  <c r="I46" i="22" s="1"/>
  <c r="F51" i="22"/>
  <c r="F50" i="21"/>
  <c r="G48" i="21"/>
  <c r="H48" i="21" s="1"/>
  <c r="I48" i="21" s="1"/>
  <c r="J47" i="21"/>
  <c r="J46" i="20"/>
  <c r="G47" i="20"/>
  <c r="H47" i="20" s="1"/>
  <c r="I47" i="20" s="1"/>
  <c r="F49" i="20"/>
  <c r="F48" i="19"/>
  <c r="G46" i="19"/>
  <c r="H46" i="19" s="1"/>
  <c r="I46" i="19" s="1"/>
  <c r="J45" i="19"/>
  <c r="J44" i="18"/>
  <c r="G45" i="18"/>
  <c r="H45" i="18" s="1"/>
  <c r="I45" i="18" s="1"/>
  <c r="I36" i="16"/>
  <c r="G31" i="15"/>
  <c r="H31" i="15" s="1"/>
  <c r="I30" i="15"/>
  <c r="I24" i="14"/>
  <c r="G25" i="14"/>
  <c r="H25" i="14" s="1"/>
  <c r="F30" i="14"/>
  <c r="I25" i="13"/>
  <c r="G26" i="13"/>
  <c r="H26" i="13" s="1"/>
  <c r="F29" i="13"/>
  <c r="I15" i="12"/>
  <c r="G16" i="12"/>
  <c r="H16" i="12" s="1"/>
  <c r="F19" i="12"/>
  <c r="H11" i="11"/>
  <c r="F17" i="11"/>
  <c r="G18" i="10"/>
  <c r="H18" i="10" s="1"/>
  <c r="I18" i="10" s="1"/>
  <c r="F20" i="10"/>
  <c r="M59" i="9"/>
  <c r="M60" i="9" s="1"/>
  <c r="M58" i="9"/>
  <c r="E52" i="9"/>
  <c r="E53" i="9"/>
  <c r="E54" i="9"/>
  <c r="E59" i="9"/>
  <c r="E58" i="9"/>
  <c r="E55" i="9" s="1"/>
  <c r="F50" i="9" l="1"/>
  <c r="F51" i="9"/>
  <c r="F52" i="9"/>
  <c r="F54" i="9"/>
  <c r="F55" i="9"/>
  <c r="F53" i="9"/>
  <c r="F56" i="9"/>
  <c r="E51" i="9"/>
  <c r="E50" i="9"/>
  <c r="E56" i="9"/>
  <c r="F58" i="26"/>
  <c r="J55" i="26"/>
  <c r="G56" i="26"/>
  <c r="H56" i="26" s="1"/>
  <c r="I56" i="26" s="1"/>
  <c r="J54" i="25"/>
  <c r="G55" i="25"/>
  <c r="H55" i="25" s="1"/>
  <c r="I55" i="25" s="1"/>
  <c r="F58" i="25"/>
  <c r="F56" i="24"/>
  <c r="J53" i="24"/>
  <c r="G54" i="24"/>
  <c r="H54" i="24" s="1"/>
  <c r="I54" i="24" s="1"/>
  <c r="J50" i="23"/>
  <c r="G51" i="23"/>
  <c r="H51" i="23" s="1"/>
  <c r="I51" i="23" s="1"/>
  <c r="F53" i="23"/>
  <c r="G47" i="22"/>
  <c r="H47" i="22" s="1"/>
  <c r="I47" i="22" s="1"/>
  <c r="J46" i="22"/>
  <c r="F52" i="22"/>
  <c r="J48" i="21"/>
  <c r="G49" i="21"/>
  <c r="H49" i="21" s="1"/>
  <c r="I49" i="21" s="1"/>
  <c r="F50" i="20"/>
  <c r="G48" i="20"/>
  <c r="H48" i="20" s="1"/>
  <c r="I48" i="20" s="1"/>
  <c r="J47" i="20"/>
  <c r="J46" i="19"/>
  <c r="G47" i="19"/>
  <c r="H47" i="19" s="1"/>
  <c r="I47" i="19" s="1"/>
  <c r="F49" i="19"/>
  <c r="J45" i="18"/>
  <c r="G46" i="18"/>
  <c r="H46" i="18" s="1"/>
  <c r="I46" i="18" s="1"/>
  <c r="I31" i="15"/>
  <c r="G32" i="15"/>
  <c r="H32" i="15" s="1"/>
  <c r="I25" i="14"/>
  <c r="G26" i="14"/>
  <c r="H26" i="14" s="1"/>
  <c r="F31" i="14"/>
  <c r="I26" i="13"/>
  <c r="G27" i="13"/>
  <c r="H27" i="13" s="1"/>
  <c r="F30" i="13"/>
  <c r="I16" i="12"/>
  <c r="G17" i="12"/>
  <c r="H17" i="12" s="1"/>
  <c r="F20" i="12"/>
  <c r="I11" i="11"/>
  <c r="G12" i="11"/>
  <c r="F18" i="11"/>
  <c r="G19" i="10"/>
  <c r="H19" i="10" s="1"/>
  <c r="F21" i="10"/>
  <c r="B17" i="9"/>
  <c r="D17" i="9" s="1"/>
  <c r="C17" i="9"/>
  <c r="E17" i="9" s="1"/>
  <c r="B18" i="9"/>
  <c r="D18" i="9" s="1"/>
  <c r="C18" i="9"/>
  <c r="E18" i="9" s="1"/>
  <c r="B19" i="9"/>
  <c r="D19" i="9" s="1"/>
  <c r="C19" i="9"/>
  <c r="E19" i="9" s="1"/>
  <c r="B20" i="9"/>
  <c r="D20" i="9" s="1"/>
  <c r="C20" i="9"/>
  <c r="E20" i="9" s="1"/>
  <c r="B21" i="9"/>
  <c r="D21" i="9" s="1"/>
  <c r="C21" i="9"/>
  <c r="E21" i="9" s="1"/>
  <c r="B22" i="9"/>
  <c r="D22" i="9" s="1"/>
  <c r="C22" i="9"/>
  <c r="E22" i="9" s="1"/>
  <c r="B23" i="9"/>
  <c r="D23" i="9" s="1"/>
  <c r="C23" i="9"/>
  <c r="E23" i="9" s="1"/>
  <c r="B24" i="9"/>
  <c r="D24" i="9" s="1"/>
  <c r="C24" i="9"/>
  <c r="E24" i="9" s="1"/>
  <c r="B25" i="9"/>
  <c r="D25" i="9" s="1"/>
  <c r="C25" i="9"/>
  <c r="E25" i="9" s="1"/>
  <c r="B26" i="9"/>
  <c r="D26" i="9" s="1"/>
  <c r="C26" i="9"/>
  <c r="E26" i="9" s="1"/>
  <c r="B27" i="9"/>
  <c r="D27" i="9" s="1"/>
  <c r="C27" i="9"/>
  <c r="E27" i="9" s="1"/>
  <c r="B28" i="9"/>
  <c r="D28" i="9" s="1"/>
  <c r="C28" i="9"/>
  <c r="E28" i="9" s="1"/>
  <c r="B29" i="9"/>
  <c r="D29" i="9" s="1"/>
  <c r="C29" i="9"/>
  <c r="E29" i="9" s="1"/>
  <c r="B30" i="9"/>
  <c r="D30" i="9" s="1"/>
  <c r="C30" i="9"/>
  <c r="E30" i="9" s="1"/>
  <c r="B31" i="9"/>
  <c r="D31" i="9" s="1"/>
  <c r="C31" i="9"/>
  <c r="E31" i="9" s="1"/>
  <c r="B32" i="9"/>
  <c r="D32" i="9" s="1"/>
  <c r="C32" i="9"/>
  <c r="E32" i="9" s="1"/>
  <c r="B33" i="9"/>
  <c r="D33" i="9" s="1"/>
  <c r="C33" i="9"/>
  <c r="E33" i="9" s="1"/>
  <c r="B34" i="9"/>
  <c r="D34" i="9" s="1"/>
  <c r="C34" i="9"/>
  <c r="E34" i="9" s="1"/>
  <c r="B35" i="9"/>
  <c r="D35" i="9" s="1"/>
  <c r="C35" i="9"/>
  <c r="E35" i="9" s="1"/>
  <c r="C16" i="9"/>
  <c r="E16" i="9" s="1"/>
  <c r="B16" i="9"/>
  <c r="D16" i="9" s="1"/>
  <c r="F16" i="9" s="1"/>
  <c r="F59" i="26" l="1"/>
  <c r="J56" i="26"/>
  <c r="G57" i="26"/>
  <c r="H57" i="26" s="1"/>
  <c r="I57" i="26" s="1"/>
  <c r="F59" i="25"/>
  <c r="J55" i="25"/>
  <c r="G56" i="25"/>
  <c r="H56" i="25" s="1"/>
  <c r="I56" i="25" s="1"/>
  <c r="J54" i="24"/>
  <c r="G55" i="24"/>
  <c r="H55" i="24" s="1"/>
  <c r="I55" i="24" s="1"/>
  <c r="F57" i="24"/>
  <c r="F54" i="23"/>
  <c r="J51" i="23"/>
  <c r="G52" i="23"/>
  <c r="H52" i="23" s="1"/>
  <c r="I52" i="23" s="1"/>
  <c r="J47" i="22"/>
  <c r="G48" i="22"/>
  <c r="H48" i="22" s="1"/>
  <c r="I48" i="22" s="1"/>
  <c r="F53" i="22"/>
  <c r="J49" i="21"/>
  <c r="G50" i="21"/>
  <c r="J48" i="20"/>
  <c r="G49" i="20"/>
  <c r="H49" i="20" s="1"/>
  <c r="I49" i="20" s="1"/>
  <c r="F51" i="20"/>
  <c r="F50" i="19"/>
  <c r="J47" i="19"/>
  <c r="G48" i="19"/>
  <c r="H48" i="19" s="1"/>
  <c r="I48" i="19" s="1"/>
  <c r="J46" i="18"/>
  <c r="G47" i="18"/>
  <c r="H47" i="18" s="1"/>
  <c r="I47" i="18" s="1"/>
  <c r="G33" i="15"/>
  <c r="H33" i="15" s="1"/>
  <c r="I32" i="15"/>
  <c r="I26" i="14"/>
  <c r="G27" i="14"/>
  <c r="H27" i="14" s="1"/>
  <c r="F32" i="14"/>
  <c r="I27" i="13"/>
  <c r="G28" i="13"/>
  <c r="H28" i="13" s="1"/>
  <c r="F31" i="13"/>
  <c r="I17" i="12"/>
  <c r="G18" i="12"/>
  <c r="H18" i="12" s="1"/>
  <c r="F21" i="12"/>
  <c r="H12" i="11"/>
  <c r="F19" i="11"/>
  <c r="I19" i="10"/>
  <c r="G20" i="10"/>
  <c r="H20" i="10" s="1"/>
  <c r="I20" i="10" s="1"/>
  <c r="F22" i="10"/>
  <c r="E36" i="9"/>
  <c r="E37" i="9" s="1"/>
  <c r="D36" i="9"/>
  <c r="D37" i="9" s="1"/>
  <c r="F17" i="9"/>
  <c r="F18" i="9" s="1"/>
  <c r="H16" i="9"/>
  <c r="I16" i="9" s="1"/>
  <c r="E32" i="8"/>
  <c r="E31" i="8"/>
  <c r="F60" i="26" l="1"/>
  <c r="G58" i="26"/>
  <c r="H58" i="26" s="1"/>
  <c r="I58" i="26" s="1"/>
  <c r="J57" i="26"/>
  <c r="G57" i="25"/>
  <c r="H57" i="25" s="1"/>
  <c r="I57" i="25" s="1"/>
  <c r="J56" i="25"/>
  <c r="F60" i="25"/>
  <c r="F58" i="24"/>
  <c r="J55" i="24"/>
  <c r="G56" i="24"/>
  <c r="H56" i="24" s="1"/>
  <c r="I56" i="24" s="1"/>
  <c r="J52" i="23"/>
  <c r="G53" i="23"/>
  <c r="H53" i="23" s="1"/>
  <c r="I53" i="23" s="1"/>
  <c r="F55" i="23"/>
  <c r="G49" i="22"/>
  <c r="H49" i="22" s="1"/>
  <c r="I49" i="22" s="1"/>
  <c r="J48" i="22"/>
  <c r="F54" i="22"/>
  <c r="H50" i="21"/>
  <c r="I50" i="21" s="1"/>
  <c r="G52" i="21"/>
  <c r="F52" i="20"/>
  <c r="J49" i="20"/>
  <c r="G50" i="20"/>
  <c r="H50" i="20" s="1"/>
  <c r="I50" i="20" s="1"/>
  <c r="F51" i="19"/>
  <c r="J48" i="19"/>
  <c r="G49" i="19"/>
  <c r="H49" i="19" s="1"/>
  <c r="I49" i="19" s="1"/>
  <c r="J47" i="18"/>
  <c r="G48" i="18"/>
  <c r="H48" i="18" s="1"/>
  <c r="I48" i="18" s="1"/>
  <c r="G34" i="15"/>
  <c r="H34" i="15" s="1"/>
  <c r="I33" i="15"/>
  <c r="I27" i="14"/>
  <c r="G28" i="14"/>
  <c r="H28" i="14" s="1"/>
  <c r="F33" i="14"/>
  <c r="I28" i="13"/>
  <c r="G29" i="13"/>
  <c r="H29" i="13" s="1"/>
  <c r="F32" i="13"/>
  <c r="I18" i="12"/>
  <c r="G19" i="12"/>
  <c r="H19" i="12" s="1"/>
  <c r="F22" i="12"/>
  <c r="I12" i="11"/>
  <c r="G13" i="11"/>
  <c r="H13" i="11" s="1"/>
  <c r="F20" i="11"/>
  <c r="G21" i="10"/>
  <c r="H21" i="10" s="1"/>
  <c r="I21" i="10" s="1"/>
  <c r="F23" i="10"/>
  <c r="F19" i="9"/>
  <c r="G17" i="9"/>
  <c r="B6" i="8"/>
  <c r="D6" i="8" s="1"/>
  <c r="C6" i="8"/>
  <c r="E6" i="8" s="1"/>
  <c r="B7" i="8"/>
  <c r="D7" i="8" s="1"/>
  <c r="C7" i="8"/>
  <c r="E7" i="8" s="1"/>
  <c r="B8" i="8"/>
  <c r="D8" i="8" s="1"/>
  <c r="C8" i="8"/>
  <c r="E8" i="8" s="1"/>
  <c r="B9" i="8"/>
  <c r="D9" i="8" s="1"/>
  <c r="C9" i="8"/>
  <c r="E9" i="8" s="1"/>
  <c r="B10" i="8"/>
  <c r="D10" i="8" s="1"/>
  <c r="C10" i="8"/>
  <c r="E10" i="8" s="1"/>
  <c r="B11" i="8"/>
  <c r="D11" i="8" s="1"/>
  <c r="C11" i="8"/>
  <c r="E11" i="8" s="1"/>
  <c r="B12" i="8"/>
  <c r="D12" i="8" s="1"/>
  <c r="C12" i="8"/>
  <c r="E12" i="8" s="1"/>
  <c r="B13" i="8"/>
  <c r="D13" i="8" s="1"/>
  <c r="C13" i="8"/>
  <c r="E13" i="8" s="1"/>
  <c r="B14" i="8"/>
  <c r="D14" i="8" s="1"/>
  <c r="C14" i="8"/>
  <c r="E14" i="8" s="1"/>
  <c r="B15" i="8"/>
  <c r="D15" i="8" s="1"/>
  <c r="C15" i="8"/>
  <c r="E15" i="8" s="1"/>
  <c r="B16" i="8"/>
  <c r="D16" i="8" s="1"/>
  <c r="C16" i="8"/>
  <c r="E16" i="8" s="1"/>
  <c r="B17" i="8"/>
  <c r="D17" i="8" s="1"/>
  <c r="C17" i="8"/>
  <c r="E17" i="8" s="1"/>
  <c r="B18" i="8"/>
  <c r="D18" i="8" s="1"/>
  <c r="C18" i="8"/>
  <c r="E18" i="8" s="1"/>
  <c r="B19" i="8"/>
  <c r="D19" i="8" s="1"/>
  <c r="C19" i="8"/>
  <c r="E19" i="8" s="1"/>
  <c r="B20" i="8"/>
  <c r="D20" i="8" s="1"/>
  <c r="C20" i="8"/>
  <c r="E20" i="8" s="1"/>
  <c r="B21" i="8"/>
  <c r="D21" i="8" s="1"/>
  <c r="C21" i="8"/>
  <c r="E21" i="8" s="1"/>
  <c r="B22" i="8"/>
  <c r="D22" i="8" s="1"/>
  <c r="C22" i="8"/>
  <c r="E22" i="8" s="1"/>
  <c r="B23" i="8"/>
  <c r="D23" i="8" s="1"/>
  <c r="C23" i="8"/>
  <c r="E23" i="8" s="1"/>
  <c r="B24" i="8"/>
  <c r="D24" i="8" s="1"/>
  <c r="C24" i="8"/>
  <c r="E24" i="8" s="1"/>
  <c r="C5" i="8"/>
  <c r="E5" i="8" s="1"/>
  <c r="B5" i="8"/>
  <c r="D5" i="8" s="1"/>
  <c r="F5" i="8" s="1"/>
  <c r="F61" i="26" l="1"/>
  <c r="G59" i="26"/>
  <c r="H59" i="26" s="1"/>
  <c r="I59" i="26" s="1"/>
  <c r="J58" i="26"/>
  <c r="F61" i="25"/>
  <c r="J57" i="25"/>
  <c r="G58" i="25"/>
  <c r="H58" i="25" s="1"/>
  <c r="I58" i="25" s="1"/>
  <c r="J56" i="24"/>
  <c r="G57" i="24"/>
  <c r="H57" i="24" s="1"/>
  <c r="I57" i="24" s="1"/>
  <c r="F59" i="24"/>
  <c r="F56" i="23"/>
  <c r="J53" i="23"/>
  <c r="G54" i="23"/>
  <c r="H54" i="23" s="1"/>
  <c r="I54" i="23" s="1"/>
  <c r="G50" i="22"/>
  <c r="H50" i="22" s="1"/>
  <c r="I50" i="22" s="1"/>
  <c r="J49" i="22"/>
  <c r="F55" i="22"/>
  <c r="J50" i="21"/>
  <c r="J52" i="21" s="1"/>
  <c r="G54" i="21"/>
  <c r="J50" i="20"/>
  <c r="G51" i="20"/>
  <c r="H51" i="20" s="1"/>
  <c r="I51" i="20" s="1"/>
  <c r="F53" i="20"/>
  <c r="J49" i="19"/>
  <c r="G50" i="19"/>
  <c r="H50" i="19" s="1"/>
  <c r="I50" i="19" s="1"/>
  <c r="F52" i="19"/>
  <c r="J48" i="18"/>
  <c r="G49" i="18"/>
  <c r="H49" i="18" s="1"/>
  <c r="I49" i="18" s="1"/>
  <c r="G35" i="15"/>
  <c r="I34" i="15"/>
  <c r="I28" i="14"/>
  <c r="G29" i="14"/>
  <c r="H29" i="14" s="1"/>
  <c r="F34" i="14"/>
  <c r="I29" i="13"/>
  <c r="G30" i="13"/>
  <c r="H30" i="13" s="1"/>
  <c r="F33" i="13"/>
  <c r="I19" i="12"/>
  <c r="G20" i="12"/>
  <c r="H20" i="12" s="1"/>
  <c r="F23" i="12"/>
  <c r="I13" i="11"/>
  <c r="G14" i="11"/>
  <c r="H14" i="11" s="1"/>
  <c r="F21" i="11"/>
  <c r="G22" i="10"/>
  <c r="H22" i="10" s="1"/>
  <c r="F24" i="10"/>
  <c r="H17" i="9"/>
  <c r="I17" i="9" s="1"/>
  <c r="F20" i="9"/>
  <c r="E25" i="8"/>
  <c r="E26" i="8" s="1"/>
  <c r="D25" i="8"/>
  <c r="D26" i="8" s="1"/>
  <c r="H5" i="8"/>
  <c r="I5" i="8" s="1"/>
  <c r="F6" i="8"/>
  <c r="C5" i="7"/>
  <c r="E5" i="7" s="1"/>
  <c r="C6" i="7"/>
  <c r="E6" i="7" s="1"/>
  <c r="C7" i="7"/>
  <c r="E7" i="7" s="1"/>
  <c r="C8" i="7"/>
  <c r="E8" i="7" s="1"/>
  <c r="C9" i="7"/>
  <c r="E9" i="7" s="1"/>
  <c r="C10" i="7"/>
  <c r="E10" i="7" s="1"/>
  <c r="C11" i="7"/>
  <c r="E11" i="7" s="1"/>
  <c r="C12" i="7"/>
  <c r="E12" i="7" s="1"/>
  <c r="C13" i="7"/>
  <c r="E13" i="7" s="1"/>
  <c r="C14" i="7"/>
  <c r="E14" i="7" s="1"/>
  <c r="B6" i="7"/>
  <c r="D6" i="7" s="1"/>
  <c r="B7" i="7"/>
  <c r="D7" i="7" s="1"/>
  <c r="B8" i="7"/>
  <c r="D8" i="7" s="1"/>
  <c r="B9" i="7"/>
  <c r="D9" i="7" s="1"/>
  <c r="B10" i="7"/>
  <c r="D10" i="7" s="1"/>
  <c r="B11" i="7"/>
  <c r="D11" i="7" s="1"/>
  <c r="B12" i="7"/>
  <c r="D12" i="7" s="1"/>
  <c r="B13" i="7"/>
  <c r="D13" i="7" s="1"/>
  <c r="B14" i="7"/>
  <c r="D14" i="7" s="1"/>
  <c r="B5" i="7"/>
  <c r="D5" i="7" s="1"/>
  <c r="F5" i="7" s="1"/>
  <c r="F62" i="26" l="1"/>
  <c r="J59" i="26"/>
  <c r="G60" i="26"/>
  <c r="H60" i="26" s="1"/>
  <c r="I60" i="26" s="1"/>
  <c r="J58" i="25"/>
  <c r="G59" i="25"/>
  <c r="H59" i="25" s="1"/>
  <c r="I59" i="25" s="1"/>
  <c r="F62" i="25"/>
  <c r="F60" i="24"/>
  <c r="J57" i="24"/>
  <c r="G58" i="24"/>
  <c r="H58" i="24" s="1"/>
  <c r="I58" i="24" s="1"/>
  <c r="J54" i="23"/>
  <c r="G55" i="23"/>
  <c r="H55" i="23" s="1"/>
  <c r="I55" i="23" s="1"/>
  <c r="F57" i="23"/>
  <c r="G51" i="22"/>
  <c r="H51" i="22" s="1"/>
  <c r="I51" i="22" s="1"/>
  <c r="J50" i="22"/>
  <c r="F56" i="22"/>
  <c r="J54" i="21"/>
  <c r="F54" i="20"/>
  <c r="J51" i="20"/>
  <c r="G52" i="20"/>
  <c r="H52" i="20" s="1"/>
  <c r="I52" i="20" s="1"/>
  <c r="F53" i="19"/>
  <c r="J50" i="19"/>
  <c r="G51" i="19"/>
  <c r="H51" i="19" s="1"/>
  <c r="I51" i="19" s="1"/>
  <c r="J49" i="18"/>
  <c r="G50" i="18"/>
  <c r="H50" i="18" s="1"/>
  <c r="I50" i="18" s="1"/>
  <c r="G36" i="15"/>
  <c r="H35" i="15"/>
  <c r="I29" i="14"/>
  <c r="G30" i="14"/>
  <c r="H30" i="14" s="1"/>
  <c r="F35" i="14"/>
  <c r="I30" i="13"/>
  <c r="G31" i="13"/>
  <c r="H31" i="13" s="1"/>
  <c r="F34" i="13"/>
  <c r="I20" i="12"/>
  <c r="G21" i="12"/>
  <c r="H21" i="12" s="1"/>
  <c r="F24" i="12"/>
  <c r="I14" i="11"/>
  <c r="G15" i="11"/>
  <c r="H15" i="11" s="1"/>
  <c r="F22" i="11"/>
  <c r="I22" i="10"/>
  <c r="G23" i="10"/>
  <c r="H23" i="10" s="1"/>
  <c r="I23" i="10" s="1"/>
  <c r="F25" i="10"/>
  <c r="G18" i="9"/>
  <c r="H18" i="9" s="1"/>
  <c r="I18" i="9" s="1"/>
  <c r="F21" i="9"/>
  <c r="F7" i="8"/>
  <c r="G6" i="8"/>
  <c r="H5" i="7"/>
  <c r="I5" i="7" s="1"/>
  <c r="F6" i="7"/>
  <c r="F63" i="26" l="1"/>
  <c r="J60" i="26"/>
  <c r="G61" i="26"/>
  <c r="H61" i="26" s="1"/>
  <c r="I61" i="26" s="1"/>
  <c r="F63" i="25"/>
  <c r="J59" i="25"/>
  <c r="G60" i="25"/>
  <c r="H60" i="25" s="1"/>
  <c r="I60" i="25" s="1"/>
  <c r="J58" i="24"/>
  <c r="G59" i="24"/>
  <c r="H59" i="24" s="1"/>
  <c r="I59" i="24" s="1"/>
  <c r="F61" i="24"/>
  <c r="F58" i="23"/>
  <c r="J55" i="23"/>
  <c r="G56" i="23"/>
  <c r="H56" i="23" s="1"/>
  <c r="I56" i="23" s="1"/>
  <c r="J51" i="22"/>
  <c r="G52" i="22"/>
  <c r="H52" i="22" s="1"/>
  <c r="I52" i="22" s="1"/>
  <c r="F57" i="22"/>
  <c r="J52" i="20"/>
  <c r="G53" i="20"/>
  <c r="H53" i="20" s="1"/>
  <c r="I53" i="20" s="1"/>
  <c r="J51" i="19"/>
  <c r="G52" i="19"/>
  <c r="H52" i="19" s="1"/>
  <c r="I52" i="19" s="1"/>
  <c r="F54" i="19"/>
  <c r="J50" i="18"/>
  <c r="G51" i="18"/>
  <c r="H51" i="18" s="1"/>
  <c r="I51" i="18" s="1"/>
  <c r="I35" i="15"/>
  <c r="I37" i="15" s="1"/>
  <c r="G37" i="15"/>
  <c r="I30" i="14"/>
  <c r="G31" i="14"/>
  <c r="H31" i="14" s="1"/>
  <c r="I31" i="13"/>
  <c r="G32" i="13"/>
  <c r="H32" i="13" s="1"/>
  <c r="F35" i="13"/>
  <c r="I21" i="12"/>
  <c r="G22" i="12"/>
  <c r="H22" i="12" s="1"/>
  <c r="F25" i="12"/>
  <c r="I15" i="11"/>
  <c r="G16" i="11"/>
  <c r="H16" i="11" s="1"/>
  <c r="F23" i="11"/>
  <c r="G24" i="10"/>
  <c r="H24" i="10" s="1"/>
  <c r="I24" i="10" s="1"/>
  <c r="F26" i="10"/>
  <c r="G19" i="9"/>
  <c r="H19" i="9" s="1"/>
  <c r="I19" i="9" s="1"/>
  <c r="F22" i="9"/>
  <c r="H6" i="8"/>
  <c r="I6" i="8" s="1"/>
  <c r="F8" i="8"/>
  <c r="F7" i="7"/>
  <c r="G6" i="7"/>
  <c r="H6" i="7" s="1"/>
  <c r="I6" i="7" s="1"/>
  <c r="B5" i="5"/>
  <c r="D5" i="5" s="1"/>
  <c r="C5" i="5"/>
  <c r="G5" i="5" s="1"/>
  <c r="B6" i="5"/>
  <c r="D6" i="5" s="1"/>
  <c r="C6" i="5"/>
  <c r="G6" i="5" s="1"/>
  <c r="B7" i="5"/>
  <c r="D7" i="5" s="1"/>
  <c r="C7" i="5"/>
  <c r="G7" i="5" s="1"/>
  <c r="B8" i="5"/>
  <c r="D8" i="5" s="1"/>
  <c r="C8" i="5"/>
  <c r="G8" i="5" s="1"/>
  <c r="B9" i="5"/>
  <c r="D9" i="5" s="1"/>
  <c r="C9" i="5"/>
  <c r="G9" i="5" s="1"/>
  <c r="B10" i="5"/>
  <c r="D10" i="5" s="1"/>
  <c r="C10" i="5"/>
  <c r="G10" i="5" s="1"/>
  <c r="B11" i="5"/>
  <c r="D11" i="5" s="1"/>
  <c r="C11" i="5"/>
  <c r="G11" i="5" s="1"/>
  <c r="B12" i="5"/>
  <c r="D12" i="5" s="1"/>
  <c r="C12" i="5"/>
  <c r="G12" i="5" s="1"/>
  <c r="B13" i="5"/>
  <c r="D13" i="5" s="1"/>
  <c r="C13" i="5"/>
  <c r="G13" i="5" s="1"/>
  <c r="B14" i="5"/>
  <c r="D14" i="5" s="1"/>
  <c r="C14" i="5"/>
  <c r="G14" i="5" s="1"/>
  <c r="B15" i="5"/>
  <c r="D15" i="5" s="1"/>
  <c r="C15" i="5"/>
  <c r="G15" i="5" s="1"/>
  <c r="B16" i="5"/>
  <c r="D16" i="5" s="1"/>
  <c r="C16" i="5"/>
  <c r="G16" i="5" s="1"/>
  <c r="B17" i="5"/>
  <c r="D17" i="5" s="1"/>
  <c r="C17" i="5"/>
  <c r="G17" i="5" s="1"/>
  <c r="B18" i="5"/>
  <c r="D18" i="5" s="1"/>
  <c r="C18" i="5"/>
  <c r="G18" i="5" s="1"/>
  <c r="B19" i="5"/>
  <c r="D19" i="5" s="1"/>
  <c r="C19" i="5"/>
  <c r="G19" i="5" s="1"/>
  <c r="B20" i="5"/>
  <c r="D20" i="5" s="1"/>
  <c r="C20" i="5"/>
  <c r="G20" i="5" s="1"/>
  <c r="B21" i="5"/>
  <c r="D21" i="5" s="1"/>
  <c r="C21" i="5"/>
  <c r="G21" i="5" s="1"/>
  <c r="B22" i="5"/>
  <c r="D22" i="5" s="1"/>
  <c r="C22" i="5"/>
  <c r="G22" i="5" s="1"/>
  <c r="B23" i="5"/>
  <c r="D23" i="5" s="1"/>
  <c r="C23" i="5"/>
  <c r="G23" i="5" s="1"/>
  <c r="C4" i="5"/>
  <c r="G4" i="5" s="1"/>
  <c r="B4" i="5"/>
  <c r="D4" i="5" s="1"/>
  <c r="E4" i="5" s="1"/>
  <c r="B6" i="4"/>
  <c r="D6" i="4" s="1"/>
  <c r="C6" i="4"/>
  <c r="F6" i="4" s="1"/>
  <c r="B7" i="4"/>
  <c r="D7" i="4" s="1"/>
  <c r="C7" i="4"/>
  <c r="F7" i="4" s="1"/>
  <c r="B8" i="4"/>
  <c r="D8" i="4" s="1"/>
  <c r="C8" i="4"/>
  <c r="F8" i="4" s="1"/>
  <c r="B9" i="4"/>
  <c r="D9" i="4" s="1"/>
  <c r="C9" i="4"/>
  <c r="F9" i="4" s="1"/>
  <c r="B10" i="4"/>
  <c r="D10" i="4" s="1"/>
  <c r="C10" i="4"/>
  <c r="F10" i="4" s="1"/>
  <c r="B11" i="4"/>
  <c r="D11" i="4" s="1"/>
  <c r="C11" i="4"/>
  <c r="F11" i="4" s="1"/>
  <c r="B12" i="4"/>
  <c r="D12" i="4" s="1"/>
  <c r="C12" i="4"/>
  <c r="F12" i="4" s="1"/>
  <c r="B13" i="4"/>
  <c r="D13" i="4" s="1"/>
  <c r="C13" i="4"/>
  <c r="F13" i="4" s="1"/>
  <c r="B14" i="4"/>
  <c r="D14" i="4" s="1"/>
  <c r="C14" i="4"/>
  <c r="F14" i="4" s="1"/>
  <c r="B15" i="4"/>
  <c r="D15" i="4" s="1"/>
  <c r="C15" i="4"/>
  <c r="F15" i="4" s="1"/>
  <c r="B16" i="4"/>
  <c r="D16" i="4" s="1"/>
  <c r="C16" i="4"/>
  <c r="F16" i="4" s="1"/>
  <c r="B17" i="4"/>
  <c r="D17" i="4" s="1"/>
  <c r="C17" i="4"/>
  <c r="F17" i="4" s="1"/>
  <c r="B18" i="4"/>
  <c r="D18" i="4" s="1"/>
  <c r="C18" i="4"/>
  <c r="F18" i="4" s="1"/>
  <c r="B19" i="4"/>
  <c r="D19" i="4" s="1"/>
  <c r="C19" i="4"/>
  <c r="F19" i="4" s="1"/>
  <c r="B20" i="4"/>
  <c r="D20" i="4" s="1"/>
  <c r="C20" i="4"/>
  <c r="F20" i="4" s="1"/>
  <c r="B21" i="4"/>
  <c r="D21" i="4" s="1"/>
  <c r="C21" i="4"/>
  <c r="F21" i="4" s="1"/>
  <c r="B22" i="4"/>
  <c r="D22" i="4" s="1"/>
  <c r="C22" i="4"/>
  <c r="F22" i="4" s="1"/>
  <c r="B23" i="4"/>
  <c r="D23" i="4" s="1"/>
  <c r="C23" i="4"/>
  <c r="F23" i="4" s="1"/>
  <c r="B5" i="4"/>
  <c r="D5" i="4" s="1"/>
  <c r="C5" i="4"/>
  <c r="F5" i="4" s="1"/>
  <c r="F64" i="26" l="1"/>
  <c r="G62" i="26"/>
  <c r="H62" i="26" s="1"/>
  <c r="I62" i="26" s="1"/>
  <c r="J61" i="26"/>
  <c r="J60" i="25"/>
  <c r="G61" i="25"/>
  <c r="H61" i="25" s="1"/>
  <c r="I61" i="25" s="1"/>
  <c r="F64" i="25"/>
  <c r="F62" i="24"/>
  <c r="J59" i="24"/>
  <c r="G60" i="24"/>
  <c r="H60" i="24" s="1"/>
  <c r="I60" i="24" s="1"/>
  <c r="J56" i="23"/>
  <c r="G57" i="23"/>
  <c r="H57" i="23" s="1"/>
  <c r="I57" i="23" s="1"/>
  <c r="F59" i="23"/>
  <c r="J52" i="22"/>
  <c r="G53" i="22"/>
  <c r="H53" i="22" s="1"/>
  <c r="I53" i="22" s="1"/>
  <c r="F58" i="22"/>
  <c r="G54" i="20"/>
  <c r="H54" i="20" s="1"/>
  <c r="I54" i="20" s="1"/>
  <c r="J54" i="20" s="1"/>
  <c r="J53" i="20"/>
  <c r="F55" i="19"/>
  <c r="J52" i="19"/>
  <c r="G53" i="19"/>
  <c r="H53" i="19" s="1"/>
  <c r="I53" i="19" s="1"/>
  <c r="J51" i="18"/>
  <c r="G52" i="18"/>
  <c r="H52" i="18" s="1"/>
  <c r="I52" i="18" s="1"/>
  <c r="I36" i="15"/>
  <c r="I31" i="14"/>
  <c r="G32" i="14"/>
  <c r="H32" i="14" s="1"/>
  <c r="I32" i="13"/>
  <c r="G33" i="13"/>
  <c r="H33" i="13" s="1"/>
  <c r="I22" i="12"/>
  <c r="G23" i="12"/>
  <c r="H23" i="12" s="1"/>
  <c r="F26" i="12"/>
  <c r="I16" i="11"/>
  <c r="G17" i="11"/>
  <c r="H17" i="11" s="1"/>
  <c r="F24" i="11"/>
  <c r="G25" i="10"/>
  <c r="H25" i="10" s="1"/>
  <c r="I25" i="10" s="1"/>
  <c r="F27" i="10"/>
  <c r="G20" i="9"/>
  <c r="H20" i="9" s="1"/>
  <c r="F23" i="9"/>
  <c r="G7" i="8"/>
  <c r="H7" i="8" s="1"/>
  <c r="I7" i="8" s="1"/>
  <c r="F9" i="8"/>
  <c r="F8" i="7"/>
  <c r="G7" i="7"/>
  <c r="H7" i="7" s="1"/>
  <c r="I7" i="7" s="1"/>
  <c r="H4" i="5"/>
  <c r="I4" i="5" s="1"/>
  <c r="E5" i="5"/>
  <c r="C4" i="4"/>
  <c r="B4" i="4"/>
  <c r="D4" i="4" s="1"/>
  <c r="E4" i="4" s="1"/>
  <c r="F65" i="26" l="1"/>
  <c r="G63" i="26"/>
  <c r="H63" i="26" s="1"/>
  <c r="I63" i="26" s="1"/>
  <c r="J62" i="26"/>
  <c r="F65" i="25"/>
  <c r="J61" i="25"/>
  <c r="G62" i="25"/>
  <c r="H62" i="25" s="1"/>
  <c r="I62" i="25" s="1"/>
  <c r="J60" i="24"/>
  <c r="G61" i="24"/>
  <c r="H61" i="24" s="1"/>
  <c r="I61" i="24" s="1"/>
  <c r="F63" i="24"/>
  <c r="F60" i="23"/>
  <c r="J57" i="23"/>
  <c r="G58" i="23"/>
  <c r="H58" i="23" s="1"/>
  <c r="I58" i="23" s="1"/>
  <c r="G54" i="22"/>
  <c r="H54" i="22" s="1"/>
  <c r="I54" i="22" s="1"/>
  <c r="J53" i="22"/>
  <c r="F59" i="22"/>
  <c r="J53" i="19"/>
  <c r="G54" i="19"/>
  <c r="H54" i="19" s="1"/>
  <c r="I54" i="19" s="1"/>
  <c r="F56" i="19"/>
  <c r="J52" i="18"/>
  <c r="G53" i="18"/>
  <c r="H53" i="18" s="1"/>
  <c r="I53" i="18" s="1"/>
  <c r="I32" i="14"/>
  <c r="G33" i="14"/>
  <c r="H33" i="14" s="1"/>
  <c r="I33" i="13"/>
  <c r="G34" i="13"/>
  <c r="H34" i="13" s="1"/>
  <c r="I23" i="12"/>
  <c r="G24" i="12"/>
  <c r="H24" i="12" s="1"/>
  <c r="I17" i="11"/>
  <c r="G18" i="11"/>
  <c r="H18" i="11" s="1"/>
  <c r="F25" i="11"/>
  <c r="G26" i="10"/>
  <c r="H26" i="10" s="1"/>
  <c r="I26" i="10" s="1"/>
  <c r="F28" i="10"/>
  <c r="I20" i="9"/>
  <c r="G21" i="9"/>
  <c r="H21" i="9" s="1"/>
  <c r="F24" i="9"/>
  <c r="G8" i="8"/>
  <c r="H8" i="8" s="1"/>
  <c r="I8" i="8" s="1"/>
  <c r="F10" i="8"/>
  <c r="F9" i="7"/>
  <c r="G8" i="7"/>
  <c r="H8" i="7" s="1"/>
  <c r="I8" i="7" s="1"/>
  <c r="E6" i="5"/>
  <c r="F5" i="5"/>
  <c r="H5" i="5" s="1"/>
  <c r="I5" i="5" s="1"/>
  <c r="E5" i="4"/>
  <c r="F4" i="4"/>
  <c r="H4" i="4" s="1"/>
  <c r="I4" i="4" s="1"/>
  <c r="K19" i="3"/>
  <c r="D10" i="3"/>
  <c r="E10" i="3"/>
  <c r="F10" i="3"/>
  <c r="G10" i="3"/>
  <c r="H10" i="3"/>
  <c r="I10" i="3"/>
  <c r="C10" i="3"/>
  <c r="D4" i="3"/>
  <c r="E4" i="3"/>
  <c r="F4" i="3"/>
  <c r="G4" i="3"/>
  <c r="H4" i="3"/>
  <c r="I4" i="3"/>
  <c r="C4" i="3"/>
  <c r="J63" i="26" l="1"/>
  <c r="G64" i="26"/>
  <c r="H64" i="26" s="1"/>
  <c r="I64" i="26" s="1"/>
  <c r="F66" i="26"/>
  <c r="J62" i="25"/>
  <c r="G63" i="25"/>
  <c r="H63" i="25" s="1"/>
  <c r="I63" i="25" s="1"/>
  <c r="F66" i="25"/>
  <c r="F64" i="24"/>
  <c r="J61" i="24"/>
  <c r="G62" i="24"/>
  <c r="H62" i="24" s="1"/>
  <c r="I62" i="24" s="1"/>
  <c r="J58" i="23"/>
  <c r="G59" i="23"/>
  <c r="H59" i="23" s="1"/>
  <c r="I59" i="23" s="1"/>
  <c r="F61" i="23"/>
  <c r="J54" i="22"/>
  <c r="G55" i="22"/>
  <c r="H55" i="22" s="1"/>
  <c r="I55" i="22" s="1"/>
  <c r="F60" i="22"/>
  <c r="F57" i="19"/>
  <c r="J54" i="19"/>
  <c r="G55" i="19"/>
  <c r="H55" i="19" s="1"/>
  <c r="I55" i="19" s="1"/>
  <c r="J53" i="18"/>
  <c r="G54" i="18"/>
  <c r="H54" i="18" s="1"/>
  <c r="I54" i="18" s="1"/>
  <c r="I33" i="14"/>
  <c r="G34" i="14"/>
  <c r="H34" i="14" s="1"/>
  <c r="I34" i="13"/>
  <c r="G35" i="13"/>
  <c r="I24" i="12"/>
  <c r="G25" i="12"/>
  <c r="H25" i="12" s="1"/>
  <c r="I18" i="11"/>
  <c r="G19" i="11"/>
  <c r="H19" i="11" s="1"/>
  <c r="F26" i="11"/>
  <c r="G27" i="10"/>
  <c r="H27" i="10" s="1"/>
  <c r="I27" i="10" s="1"/>
  <c r="F29" i="10"/>
  <c r="I21" i="9"/>
  <c r="G22" i="9"/>
  <c r="H22" i="9" s="1"/>
  <c r="F25" i="9"/>
  <c r="G9" i="8"/>
  <c r="H9" i="8" s="1"/>
  <c r="I9" i="8" s="1"/>
  <c r="F11" i="8"/>
  <c r="F10" i="7"/>
  <c r="G9" i="7"/>
  <c r="H9" i="7" s="1"/>
  <c r="I9" i="7" s="1"/>
  <c r="A13" i="3" a="1"/>
  <c r="A14" i="3" s="1"/>
  <c r="C14" i="3" s="1"/>
  <c r="E7" i="5"/>
  <c r="F6" i="5"/>
  <c r="H6" i="5" s="1"/>
  <c r="I6" i="5" s="1"/>
  <c r="E6" i="4"/>
  <c r="G5" i="4"/>
  <c r="H5" i="4" s="1"/>
  <c r="I5" i="4" s="1"/>
  <c r="B13" i="3" a="1"/>
  <c r="B13" i="3" s="1"/>
  <c r="E4" i="2"/>
  <c r="D4" i="2"/>
  <c r="B18" i="1"/>
  <c r="D18" i="1" s="1"/>
  <c r="C18" i="1"/>
  <c r="E18" i="1" s="1"/>
  <c r="B19" i="1"/>
  <c r="D19" i="1" s="1"/>
  <c r="C19" i="1"/>
  <c r="E19" i="1" s="1"/>
  <c r="B20" i="1"/>
  <c r="D20" i="1" s="1"/>
  <c r="C20" i="1"/>
  <c r="E20" i="1" s="1"/>
  <c r="B21" i="1"/>
  <c r="D21" i="1" s="1"/>
  <c r="C21" i="1"/>
  <c r="E21" i="1" s="1"/>
  <c r="B22" i="1"/>
  <c r="D22" i="1" s="1"/>
  <c r="C22" i="1"/>
  <c r="E22" i="1" s="1"/>
  <c r="B23" i="1"/>
  <c r="D23" i="1" s="1"/>
  <c r="C23" i="1"/>
  <c r="E23" i="1" s="1"/>
  <c r="B24" i="1"/>
  <c r="D24" i="1" s="1"/>
  <c r="C24" i="1"/>
  <c r="E24" i="1" s="1"/>
  <c r="B25" i="1"/>
  <c r="D25" i="1" s="1"/>
  <c r="C25" i="1"/>
  <c r="E25" i="1" s="1"/>
  <c r="B26" i="1"/>
  <c r="D26" i="1" s="1"/>
  <c r="C26" i="1"/>
  <c r="E26" i="1" s="1"/>
  <c r="B27" i="1"/>
  <c r="D27" i="1" s="1"/>
  <c r="C27" i="1"/>
  <c r="E27" i="1" s="1"/>
  <c r="B28" i="1"/>
  <c r="D28" i="1" s="1"/>
  <c r="C28" i="1"/>
  <c r="E28" i="1" s="1"/>
  <c r="B29" i="1"/>
  <c r="D29" i="1" s="1"/>
  <c r="C29" i="1"/>
  <c r="E29" i="1" s="1"/>
  <c r="B30" i="1"/>
  <c r="D30" i="1" s="1"/>
  <c r="C30" i="1"/>
  <c r="E30" i="1" s="1"/>
  <c r="B31" i="1"/>
  <c r="D31" i="1" s="1"/>
  <c r="C31" i="1"/>
  <c r="E31" i="1" s="1"/>
  <c r="B32" i="1"/>
  <c r="D32" i="1" s="1"/>
  <c r="C32" i="1"/>
  <c r="E32" i="1" s="1"/>
  <c r="B33" i="1"/>
  <c r="D33" i="1" s="1"/>
  <c r="C33" i="1"/>
  <c r="E33" i="1" s="1"/>
  <c r="B34" i="1"/>
  <c r="D34" i="1" s="1"/>
  <c r="C34" i="1"/>
  <c r="E34" i="1" s="1"/>
  <c r="B35" i="1"/>
  <c r="D35" i="1" s="1"/>
  <c r="C35" i="1"/>
  <c r="E35" i="1" s="1"/>
  <c r="B36" i="1"/>
  <c r="D36" i="1" s="1"/>
  <c r="C36" i="1"/>
  <c r="E36" i="1" s="1"/>
  <c r="B37" i="1"/>
  <c r="D37" i="1" s="1"/>
  <c r="C37" i="1"/>
  <c r="E37" i="1" s="1"/>
  <c r="B38" i="1"/>
  <c r="D38" i="1" s="1"/>
  <c r="C38" i="1"/>
  <c r="E38" i="1" s="1"/>
  <c r="B39" i="1"/>
  <c r="D39" i="1" s="1"/>
  <c r="C39" i="1"/>
  <c r="E39" i="1" s="1"/>
  <c r="B40" i="1"/>
  <c r="D40" i="1" s="1"/>
  <c r="C40" i="1"/>
  <c r="E40" i="1" s="1"/>
  <c r="B41" i="1"/>
  <c r="D41" i="1" s="1"/>
  <c r="C41" i="1"/>
  <c r="E41" i="1" s="1"/>
  <c r="B42" i="1"/>
  <c r="D42" i="1" s="1"/>
  <c r="C42" i="1"/>
  <c r="E42" i="1" s="1"/>
  <c r="B43" i="1"/>
  <c r="D43" i="1" s="1"/>
  <c r="C43" i="1"/>
  <c r="E43" i="1" s="1"/>
  <c r="B44" i="1"/>
  <c r="D44" i="1" s="1"/>
  <c r="C44" i="1"/>
  <c r="E44" i="1" s="1"/>
  <c r="B45" i="1"/>
  <c r="D45" i="1" s="1"/>
  <c r="C45" i="1"/>
  <c r="E45" i="1" s="1"/>
  <c r="B46" i="1"/>
  <c r="D46" i="1" s="1"/>
  <c r="C46" i="1"/>
  <c r="E46" i="1" s="1"/>
  <c r="B47" i="1"/>
  <c r="D47" i="1" s="1"/>
  <c r="C47" i="1"/>
  <c r="E47" i="1" s="1"/>
  <c r="B48" i="1"/>
  <c r="D48" i="1" s="1"/>
  <c r="C48" i="1"/>
  <c r="E48" i="1" s="1"/>
  <c r="B49" i="1"/>
  <c r="D49" i="1" s="1"/>
  <c r="C49" i="1"/>
  <c r="E49" i="1" s="1"/>
  <c r="B50" i="1"/>
  <c r="D50" i="1" s="1"/>
  <c r="C50" i="1"/>
  <c r="E50" i="1" s="1"/>
  <c r="B51" i="1"/>
  <c r="D51" i="1" s="1"/>
  <c r="C51" i="1"/>
  <c r="E51" i="1" s="1"/>
  <c r="B52" i="1"/>
  <c r="D52" i="1" s="1"/>
  <c r="C52" i="1"/>
  <c r="E52" i="1" s="1"/>
  <c r="B53" i="1"/>
  <c r="D53" i="1" s="1"/>
  <c r="C53" i="1"/>
  <c r="E53" i="1" s="1"/>
  <c r="B54" i="1"/>
  <c r="D54" i="1" s="1"/>
  <c r="C54" i="1"/>
  <c r="E54" i="1" s="1"/>
  <c r="B55" i="1"/>
  <c r="D55" i="1" s="1"/>
  <c r="C55" i="1"/>
  <c r="E55" i="1" s="1"/>
  <c r="B56" i="1"/>
  <c r="D56" i="1" s="1"/>
  <c r="C56" i="1"/>
  <c r="E56" i="1" s="1"/>
  <c r="B57" i="1"/>
  <c r="D57" i="1" s="1"/>
  <c r="C57" i="1"/>
  <c r="E57" i="1" s="1"/>
  <c r="B58" i="1"/>
  <c r="D58" i="1" s="1"/>
  <c r="C58" i="1"/>
  <c r="E58" i="1" s="1"/>
  <c r="B59" i="1"/>
  <c r="D59" i="1" s="1"/>
  <c r="C59" i="1"/>
  <c r="E59" i="1" s="1"/>
  <c r="B60" i="1"/>
  <c r="D60" i="1" s="1"/>
  <c r="C60" i="1"/>
  <c r="E60" i="1" s="1"/>
  <c r="B61" i="1"/>
  <c r="D61" i="1" s="1"/>
  <c r="C61" i="1"/>
  <c r="E61" i="1" s="1"/>
  <c r="B62" i="1"/>
  <c r="D62" i="1" s="1"/>
  <c r="C62" i="1"/>
  <c r="E62" i="1" s="1"/>
  <c r="B63" i="1"/>
  <c r="D63" i="1" s="1"/>
  <c r="C63" i="1"/>
  <c r="E63" i="1" s="1"/>
  <c r="B64" i="1"/>
  <c r="D64" i="1" s="1"/>
  <c r="C64" i="1"/>
  <c r="E64" i="1" s="1"/>
  <c r="B65" i="1"/>
  <c r="D65" i="1" s="1"/>
  <c r="C65" i="1"/>
  <c r="E65" i="1" s="1"/>
  <c r="B66" i="1"/>
  <c r="D66" i="1" s="1"/>
  <c r="C66" i="1"/>
  <c r="E66" i="1" s="1"/>
  <c r="B67" i="1"/>
  <c r="D67" i="1" s="1"/>
  <c r="C67" i="1"/>
  <c r="E67" i="1" s="1"/>
  <c r="B68" i="1"/>
  <c r="D68" i="1" s="1"/>
  <c r="C68" i="1"/>
  <c r="E68" i="1" s="1"/>
  <c r="B69" i="1"/>
  <c r="D69" i="1" s="1"/>
  <c r="C69" i="1"/>
  <c r="E69" i="1" s="1"/>
  <c r="B70" i="1"/>
  <c r="D70" i="1" s="1"/>
  <c r="C70" i="1"/>
  <c r="E70" i="1" s="1"/>
  <c r="B71" i="1"/>
  <c r="D71" i="1" s="1"/>
  <c r="C71" i="1"/>
  <c r="E71" i="1" s="1"/>
  <c r="B72" i="1"/>
  <c r="D72" i="1" s="1"/>
  <c r="C72" i="1"/>
  <c r="E72" i="1" s="1"/>
  <c r="B73" i="1"/>
  <c r="D73" i="1" s="1"/>
  <c r="C73" i="1"/>
  <c r="E73" i="1" s="1"/>
  <c r="B74" i="1"/>
  <c r="D74" i="1" s="1"/>
  <c r="C74" i="1"/>
  <c r="E74" i="1" s="1"/>
  <c r="B75" i="1"/>
  <c r="D75" i="1" s="1"/>
  <c r="C75" i="1"/>
  <c r="E75" i="1" s="1"/>
  <c r="B76" i="1"/>
  <c r="D76" i="1" s="1"/>
  <c r="C76" i="1"/>
  <c r="E76" i="1" s="1"/>
  <c r="B77" i="1"/>
  <c r="D77" i="1" s="1"/>
  <c r="C77" i="1"/>
  <c r="E77" i="1" s="1"/>
  <c r="B78" i="1"/>
  <c r="D78" i="1" s="1"/>
  <c r="C78" i="1"/>
  <c r="E78" i="1" s="1"/>
  <c r="B79" i="1"/>
  <c r="D79" i="1" s="1"/>
  <c r="C79" i="1"/>
  <c r="E79" i="1" s="1"/>
  <c r="B80" i="1"/>
  <c r="D80" i="1" s="1"/>
  <c r="C80" i="1"/>
  <c r="E80" i="1" s="1"/>
  <c r="B81" i="1"/>
  <c r="D81" i="1" s="1"/>
  <c r="C81" i="1"/>
  <c r="E81" i="1" s="1"/>
  <c r="B82" i="1"/>
  <c r="D82" i="1" s="1"/>
  <c r="C82" i="1"/>
  <c r="E82" i="1" s="1"/>
  <c r="B83" i="1"/>
  <c r="D83" i="1" s="1"/>
  <c r="C83" i="1"/>
  <c r="E83" i="1" s="1"/>
  <c r="B84" i="1"/>
  <c r="D84" i="1" s="1"/>
  <c r="C84" i="1"/>
  <c r="E84" i="1" s="1"/>
  <c r="B85" i="1"/>
  <c r="D85" i="1" s="1"/>
  <c r="C85" i="1"/>
  <c r="E85" i="1" s="1"/>
  <c r="B86" i="1"/>
  <c r="D86" i="1" s="1"/>
  <c r="C86" i="1"/>
  <c r="E86" i="1" s="1"/>
  <c r="B87" i="1"/>
  <c r="D87" i="1" s="1"/>
  <c r="C87" i="1"/>
  <c r="E87" i="1" s="1"/>
  <c r="B88" i="1"/>
  <c r="D88" i="1" s="1"/>
  <c r="C88" i="1"/>
  <c r="E88" i="1" s="1"/>
  <c r="B89" i="1"/>
  <c r="D89" i="1" s="1"/>
  <c r="C89" i="1"/>
  <c r="E89" i="1" s="1"/>
  <c r="B90" i="1"/>
  <c r="D90" i="1" s="1"/>
  <c r="C90" i="1"/>
  <c r="E90" i="1" s="1"/>
  <c r="B91" i="1"/>
  <c r="D91" i="1" s="1"/>
  <c r="C91" i="1"/>
  <c r="E91" i="1" s="1"/>
  <c r="B92" i="1"/>
  <c r="D92" i="1" s="1"/>
  <c r="C92" i="1"/>
  <c r="E92" i="1" s="1"/>
  <c r="B93" i="1"/>
  <c r="D93" i="1" s="1"/>
  <c r="C93" i="1"/>
  <c r="E93" i="1" s="1"/>
  <c r="B94" i="1"/>
  <c r="D94" i="1" s="1"/>
  <c r="C94" i="1"/>
  <c r="E94" i="1" s="1"/>
  <c r="B95" i="1"/>
  <c r="D95" i="1" s="1"/>
  <c r="C95" i="1"/>
  <c r="E95" i="1" s="1"/>
  <c r="B96" i="1"/>
  <c r="D96" i="1" s="1"/>
  <c r="C96" i="1"/>
  <c r="E96" i="1" s="1"/>
  <c r="B97" i="1"/>
  <c r="D97" i="1" s="1"/>
  <c r="C97" i="1"/>
  <c r="E97" i="1" s="1"/>
  <c r="B98" i="1"/>
  <c r="D98" i="1" s="1"/>
  <c r="C98" i="1"/>
  <c r="E98" i="1" s="1"/>
  <c r="B99" i="1"/>
  <c r="D99" i="1" s="1"/>
  <c r="C99" i="1"/>
  <c r="E99" i="1" s="1"/>
  <c r="B100" i="1"/>
  <c r="D100" i="1" s="1"/>
  <c r="C100" i="1"/>
  <c r="E100" i="1" s="1"/>
  <c r="B101" i="1"/>
  <c r="D101" i="1" s="1"/>
  <c r="C101" i="1"/>
  <c r="E101" i="1" s="1"/>
  <c r="B102" i="1"/>
  <c r="D102" i="1" s="1"/>
  <c r="C102" i="1"/>
  <c r="E102" i="1" s="1"/>
  <c r="B103" i="1"/>
  <c r="D103" i="1" s="1"/>
  <c r="C103" i="1"/>
  <c r="E103" i="1" s="1"/>
  <c r="B104" i="1"/>
  <c r="D104" i="1" s="1"/>
  <c r="C104" i="1"/>
  <c r="E104" i="1" s="1"/>
  <c r="B105" i="1"/>
  <c r="D105" i="1" s="1"/>
  <c r="C105" i="1"/>
  <c r="E105" i="1" s="1"/>
  <c r="B106" i="1"/>
  <c r="D106" i="1" s="1"/>
  <c r="C106" i="1"/>
  <c r="E106" i="1" s="1"/>
  <c r="B107" i="1"/>
  <c r="D107" i="1" s="1"/>
  <c r="C107" i="1"/>
  <c r="E107" i="1" s="1"/>
  <c r="B108" i="1"/>
  <c r="D108" i="1" s="1"/>
  <c r="C108" i="1"/>
  <c r="E108" i="1" s="1"/>
  <c r="B109" i="1"/>
  <c r="D109" i="1" s="1"/>
  <c r="C109" i="1"/>
  <c r="E109" i="1" s="1"/>
  <c r="B110" i="1"/>
  <c r="D110" i="1" s="1"/>
  <c r="C110" i="1"/>
  <c r="E110" i="1" s="1"/>
  <c r="B111" i="1"/>
  <c r="D111" i="1" s="1"/>
  <c r="C111" i="1"/>
  <c r="E111" i="1" s="1"/>
  <c r="B112" i="1"/>
  <c r="D112" i="1" s="1"/>
  <c r="C112" i="1"/>
  <c r="E112" i="1" s="1"/>
  <c r="B113" i="1"/>
  <c r="D113" i="1" s="1"/>
  <c r="C113" i="1"/>
  <c r="E113" i="1" s="1"/>
  <c r="B114" i="1"/>
  <c r="D114" i="1" s="1"/>
  <c r="C114" i="1"/>
  <c r="E114" i="1" s="1"/>
  <c r="B115" i="1"/>
  <c r="D115" i="1" s="1"/>
  <c r="C115" i="1"/>
  <c r="E115" i="1" s="1"/>
  <c r="B116" i="1"/>
  <c r="D116" i="1" s="1"/>
  <c r="C116" i="1"/>
  <c r="E116" i="1" s="1"/>
  <c r="B117" i="1"/>
  <c r="D117" i="1" s="1"/>
  <c r="C117" i="1"/>
  <c r="E117" i="1" s="1"/>
  <c r="B118" i="1"/>
  <c r="D118" i="1" s="1"/>
  <c r="C118" i="1"/>
  <c r="E118" i="1" s="1"/>
  <c r="B119" i="1"/>
  <c r="D119" i="1" s="1"/>
  <c r="C119" i="1"/>
  <c r="E119" i="1" s="1"/>
  <c r="B120" i="1"/>
  <c r="D120" i="1" s="1"/>
  <c r="C120" i="1"/>
  <c r="E120" i="1" s="1"/>
  <c r="B121" i="1"/>
  <c r="D121" i="1" s="1"/>
  <c r="C121" i="1"/>
  <c r="E121" i="1" s="1"/>
  <c r="B122" i="1"/>
  <c r="D122" i="1" s="1"/>
  <c r="C122" i="1"/>
  <c r="E122" i="1" s="1"/>
  <c r="B123" i="1"/>
  <c r="D123" i="1" s="1"/>
  <c r="C123" i="1"/>
  <c r="E123" i="1" s="1"/>
  <c r="B124" i="1"/>
  <c r="D124" i="1" s="1"/>
  <c r="C124" i="1"/>
  <c r="E124" i="1" s="1"/>
  <c r="B125" i="1"/>
  <c r="D125" i="1" s="1"/>
  <c r="C125" i="1"/>
  <c r="E125" i="1" s="1"/>
  <c r="B126" i="1"/>
  <c r="D126" i="1" s="1"/>
  <c r="C126" i="1"/>
  <c r="E126" i="1" s="1"/>
  <c r="B127" i="1"/>
  <c r="D127" i="1" s="1"/>
  <c r="C127" i="1"/>
  <c r="E127" i="1" s="1"/>
  <c r="B128" i="1"/>
  <c r="D128" i="1" s="1"/>
  <c r="C128" i="1"/>
  <c r="E128" i="1" s="1"/>
  <c r="B129" i="1"/>
  <c r="D129" i="1" s="1"/>
  <c r="C129" i="1"/>
  <c r="E129" i="1" s="1"/>
  <c r="B130" i="1"/>
  <c r="D130" i="1" s="1"/>
  <c r="C130" i="1"/>
  <c r="E130" i="1" s="1"/>
  <c r="B131" i="1"/>
  <c r="D131" i="1" s="1"/>
  <c r="C131" i="1"/>
  <c r="E131" i="1" s="1"/>
  <c r="B132" i="1"/>
  <c r="D132" i="1" s="1"/>
  <c r="C132" i="1"/>
  <c r="E132" i="1" s="1"/>
  <c r="B133" i="1"/>
  <c r="D133" i="1" s="1"/>
  <c r="C133" i="1"/>
  <c r="E133" i="1" s="1"/>
  <c r="B134" i="1"/>
  <c r="D134" i="1" s="1"/>
  <c r="C134" i="1"/>
  <c r="E134" i="1" s="1"/>
  <c r="B135" i="1"/>
  <c r="D135" i="1" s="1"/>
  <c r="C135" i="1"/>
  <c r="E135" i="1" s="1"/>
  <c r="B136" i="1"/>
  <c r="D136" i="1" s="1"/>
  <c r="C136" i="1"/>
  <c r="E136" i="1" s="1"/>
  <c r="B137" i="1"/>
  <c r="D137" i="1" s="1"/>
  <c r="C137" i="1"/>
  <c r="E137" i="1" s="1"/>
  <c r="B138" i="1"/>
  <c r="D138" i="1" s="1"/>
  <c r="C138" i="1"/>
  <c r="E138" i="1" s="1"/>
  <c r="B139" i="1"/>
  <c r="D139" i="1" s="1"/>
  <c r="C139" i="1"/>
  <c r="E139" i="1" s="1"/>
  <c r="B140" i="1"/>
  <c r="D140" i="1" s="1"/>
  <c r="C140" i="1"/>
  <c r="E140" i="1" s="1"/>
  <c r="B141" i="1"/>
  <c r="D141" i="1" s="1"/>
  <c r="C141" i="1"/>
  <c r="E141" i="1" s="1"/>
  <c r="B142" i="1"/>
  <c r="D142" i="1" s="1"/>
  <c r="C142" i="1"/>
  <c r="E142" i="1" s="1"/>
  <c r="B143" i="1"/>
  <c r="D143" i="1" s="1"/>
  <c r="C143" i="1"/>
  <c r="E143" i="1" s="1"/>
  <c r="B144" i="1"/>
  <c r="D144" i="1" s="1"/>
  <c r="C144" i="1"/>
  <c r="E144" i="1" s="1"/>
  <c r="B145" i="1"/>
  <c r="D145" i="1" s="1"/>
  <c r="C145" i="1"/>
  <c r="E145" i="1" s="1"/>
  <c r="B146" i="1"/>
  <c r="D146" i="1" s="1"/>
  <c r="C146" i="1"/>
  <c r="E146" i="1" s="1"/>
  <c r="B147" i="1"/>
  <c r="D147" i="1" s="1"/>
  <c r="C147" i="1"/>
  <c r="E147" i="1" s="1"/>
  <c r="B148" i="1"/>
  <c r="D148" i="1" s="1"/>
  <c r="C148" i="1"/>
  <c r="E148" i="1" s="1"/>
  <c r="B149" i="1"/>
  <c r="D149" i="1" s="1"/>
  <c r="C149" i="1"/>
  <c r="E149" i="1" s="1"/>
  <c r="B150" i="1"/>
  <c r="D150" i="1" s="1"/>
  <c r="C150" i="1"/>
  <c r="E150" i="1" s="1"/>
  <c r="B151" i="1"/>
  <c r="D151" i="1" s="1"/>
  <c r="C151" i="1"/>
  <c r="E151" i="1" s="1"/>
  <c r="B152" i="1"/>
  <c r="D152" i="1" s="1"/>
  <c r="C152" i="1"/>
  <c r="E152" i="1" s="1"/>
  <c r="B153" i="1"/>
  <c r="D153" i="1" s="1"/>
  <c r="C153" i="1"/>
  <c r="E153" i="1" s="1"/>
  <c r="B154" i="1"/>
  <c r="D154" i="1" s="1"/>
  <c r="C154" i="1"/>
  <c r="E154" i="1" s="1"/>
  <c r="B155" i="1"/>
  <c r="D155" i="1" s="1"/>
  <c r="C155" i="1"/>
  <c r="E155" i="1" s="1"/>
  <c r="B156" i="1"/>
  <c r="D156" i="1" s="1"/>
  <c r="C156" i="1"/>
  <c r="E156" i="1" s="1"/>
  <c r="B157" i="1"/>
  <c r="D157" i="1" s="1"/>
  <c r="C157" i="1"/>
  <c r="E157" i="1" s="1"/>
  <c r="B158" i="1"/>
  <c r="D158" i="1" s="1"/>
  <c r="C158" i="1"/>
  <c r="E158" i="1" s="1"/>
  <c r="B159" i="1"/>
  <c r="D159" i="1" s="1"/>
  <c r="C159" i="1"/>
  <c r="E159" i="1" s="1"/>
  <c r="B160" i="1"/>
  <c r="D160" i="1" s="1"/>
  <c r="C160" i="1"/>
  <c r="E160" i="1" s="1"/>
  <c r="B161" i="1"/>
  <c r="D161" i="1" s="1"/>
  <c r="C161" i="1"/>
  <c r="E161" i="1" s="1"/>
  <c r="B162" i="1"/>
  <c r="D162" i="1" s="1"/>
  <c r="C162" i="1"/>
  <c r="E162" i="1" s="1"/>
  <c r="B163" i="1"/>
  <c r="D163" i="1" s="1"/>
  <c r="C163" i="1"/>
  <c r="E163" i="1" s="1"/>
  <c r="B164" i="1"/>
  <c r="D164" i="1" s="1"/>
  <c r="C164" i="1"/>
  <c r="E164" i="1" s="1"/>
  <c r="B165" i="1"/>
  <c r="D165" i="1" s="1"/>
  <c r="C165" i="1"/>
  <c r="E165" i="1" s="1"/>
  <c r="B166" i="1"/>
  <c r="D166" i="1" s="1"/>
  <c r="C166" i="1"/>
  <c r="E166" i="1" s="1"/>
  <c r="B167" i="1"/>
  <c r="D167" i="1" s="1"/>
  <c r="C167" i="1"/>
  <c r="E167" i="1" s="1"/>
  <c r="B168" i="1"/>
  <c r="D168" i="1" s="1"/>
  <c r="C168" i="1"/>
  <c r="E168" i="1" s="1"/>
  <c r="B169" i="1"/>
  <c r="D169" i="1" s="1"/>
  <c r="C169" i="1"/>
  <c r="E169" i="1" s="1"/>
  <c r="B170" i="1"/>
  <c r="D170" i="1" s="1"/>
  <c r="C170" i="1"/>
  <c r="E170" i="1" s="1"/>
  <c r="B171" i="1"/>
  <c r="D171" i="1" s="1"/>
  <c r="C171" i="1"/>
  <c r="E171" i="1" s="1"/>
  <c r="B172" i="1"/>
  <c r="D172" i="1" s="1"/>
  <c r="C172" i="1"/>
  <c r="E172" i="1" s="1"/>
  <c r="B173" i="1"/>
  <c r="D173" i="1" s="1"/>
  <c r="C173" i="1"/>
  <c r="E173" i="1" s="1"/>
  <c r="B174" i="1"/>
  <c r="D174" i="1" s="1"/>
  <c r="C174" i="1"/>
  <c r="E174" i="1" s="1"/>
  <c r="B175" i="1"/>
  <c r="D175" i="1" s="1"/>
  <c r="C175" i="1"/>
  <c r="E175" i="1" s="1"/>
  <c r="B176" i="1"/>
  <c r="D176" i="1" s="1"/>
  <c r="C176" i="1"/>
  <c r="E176" i="1" s="1"/>
  <c r="B177" i="1"/>
  <c r="D177" i="1" s="1"/>
  <c r="C177" i="1"/>
  <c r="E177" i="1" s="1"/>
  <c r="B178" i="1"/>
  <c r="D178" i="1" s="1"/>
  <c r="C178" i="1"/>
  <c r="E178" i="1" s="1"/>
  <c r="B179" i="1"/>
  <c r="D179" i="1" s="1"/>
  <c r="C179" i="1"/>
  <c r="E179" i="1" s="1"/>
  <c r="B180" i="1"/>
  <c r="D180" i="1" s="1"/>
  <c r="C180" i="1"/>
  <c r="E180" i="1" s="1"/>
  <c r="B181" i="1"/>
  <c r="D181" i="1" s="1"/>
  <c r="C181" i="1"/>
  <c r="E181" i="1" s="1"/>
  <c r="B182" i="1"/>
  <c r="D182" i="1" s="1"/>
  <c r="C182" i="1"/>
  <c r="E182" i="1" s="1"/>
  <c r="B183" i="1"/>
  <c r="D183" i="1" s="1"/>
  <c r="C183" i="1"/>
  <c r="E183" i="1" s="1"/>
  <c r="B184" i="1"/>
  <c r="D184" i="1" s="1"/>
  <c r="C184" i="1"/>
  <c r="E184" i="1" s="1"/>
  <c r="B185" i="1"/>
  <c r="D185" i="1" s="1"/>
  <c r="C185" i="1"/>
  <c r="E185" i="1" s="1"/>
  <c r="B186" i="1"/>
  <c r="D186" i="1" s="1"/>
  <c r="C186" i="1"/>
  <c r="E186" i="1" s="1"/>
  <c r="B187" i="1"/>
  <c r="D187" i="1" s="1"/>
  <c r="C187" i="1"/>
  <c r="E187" i="1" s="1"/>
  <c r="B188" i="1"/>
  <c r="D188" i="1" s="1"/>
  <c r="C188" i="1"/>
  <c r="E188" i="1" s="1"/>
  <c r="B189" i="1"/>
  <c r="D189" i="1" s="1"/>
  <c r="C189" i="1"/>
  <c r="E189" i="1" s="1"/>
  <c r="B190" i="1"/>
  <c r="D190" i="1" s="1"/>
  <c r="C190" i="1"/>
  <c r="E190" i="1" s="1"/>
  <c r="B191" i="1"/>
  <c r="D191" i="1" s="1"/>
  <c r="C191" i="1"/>
  <c r="E191" i="1" s="1"/>
  <c r="B192" i="1"/>
  <c r="D192" i="1" s="1"/>
  <c r="C192" i="1"/>
  <c r="E192" i="1" s="1"/>
  <c r="B193" i="1"/>
  <c r="D193" i="1" s="1"/>
  <c r="C193" i="1"/>
  <c r="E193" i="1" s="1"/>
  <c r="B194" i="1"/>
  <c r="D194" i="1" s="1"/>
  <c r="C194" i="1"/>
  <c r="E194" i="1" s="1"/>
  <c r="B195" i="1"/>
  <c r="D195" i="1" s="1"/>
  <c r="C195" i="1"/>
  <c r="E195" i="1" s="1"/>
  <c r="B196" i="1"/>
  <c r="D196" i="1" s="1"/>
  <c r="C196" i="1"/>
  <c r="E196" i="1" s="1"/>
  <c r="B197" i="1"/>
  <c r="D197" i="1" s="1"/>
  <c r="C197" i="1"/>
  <c r="E197" i="1" s="1"/>
  <c r="B198" i="1"/>
  <c r="D198" i="1" s="1"/>
  <c r="C198" i="1"/>
  <c r="E198" i="1" s="1"/>
  <c r="B199" i="1"/>
  <c r="D199" i="1" s="1"/>
  <c r="C199" i="1"/>
  <c r="E199" i="1" s="1"/>
  <c r="B200" i="1"/>
  <c r="D200" i="1" s="1"/>
  <c r="C200" i="1"/>
  <c r="E200" i="1" s="1"/>
  <c r="B201" i="1"/>
  <c r="D201" i="1" s="1"/>
  <c r="C201" i="1"/>
  <c r="E201" i="1" s="1"/>
  <c r="B202" i="1"/>
  <c r="D202" i="1" s="1"/>
  <c r="C202" i="1"/>
  <c r="E202" i="1" s="1"/>
  <c r="B203" i="1"/>
  <c r="D203" i="1" s="1"/>
  <c r="C203" i="1"/>
  <c r="E203" i="1" s="1"/>
  <c r="B204" i="1"/>
  <c r="D204" i="1" s="1"/>
  <c r="C204" i="1"/>
  <c r="E204" i="1" s="1"/>
  <c r="B205" i="1"/>
  <c r="D205" i="1" s="1"/>
  <c r="C205" i="1"/>
  <c r="E205" i="1" s="1"/>
  <c r="B206" i="1"/>
  <c r="D206" i="1" s="1"/>
  <c r="C206" i="1"/>
  <c r="E206" i="1" s="1"/>
  <c r="B207" i="1"/>
  <c r="D207" i="1" s="1"/>
  <c r="C207" i="1"/>
  <c r="E207" i="1" s="1"/>
  <c r="B208" i="1"/>
  <c r="D208" i="1" s="1"/>
  <c r="C208" i="1"/>
  <c r="E208" i="1" s="1"/>
  <c r="B209" i="1"/>
  <c r="D209" i="1" s="1"/>
  <c r="C209" i="1"/>
  <c r="E209" i="1" s="1"/>
  <c r="B210" i="1"/>
  <c r="D210" i="1" s="1"/>
  <c r="C210" i="1"/>
  <c r="E210" i="1" s="1"/>
  <c r="B211" i="1"/>
  <c r="D211" i="1" s="1"/>
  <c r="C211" i="1"/>
  <c r="E211" i="1" s="1"/>
  <c r="B212" i="1"/>
  <c r="D212" i="1" s="1"/>
  <c r="C212" i="1"/>
  <c r="E212" i="1" s="1"/>
  <c r="B213" i="1"/>
  <c r="D213" i="1" s="1"/>
  <c r="C213" i="1"/>
  <c r="E213" i="1" s="1"/>
  <c r="B214" i="1"/>
  <c r="D214" i="1" s="1"/>
  <c r="C214" i="1"/>
  <c r="E214" i="1" s="1"/>
  <c r="B215" i="1"/>
  <c r="D215" i="1" s="1"/>
  <c r="C215" i="1"/>
  <c r="E215" i="1" s="1"/>
  <c r="B17" i="1"/>
  <c r="D17" i="1" s="1"/>
  <c r="C17" i="1"/>
  <c r="E17" i="1" s="1"/>
  <c r="C16" i="1"/>
  <c r="E16" i="1" s="1"/>
  <c r="B16" i="1"/>
  <c r="D16" i="1" s="1"/>
  <c r="F16" i="1" s="1"/>
  <c r="J64" i="26" l="1"/>
  <c r="G65" i="26"/>
  <c r="H65" i="26" s="1"/>
  <c r="I65" i="26" s="1"/>
  <c r="F67" i="26"/>
  <c r="F67" i="25"/>
  <c r="J63" i="25"/>
  <c r="G64" i="25"/>
  <c r="H64" i="25" s="1"/>
  <c r="I64" i="25" s="1"/>
  <c r="J62" i="24"/>
  <c r="G63" i="24"/>
  <c r="H63" i="24" s="1"/>
  <c r="I63" i="24" s="1"/>
  <c r="F65" i="24"/>
  <c r="F62" i="23"/>
  <c r="J59" i="23"/>
  <c r="G60" i="23"/>
  <c r="H60" i="23" s="1"/>
  <c r="I60" i="23" s="1"/>
  <c r="G56" i="22"/>
  <c r="H56" i="22" s="1"/>
  <c r="I56" i="22" s="1"/>
  <c r="J55" i="22"/>
  <c r="F61" i="22"/>
  <c r="G56" i="19"/>
  <c r="H56" i="19" s="1"/>
  <c r="I56" i="19" s="1"/>
  <c r="J55" i="19"/>
  <c r="F58" i="19"/>
  <c r="J54" i="18"/>
  <c r="G55" i="18"/>
  <c r="H55" i="18" s="1"/>
  <c r="I55" i="18" s="1"/>
  <c r="I34" i="14"/>
  <c r="G35" i="14"/>
  <c r="H35" i="13"/>
  <c r="G36" i="13"/>
  <c r="I25" i="12"/>
  <c r="G26" i="12"/>
  <c r="I19" i="11"/>
  <c r="G20" i="11"/>
  <c r="H20" i="11" s="1"/>
  <c r="G28" i="10"/>
  <c r="H28" i="10" s="1"/>
  <c r="I28" i="10" s="1"/>
  <c r="F30" i="10"/>
  <c r="I22" i="9"/>
  <c r="G23" i="9"/>
  <c r="H23" i="9" s="1"/>
  <c r="F26" i="9"/>
  <c r="B16" i="3"/>
  <c r="E16" i="3" s="1"/>
  <c r="B17" i="3"/>
  <c r="E17" i="3" s="1"/>
  <c r="B14" i="3"/>
  <c r="F14" i="3" s="1"/>
  <c r="G10" i="8"/>
  <c r="H10" i="8" s="1"/>
  <c r="I10" i="8" s="1"/>
  <c r="F12" i="8"/>
  <c r="F11" i="7"/>
  <c r="G10" i="7"/>
  <c r="H10" i="7" s="1"/>
  <c r="I10" i="7" s="1"/>
  <c r="A13" i="3"/>
  <c r="C13" i="3" s="1"/>
  <c r="A17" i="3"/>
  <c r="C17" i="3" s="1"/>
  <c r="A16" i="3"/>
  <c r="C16" i="3" s="1"/>
  <c r="A19" i="3"/>
  <c r="C19" i="3" s="1"/>
  <c r="A15" i="3"/>
  <c r="C15" i="3" s="1"/>
  <c r="A18" i="3"/>
  <c r="C18" i="3" s="1"/>
  <c r="E8" i="5"/>
  <c r="F7" i="5"/>
  <c r="H7" i="5" s="1"/>
  <c r="I7" i="5" s="1"/>
  <c r="E7" i="4"/>
  <c r="G6" i="4"/>
  <c r="H6" i="4" s="1"/>
  <c r="I6" i="4" s="1"/>
  <c r="B15" i="3"/>
  <c r="D15" i="3" s="1"/>
  <c r="B19" i="3"/>
  <c r="D19" i="3" s="1"/>
  <c r="B18" i="3"/>
  <c r="E18" i="3" s="1"/>
  <c r="F16" i="3"/>
  <c r="E14" i="3"/>
  <c r="F19" i="3"/>
  <c r="F13" i="3"/>
  <c r="E13" i="3"/>
  <c r="D13" i="3"/>
  <c r="E217" i="1"/>
  <c r="E219" i="1" s="1"/>
  <c r="D217" i="1"/>
  <c r="D219" i="1" s="1"/>
  <c r="H16" i="1"/>
  <c r="I16" i="1" s="1"/>
  <c r="F17" i="1"/>
  <c r="F18" i="1" s="1"/>
  <c r="G66" i="26" l="1"/>
  <c r="H66" i="26" s="1"/>
  <c r="I66" i="26" s="1"/>
  <c r="J65" i="26"/>
  <c r="F68" i="26"/>
  <c r="J64" i="25"/>
  <c r="G65" i="25"/>
  <c r="H65" i="25" s="1"/>
  <c r="I65" i="25" s="1"/>
  <c r="F68" i="25"/>
  <c r="F66" i="24"/>
  <c r="J63" i="24"/>
  <c r="G64" i="24"/>
  <c r="H64" i="24" s="1"/>
  <c r="I64" i="24" s="1"/>
  <c r="J60" i="23"/>
  <c r="G61" i="23"/>
  <c r="H61" i="23" s="1"/>
  <c r="I61" i="23" s="1"/>
  <c r="F63" i="23"/>
  <c r="J56" i="22"/>
  <c r="G57" i="22"/>
  <c r="H57" i="22" s="1"/>
  <c r="I57" i="22" s="1"/>
  <c r="F62" i="22"/>
  <c r="J56" i="19"/>
  <c r="G57" i="19"/>
  <c r="H57" i="19" s="1"/>
  <c r="I57" i="19" s="1"/>
  <c r="F59" i="19"/>
  <c r="J55" i="18"/>
  <c r="G56" i="18"/>
  <c r="H56" i="18" s="1"/>
  <c r="I56" i="18" s="1"/>
  <c r="E19" i="3"/>
  <c r="D16" i="3"/>
  <c r="D14" i="3"/>
  <c r="D18" i="3"/>
  <c r="E15" i="3"/>
  <c r="F18" i="3"/>
  <c r="F15" i="3"/>
  <c r="D17" i="3"/>
  <c r="G36" i="14"/>
  <c r="H35" i="14"/>
  <c r="I35" i="13"/>
  <c r="G37" i="13"/>
  <c r="H26" i="12"/>
  <c r="G27" i="12"/>
  <c r="I20" i="11"/>
  <c r="G21" i="11"/>
  <c r="H21" i="11" s="1"/>
  <c r="G29" i="10"/>
  <c r="H29" i="10" s="1"/>
  <c r="I29" i="10" s="1"/>
  <c r="F31" i="10"/>
  <c r="I23" i="9"/>
  <c r="G24" i="9"/>
  <c r="H24" i="9" s="1"/>
  <c r="F27" i="9"/>
  <c r="F17" i="3"/>
  <c r="G11" i="8"/>
  <c r="H11" i="8" s="1"/>
  <c r="I11" i="8" s="1"/>
  <c r="F13" i="8"/>
  <c r="F12" i="7"/>
  <c r="G11" i="7"/>
  <c r="H11" i="7" s="1"/>
  <c r="I11" i="7" s="1"/>
  <c r="E9" i="5"/>
  <c r="F8" i="5"/>
  <c r="H8" i="5" s="1"/>
  <c r="I8" i="5" s="1"/>
  <c r="E8" i="4"/>
  <c r="G7" i="4"/>
  <c r="H7" i="4" s="1"/>
  <c r="I7" i="4" s="1"/>
  <c r="F19" i="1"/>
  <c r="G17" i="1"/>
  <c r="G67" i="26" l="1"/>
  <c r="H67" i="26" s="1"/>
  <c r="I67" i="26" s="1"/>
  <c r="J66" i="26"/>
  <c r="F69" i="26"/>
  <c r="J65" i="25"/>
  <c r="G66" i="25"/>
  <c r="H66" i="25" s="1"/>
  <c r="I66" i="25" s="1"/>
  <c r="F69" i="25"/>
  <c r="J64" i="24"/>
  <c r="G65" i="24"/>
  <c r="H65" i="24" s="1"/>
  <c r="I65" i="24" s="1"/>
  <c r="F67" i="24"/>
  <c r="F64" i="23"/>
  <c r="J61" i="23"/>
  <c r="G62" i="23"/>
  <c r="H62" i="23" s="1"/>
  <c r="I62" i="23" s="1"/>
  <c r="J57" i="22"/>
  <c r="G58" i="22"/>
  <c r="H58" i="22" s="1"/>
  <c r="I58" i="22" s="1"/>
  <c r="F63" i="22"/>
  <c r="F60" i="19"/>
  <c r="J57" i="19"/>
  <c r="G58" i="19"/>
  <c r="H58" i="19" s="1"/>
  <c r="I58" i="19" s="1"/>
  <c r="J56" i="18"/>
  <c r="G57" i="18"/>
  <c r="H57" i="18" s="1"/>
  <c r="I57" i="18" s="1"/>
  <c r="I35" i="14"/>
  <c r="I37" i="14" s="1"/>
  <c r="G37" i="14"/>
  <c r="I37" i="13"/>
  <c r="I36" i="13"/>
  <c r="I26" i="12"/>
  <c r="I28" i="12" s="1"/>
  <c r="G28" i="12"/>
  <c r="I21" i="11"/>
  <c r="G22" i="11"/>
  <c r="H22" i="11" s="1"/>
  <c r="G30" i="10"/>
  <c r="H30" i="10" s="1"/>
  <c r="I30" i="10" s="1"/>
  <c r="F32" i="10"/>
  <c r="I24" i="9"/>
  <c r="G25" i="9"/>
  <c r="H25" i="9" s="1"/>
  <c r="F28" i="9"/>
  <c r="G12" i="8"/>
  <c r="H12" i="8" s="1"/>
  <c r="I12" i="8" s="1"/>
  <c r="F14" i="8"/>
  <c r="F13" i="7"/>
  <c r="G12" i="7"/>
  <c r="H12" i="7" s="1"/>
  <c r="I12" i="7" s="1"/>
  <c r="E10" i="5"/>
  <c r="F9" i="5"/>
  <c r="H9" i="5" s="1"/>
  <c r="I9" i="5" s="1"/>
  <c r="E9" i="4"/>
  <c r="G8" i="4"/>
  <c r="H8" i="4" s="1"/>
  <c r="I8" i="4" s="1"/>
  <c r="H17" i="1"/>
  <c r="F20" i="1"/>
  <c r="J67" i="26" l="1"/>
  <c r="G68" i="26"/>
  <c r="H68" i="26" s="1"/>
  <c r="I68" i="26" s="1"/>
  <c r="F70" i="26"/>
  <c r="F70" i="25"/>
  <c r="J66" i="25"/>
  <c r="G67" i="25"/>
  <c r="H67" i="25" s="1"/>
  <c r="I67" i="25" s="1"/>
  <c r="F68" i="24"/>
  <c r="J65" i="24"/>
  <c r="G66" i="24"/>
  <c r="H66" i="24" s="1"/>
  <c r="I66" i="24" s="1"/>
  <c r="J62" i="23"/>
  <c r="G63" i="23"/>
  <c r="H63" i="23" s="1"/>
  <c r="I63" i="23" s="1"/>
  <c r="F65" i="23"/>
  <c r="J58" i="22"/>
  <c r="G59" i="22"/>
  <c r="H59" i="22" s="1"/>
  <c r="I59" i="22" s="1"/>
  <c r="F64" i="22"/>
  <c r="F61" i="19"/>
  <c r="J58" i="19"/>
  <c r="G59" i="19"/>
  <c r="H59" i="19" s="1"/>
  <c r="I59" i="19" s="1"/>
  <c r="J57" i="18"/>
  <c r="G58" i="18"/>
  <c r="H58" i="18" s="1"/>
  <c r="I58" i="18" s="1"/>
  <c r="I17" i="1"/>
  <c r="G18" i="1"/>
  <c r="I36" i="14"/>
  <c r="I27" i="12"/>
  <c r="I22" i="11"/>
  <c r="G23" i="11"/>
  <c r="H23" i="11" s="1"/>
  <c r="G31" i="10"/>
  <c r="H31" i="10" s="1"/>
  <c r="I31" i="10" s="1"/>
  <c r="F33" i="10"/>
  <c r="I25" i="9"/>
  <c r="G26" i="9"/>
  <c r="H26" i="9" s="1"/>
  <c r="F29" i="9"/>
  <c r="G13" i="8"/>
  <c r="H13" i="8" s="1"/>
  <c r="I13" i="8" s="1"/>
  <c r="F15" i="8"/>
  <c r="F14" i="7"/>
  <c r="G13" i="7"/>
  <c r="H13" i="7" s="1"/>
  <c r="I13" i="7" s="1"/>
  <c r="E11" i="5"/>
  <c r="F10" i="5"/>
  <c r="H10" i="5" s="1"/>
  <c r="I10" i="5" s="1"/>
  <c r="E10" i="4"/>
  <c r="G9" i="4"/>
  <c r="H9" i="4" s="1"/>
  <c r="I9" i="4" s="1"/>
  <c r="F21" i="1"/>
  <c r="J68" i="26" l="1"/>
  <c r="G69" i="26"/>
  <c r="H69" i="26" s="1"/>
  <c r="I69" i="26" s="1"/>
  <c r="F71" i="26"/>
  <c r="J67" i="25"/>
  <c r="G68" i="25"/>
  <c r="H68" i="25" s="1"/>
  <c r="I68" i="25" s="1"/>
  <c r="F71" i="25"/>
  <c r="J66" i="24"/>
  <c r="G67" i="24"/>
  <c r="H67" i="24" s="1"/>
  <c r="I67" i="24" s="1"/>
  <c r="F69" i="24"/>
  <c r="F66" i="23"/>
  <c r="J63" i="23"/>
  <c r="G64" i="23"/>
  <c r="H64" i="23" s="1"/>
  <c r="I64" i="23" s="1"/>
  <c r="G60" i="22"/>
  <c r="H60" i="22" s="1"/>
  <c r="I60" i="22" s="1"/>
  <c r="J59" i="22"/>
  <c r="J59" i="19"/>
  <c r="G60" i="19"/>
  <c r="H60" i="19" s="1"/>
  <c r="I60" i="19" s="1"/>
  <c r="F62" i="19"/>
  <c r="J58" i="18"/>
  <c r="G59" i="18"/>
  <c r="H59" i="18" s="1"/>
  <c r="I59" i="18" s="1"/>
  <c r="I23" i="11"/>
  <c r="G24" i="11"/>
  <c r="H24" i="11" s="1"/>
  <c r="G32" i="10"/>
  <c r="H32" i="10" s="1"/>
  <c r="I32" i="10" s="1"/>
  <c r="F34" i="10"/>
  <c r="I26" i="9"/>
  <c r="G27" i="9"/>
  <c r="H27" i="9" s="1"/>
  <c r="F30" i="9"/>
  <c r="G14" i="8"/>
  <c r="H14" i="8" s="1"/>
  <c r="I14" i="8" s="1"/>
  <c r="F16" i="8"/>
  <c r="G14" i="7"/>
  <c r="H14" i="7" s="1"/>
  <c r="I14" i="7" s="1"/>
  <c r="E12" i="5"/>
  <c r="F11" i="5"/>
  <c r="H11" i="5" s="1"/>
  <c r="I11" i="5" s="1"/>
  <c r="E11" i="4"/>
  <c r="G10" i="4"/>
  <c r="H10" i="4" s="1"/>
  <c r="I10" i="4" s="1"/>
  <c r="H18" i="1"/>
  <c r="F22" i="1"/>
  <c r="F72" i="26" l="1"/>
  <c r="G70" i="26"/>
  <c r="H70" i="26" s="1"/>
  <c r="I70" i="26" s="1"/>
  <c r="J69" i="26"/>
  <c r="F72" i="25"/>
  <c r="J68" i="25"/>
  <c r="G69" i="25"/>
  <c r="H69" i="25" s="1"/>
  <c r="I69" i="25" s="1"/>
  <c r="F70" i="24"/>
  <c r="J67" i="24"/>
  <c r="G68" i="24"/>
  <c r="H68" i="24" s="1"/>
  <c r="I68" i="24" s="1"/>
  <c r="J64" i="23"/>
  <c r="G65" i="23"/>
  <c r="H65" i="23" s="1"/>
  <c r="I65" i="23" s="1"/>
  <c r="F67" i="23"/>
  <c r="J60" i="22"/>
  <c r="G61" i="22"/>
  <c r="H61" i="22" s="1"/>
  <c r="I61" i="22" s="1"/>
  <c r="F63" i="19"/>
  <c r="J60" i="19"/>
  <c r="G61" i="19"/>
  <c r="H61" i="19" s="1"/>
  <c r="I61" i="19" s="1"/>
  <c r="J59" i="18"/>
  <c r="G60" i="18"/>
  <c r="H60" i="18" s="1"/>
  <c r="I60" i="18" s="1"/>
  <c r="I24" i="11"/>
  <c r="G25" i="11"/>
  <c r="H25" i="11" s="1"/>
  <c r="G33" i="10"/>
  <c r="H33" i="10" s="1"/>
  <c r="I33" i="10" s="1"/>
  <c r="F35" i="10"/>
  <c r="I27" i="9"/>
  <c r="G28" i="9"/>
  <c r="H28" i="9" s="1"/>
  <c r="F31" i="9"/>
  <c r="G15" i="8"/>
  <c r="H15" i="8" s="1"/>
  <c r="I15" i="8" s="1"/>
  <c r="F17" i="8"/>
  <c r="E13" i="5"/>
  <c r="F12" i="5"/>
  <c r="H12" i="5" s="1"/>
  <c r="I12" i="5" s="1"/>
  <c r="E12" i="4"/>
  <c r="G11" i="4"/>
  <c r="H11" i="4" s="1"/>
  <c r="I11" i="4" s="1"/>
  <c r="I18" i="1"/>
  <c r="G19" i="1"/>
  <c r="F23" i="1"/>
  <c r="F73" i="26" l="1"/>
  <c r="G71" i="26"/>
  <c r="H71" i="26" s="1"/>
  <c r="I71" i="26" s="1"/>
  <c r="J70" i="26"/>
  <c r="G70" i="25"/>
  <c r="H70" i="25" s="1"/>
  <c r="I70" i="25" s="1"/>
  <c r="J69" i="25"/>
  <c r="F73" i="25"/>
  <c r="J68" i="24"/>
  <c r="G69" i="24"/>
  <c r="H69" i="24" s="1"/>
  <c r="I69" i="24" s="1"/>
  <c r="F71" i="24"/>
  <c r="F68" i="23"/>
  <c r="J65" i="23"/>
  <c r="G66" i="23"/>
  <c r="H66" i="23" s="1"/>
  <c r="I66" i="23" s="1"/>
  <c r="G62" i="22"/>
  <c r="H62" i="22" s="1"/>
  <c r="I62" i="22" s="1"/>
  <c r="J61" i="22"/>
  <c r="J61" i="19"/>
  <c r="G62" i="19"/>
  <c r="H62" i="19" s="1"/>
  <c r="I62" i="19" s="1"/>
  <c r="F64" i="19"/>
  <c r="J60" i="18"/>
  <c r="G61" i="18"/>
  <c r="H61" i="18" s="1"/>
  <c r="I61" i="18" s="1"/>
  <c r="I25" i="11"/>
  <c r="G26" i="11"/>
  <c r="G34" i="10"/>
  <c r="H34" i="10" s="1"/>
  <c r="I34" i="10" s="1"/>
  <c r="I28" i="9"/>
  <c r="G29" i="9"/>
  <c r="H29" i="9" s="1"/>
  <c r="F32" i="9"/>
  <c r="G16" i="8"/>
  <c r="H16" i="8" s="1"/>
  <c r="I16" i="8" s="1"/>
  <c r="F18" i="8"/>
  <c r="E14" i="5"/>
  <c r="F13" i="5"/>
  <c r="H13" i="5" s="1"/>
  <c r="I13" i="5" s="1"/>
  <c r="E13" i="4"/>
  <c r="G12" i="4"/>
  <c r="H12" i="4" s="1"/>
  <c r="I12" i="4" s="1"/>
  <c r="H19" i="1"/>
  <c r="F24" i="1"/>
  <c r="F74" i="26" l="1"/>
  <c r="J71" i="26"/>
  <c r="G72" i="26"/>
  <c r="H72" i="26" s="1"/>
  <c r="I72" i="26" s="1"/>
  <c r="F74" i="25"/>
  <c r="J70" i="25"/>
  <c r="G71" i="25"/>
  <c r="H71" i="25" s="1"/>
  <c r="I71" i="25" s="1"/>
  <c r="F72" i="24"/>
  <c r="J69" i="24"/>
  <c r="G70" i="24"/>
  <c r="H70" i="24" s="1"/>
  <c r="I70" i="24" s="1"/>
  <c r="J66" i="23"/>
  <c r="G67" i="23"/>
  <c r="H67" i="23" s="1"/>
  <c r="I67" i="23" s="1"/>
  <c r="F69" i="23"/>
  <c r="J62" i="22"/>
  <c r="G63" i="22"/>
  <c r="H63" i="22" s="1"/>
  <c r="I63" i="22" s="1"/>
  <c r="J62" i="19"/>
  <c r="G63" i="19"/>
  <c r="H63" i="19" s="1"/>
  <c r="I63" i="19" s="1"/>
  <c r="J61" i="18"/>
  <c r="G62" i="18"/>
  <c r="H62" i="18" s="1"/>
  <c r="I62" i="18" s="1"/>
  <c r="G27" i="11"/>
  <c r="H26" i="11"/>
  <c r="G35" i="10"/>
  <c r="G36" i="10" s="1"/>
  <c r="I29" i="9"/>
  <c r="G30" i="9"/>
  <c r="H30" i="9" s="1"/>
  <c r="F33" i="9"/>
  <c r="G17" i="8"/>
  <c r="H17" i="8" s="1"/>
  <c r="I17" i="8" s="1"/>
  <c r="F19" i="8"/>
  <c r="E15" i="5"/>
  <c r="F14" i="5"/>
  <c r="H14" i="5" s="1"/>
  <c r="I14" i="5" s="1"/>
  <c r="E14" i="4"/>
  <c r="G13" i="4"/>
  <c r="H13" i="4" s="1"/>
  <c r="I13" i="4" s="1"/>
  <c r="I19" i="1"/>
  <c r="G20" i="1"/>
  <c r="F25" i="1"/>
  <c r="J72" i="26" l="1"/>
  <c r="G73" i="26"/>
  <c r="H73" i="26" s="1"/>
  <c r="I73" i="26" s="1"/>
  <c r="F75" i="26"/>
  <c r="J71" i="25"/>
  <c r="G72" i="25"/>
  <c r="H72" i="25" s="1"/>
  <c r="I72" i="25" s="1"/>
  <c r="F75" i="25"/>
  <c r="J70" i="24"/>
  <c r="G71" i="24"/>
  <c r="H71" i="24" s="1"/>
  <c r="I71" i="24" s="1"/>
  <c r="F73" i="24"/>
  <c r="F70" i="23"/>
  <c r="J67" i="23"/>
  <c r="G68" i="23"/>
  <c r="H68" i="23" s="1"/>
  <c r="I68" i="23" s="1"/>
  <c r="J63" i="22"/>
  <c r="G64" i="22"/>
  <c r="J63" i="19"/>
  <c r="G64" i="19"/>
  <c r="J62" i="18"/>
  <c r="G63" i="18"/>
  <c r="H63" i="18" s="1"/>
  <c r="I63" i="18" s="1"/>
  <c r="I26" i="11"/>
  <c r="I28" i="11" s="1"/>
  <c r="G28" i="11"/>
  <c r="H35" i="10"/>
  <c r="I35" i="10" s="1"/>
  <c r="I37" i="10" s="1"/>
  <c r="I30" i="9"/>
  <c r="G31" i="9"/>
  <c r="H31" i="9" s="1"/>
  <c r="F34" i="9"/>
  <c r="G18" i="8"/>
  <c r="H18" i="8" s="1"/>
  <c r="I18" i="8" s="1"/>
  <c r="F20" i="8"/>
  <c r="E16" i="5"/>
  <c r="F15" i="5"/>
  <c r="H15" i="5" s="1"/>
  <c r="I15" i="5" s="1"/>
  <c r="E15" i="4"/>
  <c r="G14" i="4"/>
  <c r="H14" i="4" s="1"/>
  <c r="I14" i="4" s="1"/>
  <c r="H20" i="1"/>
  <c r="F26" i="1"/>
  <c r="G74" i="26" l="1"/>
  <c r="H74" i="26" s="1"/>
  <c r="I74" i="26" s="1"/>
  <c r="J73" i="26"/>
  <c r="F76" i="26"/>
  <c r="F76" i="25"/>
  <c r="J72" i="25"/>
  <c r="G73" i="25"/>
  <c r="H73" i="25" s="1"/>
  <c r="I73" i="25" s="1"/>
  <c r="F74" i="24"/>
  <c r="J71" i="24"/>
  <c r="G72" i="24"/>
  <c r="H72" i="24" s="1"/>
  <c r="I72" i="24" s="1"/>
  <c r="J68" i="23"/>
  <c r="G69" i="23"/>
  <c r="H69" i="23" s="1"/>
  <c r="I69" i="23" s="1"/>
  <c r="F71" i="23"/>
  <c r="H64" i="22"/>
  <c r="I64" i="22" s="1"/>
  <c r="G66" i="22"/>
  <c r="H64" i="19"/>
  <c r="I64" i="19" s="1"/>
  <c r="G65" i="19"/>
  <c r="J63" i="18"/>
  <c r="G64" i="18"/>
  <c r="I27" i="11"/>
  <c r="G37" i="10"/>
  <c r="I36" i="10"/>
  <c r="I31" i="9"/>
  <c r="G32" i="9"/>
  <c r="H32" i="9" s="1"/>
  <c r="F35" i="9"/>
  <c r="G19" i="8"/>
  <c r="H19" i="8" s="1"/>
  <c r="I19" i="8" s="1"/>
  <c r="F21" i="8"/>
  <c r="E17" i="5"/>
  <c r="F16" i="5"/>
  <c r="H16" i="5" s="1"/>
  <c r="I16" i="5" s="1"/>
  <c r="E16" i="4"/>
  <c r="G15" i="4"/>
  <c r="H15" i="4" s="1"/>
  <c r="I15" i="4" s="1"/>
  <c r="I20" i="1"/>
  <c r="G21" i="1"/>
  <c r="F27" i="1"/>
  <c r="G75" i="26" l="1"/>
  <c r="H75" i="26" s="1"/>
  <c r="I75" i="26" s="1"/>
  <c r="J74" i="26"/>
  <c r="F77" i="26"/>
  <c r="G74" i="25"/>
  <c r="H74" i="25" s="1"/>
  <c r="I74" i="25" s="1"/>
  <c r="J73" i="25"/>
  <c r="F77" i="25"/>
  <c r="J72" i="24"/>
  <c r="G73" i="24"/>
  <c r="H73" i="24" s="1"/>
  <c r="I73" i="24" s="1"/>
  <c r="F75" i="24"/>
  <c r="F72" i="23"/>
  <c r="J69" i="23"/>
  <c r="G70" i="23"/>
  <c r="H70" i="23" s="1"/>
  <c r="I70" i="23" s="1"/>
  <c r="J64" i="22"/>
  <c r="L32" i="22" s="1"/>
  <c r="M31" i="22" s="1"/>
  <c r="G68" i="22"/>
  <c r="G66" i="19"/>
  <c r="J64" i="19"/>
  <c r="J66" i="19" s="1"/>
  <c r="H64" i="18"/>
  <c r="I64" i="18" s="1"/>
  <c r="J64" i="18" s="1"/>
  <c r="J65" i="18" s="1"/>
  <c r="G65" i="18"/>
  <c r="I32" i="9"/>
  <c r="G33" i="9"/>
  <c r="H33" i="9" s="1"/>
  <c r="G20" i="8"/>
  <c r="H20" i="8" s="1"/>
  <c r="I20" i="8" s="1"/>
  <c r="F22" i="8"/>
  <c r="E18" i="5"/>
  <c r="F17" i="5"/>
  <c r="H17" i="5" s="1"/>
  <c r="I17" i="5" s="1"/>
  <c r="E17" i="4"/>
  <c r="G16" i="4"/>
  <c r="H16" i="4" s="1"/>
  <c r="I16" i="4" s="1"/>
  <c r="H21" i="1"/>
  <c r="F28" i="1"/>
  <c r="F78" i="26" l="1"/>
  <c r="J75" i="26"/>
  <c r="G76" i="26"/>
  <c r="H76" i="26" s="1"/>
  <c r="I76" i="26" s="1"/>
  <c r="F78" i="25"/>
  <c r="J74" i="25"/>
  <c r="G75" i="25"/>
  <c r="H75" i="25" s="1"/>
  <c r="I75" i="25" s="1"/>
  <c r="F76" i="24"/>
  <c r="J73" i="24"/>
  <c r="G74" i="24"/>
  <c r="H74" i="24" s="1"/>
  <c r="I74" i="24" s="1"/>
  <c r="J70" i="23"/>
  <c r="G71" i="23"/>
  <c r="H71" i="23" s="1"/>
  <c r="I71" i="23" s="1"/>
  <c r="F73" i="23"/>
  <c r="J66" i="22"/>
  <c r="L31" i="22"/>
  <c r="L34" i="22" s="1"/>
  <c r="M32" i="22" s="1"/>
  <c r="M33" i="22" s="1"/>
  <c r="M34" i="22" s="1"/>
  <c r="M35" i="22" s="1"/>
  <c r="M36" i="22" s="1"/>
  <c r="M37" i="22" s="1"/>
  <c r="M38" i="22" s="1"/>
  <c r="J68" i="22"/>
  <c r="J65" i="19"/>
  <c r="I33" i="9"/>
  <c r="G34" i="9"/>
  <c r="H34" i="9" s="1"/>
  <c r="G21" i="8"/>
  <c r="H21" i="8" s="1"/>
  <c r="I21" i="8" s="1"/>
  <c r="F23" i="8"/>
  <c r="E19" i="5"/>
  <c r="F18" i="5"/>
  <c r="H18" i="5" s="1"/>
  <c r="I18" i="5" s="1"/>
  <c r="E18" i="4"/>
  <c r="G17" i="4"/>
  <c r="H17" i="4" s="1"/>
  <c r="I17" i="4" s="1"/>
  <c r="I21" i="1"/>
  <c r="G22" i="1"/>
  <c r="H22" i="1" s="1"/>
  <c r="F29" i="1"/>
  <c r="F79" i="26" l="1"/>
  <c r="J76" i="26"/>
  <c r="G77" i="26"/>
  <c r="H77" i="26" s="1"/>
  <c r="I77" i="26" s="1"/>
  <c r="J75" i="25"/>
  <c r="G76" i="25"/>
  <c r="H76" i="25" s="1"/>
  <c r="I76" i="25" s="1"/>
  <c r="F79" i="25"/>
  <c r="J74" i="24"/>
  <c r="G75" i="24"/>
  <c r="H75" i="24" s="1"/>
  <c r="I75" i="24" s="1"/>
  <c r="F77" i="24"/>
  <c r="F74" i="23"/>
  <c r="J71" i="23"/>
  <c r="G72" i="23"/>
  <c r="H72" i="23" s="1"/>
  <c r="I72" i="23" s="1"/>
  <c r="N31" i="22" a="1"/>
  <c r="I34" i="9"/>
  <c r="G35" i="9"/>
  <c r="H35" i="9" s="1"/>
  <c r="I35" i="9" s="1"/>
  <c r="G22" i="8"/>
  <c r="H22" i="8" s="1"/>
  <c r="I22" i="8" s="1"/>
  <c r="F24" i="8"/>
  <c r="E20" i="5"/>
  <c r="F19" i="5"/>
  <c r="H19" i="5" s="1"/>
  <c r="I19" i="5" s="1"/>
  <c r="E19" i="4"/>
  <c r="G18" i="4"/>
  <c r="H18" i="4" s="1"/>
  <c r="I18" i="4" s="1"/>
  <c r="I22" i="1"/>
  <c r="G23" i="1"/>
  <c r="H23" i="1" s="1"/>
  <c r="F30" i="1"/>
  <c r="F80" i="26" l="1"/>
  <c r="G78" i="26"/>
  <c r="H78" i="26" s="1"/>
  <c r="I78" i="26" s="1"/>
  <c r="J77" i="26"/>
  <c r="F80" i="25"/>
  <c r="J76" i="25"/>
  <c r="G77" i="25"/>
  <c r="H77" i="25" s="1"/>
  <c r="I77" i="25" s="1"/>
  <c r="F78" i="24"/>
  <c r="J75" i="24"/>
  <c r="G76" i="24"/>
  <c r="H76" i="24" s="1"/>
  <c r="I76" i="24" s="1"/>
  <c r="J72" i="23"/>
  <c r="G73" i="23"/>
  <c r="H73" i="23" s="1"/>
  <c r="I73" i="23" s="1"/>
  <c r="F75" i="23"/>
  <c r="N31" i="22"/>
  <c r="N33" i="22"/>
  <c r="N35" i="22"/>
  <c r="N37" i="22"/>
  <c r="N39" i="22"/>
  <c r="N32" i="22"/>
  <c r="N34" i="22"/>
  <c r="N36" i="22"/>
  <c r="N38" i="22"/>
  <c r="I37" i="9"/>
  <c r="I36" i="9"/>
  <c r="G37" i="9"/>
  <c r="G36" i="9"/>
  <c r="G23" i="8"/>
  <c r="H23" i="8" s="1"/>
  <c r="I23" i="8" s="1"/>
  <c r="E21" i="5"/>
  <c r="F20" i="5"/>
  <c r="H20" i="5" s="1"/>
  <c r="I20" i="5" s="1"/>
  <c r="E20" i="4"/>
  <c r="G19" i="4"/>
  <c r="H19" i="4" s="1"/>
  <c r="I19" i="4" s="1"/>
  <c r="I23" i="1"/>
  <c r="G24" i="1"/>
  <c r="H24" i="1" s="1"/>
  <c r="F31" i="1"/>
  <c r="F81" i="26" l="1"/>
  <c r="G79" i="26"/>
  <c r="H79" i="26" s="1"/>
  <c r="I79" i="26" s="1"/>
  <c r="J78" i="26"/>
  <c r="G78" i="25"/>
  <c r="H78" i="25" s="1"/>
  <c r="I78" i="25" s="1"/>
  <c r="J77" i="25"/>
  <c r="F81" i="25"/>
  <c r="J76" i="24"/>
  <c r="G77" i="24"/>
  <c r="H77" i="24" s="1"/>
  <c r="I77" i="24" s="1"/>
  <c r="F79" i="24"/>
  <c r="F76" i="23"/>
  <c r="J73" i="23"/>
  <c r="G74" i="23"/>
  <c r="H74" i="23" s="1"/>
  <c r="I74" i="23" s="1"/>
  <c r="G24" i="8"/>
  <c r="H24" i="8" s="1"/>
  <c r="I24" i="8" s="1"/>
  <c r="E22" i="5"/>
  <c r="F21" i="5"/>
  <c r="H21" i="5" s="1"/>
  <c r="I21" i="5" s="1"/>
  <c r="E21" i="4"/>
  <c r="G20" i="4"/>
  <c r="H20" i="4" s="1"/>
  <c r="I20" i="4" s="1"/>
  <c r="I24" i="1"/>
  <c r="G25" i="1"/>
  <c r="H25" i="1" s="1"/>
  <c r="F32" i="1"/>
  <c r="F82" i="26" l="1"/>
  <c r="J79" i="26"/>
  <c r="G80" i="26"/>
  <c r="H80" i="26" s="1"/>
  <c r="I80" i="26" s="1"/>
  <c r="F82" i="25"/>
  <c r="J78" i="25"/>
  <c r="G79" i="25"/>
  <c r="H79" i="25" s="1"/>
  <c r="I79" i="25" s="1"/>
  <c r="J77" i="24"/>
  <c r="G78" i="24"/>
  <c r="H78" i="24" s="1"/>
  <c r="I78" i="24" s="1"/>
  <c r="F80" i="24"/>
  <c r="J74" i="23"/>
  <c r="G75" i="23"/>
  <c r="H75" i="23" s="1"/>
  <c r="I75" i="23" s="1"/>
  <c r="F77" i="23"/>
  <c r="G25" i="8"/>
  <c r="I25" i="8"/>
  <c r="G26" i="8"/>
  <c r="I26" i="8"/>
  <c r="E23" i="5"/>
  <c r="F22" i="5"/>
  <c r="H22" i="5" s="1"/>
  <c r="I22" i="5" s="1"/>
  <c r="E22" i="4"/>
  <c r="G21" i="4"/>
  <c r="H21" i="4" s="1"/>
  <c r="I21" i="4" s="1"/>
  <c r="I25" i="1"/>
  <c r="G26" i="1"/>
  <c r="H26" i="1" s="1"/>
  <c r="F33" i="1"/>
  <c r="F83" i="26" l="1"/>
  <c r="J80" i="26"/>
  <c r="G81" i="26"/>
  <c r="H81" i="26" s="1"/>
  <c r="I81" i="26" s="1"/>
  <c r="J79" i="25"/>
  <c r="G80" i="25"/>
  <c r="H80" i="25" s="1"/>
  <c r="I80" i="25" s="1"/>
  <c r="F83" i="25"/>
  <c r="F81" i="24"/>
  <c r="G79" i="24"/>
  <c r="H79" i="24" s="1"/>
  <c r="I79" i="24" s="1"/>
  <c r="J78" i="24"/>
  <c r="F78" i="23"/>
  <c r="J75" i="23"/>
  <c r="G76" i="23"/>
  <c r="H76" i="23" s="1"/>
  <c r="I76" i="23" s="1"/>
  <c r="F23" i="5"/>
  <c r="H23" i="5" s="1"/>
  <c r="I23" i="5" s="1"/>
  <c r="E23" i="4"/>
  <c r="G22" i="4"/>
  <c r="H22" i="4" s="1"/>
  <c r="I22" i="4" s="1"/>
  <c r="I26" i="1"/>
  <c r="G27" i="1"/>
  <c r="H27" i="1" s="1"/>
  <c r="F34" i="1"/>
  <c r="F84" i="26" l="1"/>
  <c r="G82" i="26"/>
  <c r="H82" i="26" s="1"/>
  <c r="I82" i="26" s="1"/>
  <c r="J81" i="26"/>
  <c r="F84" i="25"/>
  <c r="J80" i="25"/>
  <c r="G81" i="25"/>
  <c r="H81" i="25" s="1"/>
  <c r="I81" i="25" s="1"/>
  <c r="J79" i="24"/>
  <c r="G80" i="24"/>
  <c r="H80" i="24" s="1"/>
  <c r="I80" i="24" s="1"/>
  <c r="F82" i="24"/>
  <c r="J76" i="23"/>
  <c r="G77" i="23"/>
  <c r="H77" i="23" s="1"/>
  <c r="I77" i="23" s="1"/>
  <c r="F79" i="23"/>
  <c r="G23" i="4"/>
  <c r="H23" i="4" s="1"/>
  <c r="I23" i="4" s="1"/>
  <c r="I27" i="1"/>
  <c r="G28" i="1"/>
  <c r="H28" i="1" s="1"/>
  <c r="F35" i="1"/>
  <c r="F85" i="26" l="1"/>
  <c r="G83" i="26"/>
  <c r="H83" i="26" s="1"/>
  <c r="I83" i="26" s="1"/>
  <c r="J82" i="26"/>
  <c r="G82" i="25"/>
  <c r="H82" i="25" s="1"/>
  <c r="I82" i="25" s="1"/>
  <c r="J81" i="25"/>
  <c r="F85" i="25"/>
  <c r="F83" i="24"/>
  <c r="J80" i="24"/>
  <c r="G81" i="24"/>
  <c r="H81" i="24" s="1"/>
  <c r="I81" i="24" s="1"/>
  <c r="F80" i="23"/>
  <c r="J77" i="23"/>
  <c r="G78" i="23"/>
  <c r="H78" i="23" s="1"/>
  <c r="I78" i="23" s="1"/>
  <c r="I28" i="1"/>
  <c r="G29" i="1"/>
  <c r="H29" i="1" s="1"/>
  <c r="F36" i="1"/>
  <c r="F86" i="26" l="1"/>
  <c r="J83" i="26"/>
  <c r="G84" i="26"/>
  <c r="H84" i="26" s="1"/>
  <c r="I84" i="26" s="1"/>
  <c r="F86" i="25"/>
  <c r="J82" i="25"/>
  <c r="G83" i="25"/>
  <c r="H83" i="25" s="1"/>
  <c r="I83" i="25" s="1"/>
  <c r="J81" i="24"/>
  <c r="G82" i="24"/>
  <c r="H82" i="24" s="1"/>
  <c r="I82" i="24" s="1"/>
  <c r="F84" i="24"/>
  <c r="J78" i="23"/>
  <c r="G79" i="23"/>
  <c r="H79" i="23" s="1"/>
  <c r="I79" i="23" s="1"/>
  <c r="F81" i="23"/>
  <c r="I29" i="1"/>
  <c r="G30" i="1"/>
  <c r="H30" i="1" s="1"/>
  <c r="F37" i="1"/>
  <c r="F87" i="26" l="1"/>
  <c r="J84" i="26"/>
  <c r="G85" i="26"/>
  <c r="H85" i="26" s="1"/>
  <c r="I85" i="26" s="1"/>
  <c r="J83" i="25"/>
  <c r="G84" i="25"/>
  <c r="H84" i="25" s="1"/>
  <c r="I84" i="25" s="1"/>
  <c r="F87" i="25"/>
  <c r="F85" i="24"/>
  <c r="G83" i="24"/>
  <c r="H83" i="24" s="1"/>
  <c r="I83" i="24" s="1"/>
  <c r="J82" i="24"/>
  <c r="F82" i="23"/>
  <c r="J79" i="23"/>
  <c r="G80" i="23"/>
  <c r="H80" i="23" s="1"/>
  <c r="I80" i="23" s="1"/>
  <c r="I30" i="1"/>
  <c r="G31" i="1"/>
  <c r="H31" i="1" s="1"/>
  <c r="F38" i="1"/>
  <c r="F88" i="26" l="1"/>
  <c r="G86" i="26"/>
  <c r="H86" i="26" s="1"/>
  <c r="I86" i="26" s="1"/>
  <c r="J85" i="26"/>
  <c r="F88" i="25"/>
  <c r="J84" i="25"/>
  <c r="G85" i="25"/>
  <c r="H85" i="25" s="1"/>
  <c r="I85" i="25" s="1"/>
  <c r="J83" i="24"/>
  <c r="G84" i="24"/>
  <c r="H84" i="24" s="1"/>
  <c r="I84" i="24" s="1"/>
  <c r="F86" i="24"/>
  <c r="J80" i="23"/>
  <c r="G81" i="23"/>
  <c r="H81" i="23" s="1"/>
  <c r="I81" i="23" s="1"/>
  <c r="F83" i="23"/>
  <c r="I31" i="1"/>
  <c r="G32" i="1"/>
  <c r="H32" i="1" s="1"/>
  <c r="F39" i="1"/>
  <c r="F89" i="26" l="1"/>
  <c r="G87" i="26"/>
  <c r="H87" i="26" s="1"/>
  <c r="I87" i="26" s="1"/>
  <c r="J86" i="26"/>
  <c r="G86" i="25"/>
  <c r="H86" i="25" s="1"/>
  <c r="I86" i="25" s="1"/>
  <c r="J85" i="25"/>
  <c r="F89" i="25"/>
  <c r="F87" i="24"/>
  <c r="J84" i="24"/>
  <c r="G85" i="24"/>
  <c r="H85" i="24" s="1"/>
  <c r="I85" i="24" s="1"/>
  <c r="F84" i="23"/>
  <c r="J81" i="23"/>
  <c r="G82" i="23"/>
  <c r="H82" i="23" s="1"/>
  <c r="I82" i="23" s="1"/>
  <c r="I32" i="1"/>
  <c r="G33" i="1"/>
  <c r="H33" i="1" s="1"/>
  <c r="F40" i="1"/>
  <c r="F90" i="26" l="1"/>
  <c r="J87" i="26"/>
  <c r="G88" i="26"/>
  <c r="H88" i="26" s="1"/>
  <c r="I88" i="26" s="1"/>
  <c r="F90" i="25"/>
  <c r="J86" i="25"/>
  <c r="G87" i="25"/>
  <c r="H87" i="25" s="1"/>
  <c r="I87" i="25" s="1"/>
  <c r="J85" i="24"/>
  <c r="G86" i="24"/>
  <c r="H86" i="24" s="1"/>
  <c r="I86" i="24" s="1"/>
  <c r="F88" i="24"/>
  <c r="G83" i="23"/>
  <c r="H83" i="23" s="1"/>
  <c r="I83" i="23" s="1"/>
  <c r="J82" i="23"/>
  <c r="F85" i="23"/>
  <c r="I33" i="1"/>
  <c r="G34" i="1"/>
  <c r="H34" i="1" s="1"/>
  <c r="F41" i="1"/>
  <c r="F91" i="26" l="1"/>
  <c r="J88" i="26"/>
  <c r="G89" i="26"/>
  <c r="H89" i="26" s="1"/>
  <c r="I89" i="26" s="1"/>
  <c r="J87" i="25"/>
  <c r="G88" i="25"/>
  <c r="H88" i="25" s="1"/>
  <c r="I88" i="25" s="1"/>
  <c r="F91" i="25"/>
  <c r="F89" i="24"/>
  <c r="G87" i="24"/>
  <c r="H87" i="24" s="1"/>
  <c r="I87" i="24" s="1"/>
  <c r="J86" i="24"/>
  <c r="F86" i="23"/>
  <c r="J83" i="23"/>
  <c r="G84" i="23"/>
  <c r="H84" i="23" s="1"/>
  <c r="I84" i="23" s="1"/>
  <c r="I34" i="1"/>
  <c r="G35" i="1"/>
  <c r="H35" i="1" s="1"/>
  <c r="F42" i="1"/>
  <c r="F92" i="26" l="1"/>
  <c r="G90" i="26"/>
  <c r="H90" i="26" s="1"/>
  <c r="I90" i="26" s="1"/>
  <c r="J89" i="26"/>
  <c r="J88" i="25"/>
  <c r="G89" i="25"/>
  <c r="H89" i="25" s="1"/>
  <c r="I89" i="25" s="1"/>
  <c r="F92" i="25"/>
  <c r="J87" i="24"/>
  <c r="G88" i="24"/>
  <c r="H88" i="24" s="1"/>
  <c r="I88" i="24" s="1"/>
  <c r="F90" i="24"/>
  <c r="J84" i="23"/>
  <c r="G85" i="23"/>
  <c r="H85" i="23" s="1"/>
  <c r="I85" i="23" s="1"/>
  <c r="F87" i="23"/>
  <c r="I35" i="1"/>
  <c r="G36" i="1"/>
  <c r="H36" i="1" s="1"/>
  <c r="F43" i="1"/>
  <c r="F93" i="26" l="1"/>
  <c r="G91" i="26"/>
  <c r="H91" i="26" s="1"/>
  <c r="I91" i="26" s="1"/>
  <c r="J90" i="26"/>
  <c r="F93" i="25"/>
  <c r="J89" i="25"/>
  <c r="G90" i="25"/>
  <c r="H90" i="25" s="1"/>
  <c r="I90" i="25" s="1"/>
  <c r="F91" i="24"/>
  <c r="J88" i="24"/>
  <c r="G89" i="24"/>
  <c r="H89" i="24" s="1"/>
  <c r="I89" i="24" s="1"/>
  <c r="F88" i="23"/>
  <c r="J85" i="23"/>
  <c r="G86" i="23"/>
  <c r="H86" i="23" s="1"/>
  <c r="I86" i="23" s="1"/>
  <c r="I36" i="1"/>
  <c r="G37" i="1"/>
  <c r="H37" i="1" s="1"/>
  <c r="F44" i="1"/>
  <c r="F94" i="26" l="1"/>
  <c r="J91" i="26"/>
  <c r="G92" i="26"/>
  <c r="H92" i="26" s="1"/>
  <c r="I92" i="26" s="1"/>
  <c r="J90" i="25"/>
  <c r="G91" i="25"/>
  <c r="H91" i="25" s="1"/>
  <c r="I91" i="25" s="1"/>
  <c r="F94" i="25"/>
  <c r="J89" i="24"/>
  <c r="G90" i="24"/>
  <c r="H90" i="24" s="1"/>
  <c r="I90" i="24" s="1"/>
  <c r="F92" i="24"/>
  <c r="G87" i="23"/>
  <c r="H87" i="23" s="1"/>
  <c r="I87" i="23" s="1"/>
  <c r="J86" i="23"/>
  <c r="F89" i="23"/>
  <c r="I37" i="1"/>
  <c r="G38" i="1"/>
  <c r="H38" i="1" s="1"/>
  <c r="F45" i="1"/>
  <c r="F95" i="26" l="1"/>
  <c r="J92" i="26"/>
  <c r="G93" i="26"/>
  <c r="H93" i="26" s="1"/>
  <c r="I93" i="26" s="1"/>
  <c r="F95" i="25"/>
  <c r="J91" i="25"/>
  <c r="G92" i="25"/>
  <c r="H92" i="25" s="1"/>
  <c r="I92" i="25" s="1"/>
  <c r="F93" i="24"/>
  <c r="G91" i="24"/>
  <c r="H91" i="24" s="1"/>
  <c r="I91" i="24" s="1"/>
  <c r="J90" i="24"/>
  <c r="J87" i="23"/>
  <c r="G88" i="23"/>
  <c r="H88" i="23" s="1"/>
  <c r="I88" i="23" s="1"/>
  <c r="F90" i="23"/>
  <c r="I38" i="1"/>
  <c r="G39" i="1"/>
  <c r="H39" i="1" s="1"/>
  <c r="F46" i="1"/>
  <c r="F96" i="26" l="1"/>
  <c r="G94" i="26"/>
  <c r="H94" i="26" s="1"/>
  <c r="I94" i="26" s="1"/>
  <c r="J93" i="26"/>
  <c r="J92" i="25"/>
  <c r="G93" i="25"/>
  <c r="H93" i="25" s="1"/>
  <c r="I93" i="25" s="1"/>
  <c r="F96" i="25"/>
  <c r="J91" i="24"/>
  <c r="G92" i="24"/>
  <c r="H92" i="24" s="1"/>
  <c r="I92" i="24" s="1"/>
  <c r="F94" i="24"/>
  <c r="F91" i="23"/>
  <c r="J88" i="23"/>
  <c r="G89" i="23"/>
  <c r="H89" i="23" s="1"/>
  <c r="I89" i="23" s="1"/>
  <c r="I39" i="1"/>
  <c r="G40" i="1"/>
  <c r="H40" i="1" s="1"/>
  <c r="F47" i="1"/>
  <c r="F97" i="26" l="1"/>
  <c r="G95" i="26"/>
  <c r="H95" i="26" s="1"/>
  <c r="I95" i="26" s="1"/>
  <c r="J94" i="26"/>
  <c r="F97" i="25"/>
  <c r="J93" i="25"/>
  <c r="G94" i="25"/>
  <c r="H94" i="25" s="1"/>
  <c r="I94" i="25" s="1"/>
  <c r="F95" i="24"/>
  <c r="J92" i="24"/>
  <c r="G93" i="24"/>
  <c r="H93" i="24" s="1"/>
  <c r="I93" i="24" s="1"/>
  <c r="J89" i="23"/>
  <c r="G90" i="23"/>
  <c r="H90" i="23" s="1"/>
  <c r="I90" i="23" s="1"/>
  <c r="F92" i="23"/>
  <c r="I40" i="1"/>
  <c r="G41" i="1"/>
  <c r="H41" i="1" s="1"/>
  <c r="F48" i="1"/>
  <c r="F98" i="26" l="1"/>
  <c r="J95" i="26"/>
  <c r="G96" i="26"/>
  <c r="H96" i="26" s="1"/>
  <c r="I96" i="26" s="1"/>
  <c r="J94" i="25"/>
  <c r="G95" i="25"/>
  <c r="H95" i="25" s="1"/>
  <c r="I95" i="25" s="1"/>
  <c r="F98" i="25"/>
  <c r="J93" i="24"/>
  <c r="G94" i="24"/>
  <c r="H94" i="24" s="1"/>
  <c r="I94" i="24" s="1"/>
  <c r="F96" i="24"/>
  <c r="F93" i="23"/>
  <c r="G91" i="23"/>
  <c r="H91" i="23" s="1"/>
  <c r="I91" i="23" s="1"/>
  <c r="J90" i="23"/>
  <c r="I41" i="1"/>
  <c r="G42" i="1"/>
  <c r="H42" i="1" s="1"/>
  <c r="F49" i="1"/>
  <c r="F99" i="26" l="1"/>
  <c r="J96" i="26"/>
  <c r="G97" i="26"/>
  <c r="H97" i="26" s="1"/>
  <c r="I97" i="26" s="1"/>
  <c r="F99" i="25"/>
  <c r="J95" i="25"/>
  <c r="G96" i="25"/>
  <c r="H96" i="25" s="1"/>
  <c r="I96" i="25" s="1"/>
  <c r="F97" i="24"/>
  <c r="G95" i="24"/>
  <c r="H95" i="24" s="1"/>
  <c r="I95" i="24" s="1"/>
  <c r="J94" i="24"/>
  <c r="J91" i="23"/>
  <c r="G92" i="23"/>
  <c r="H92" i="23" s="1"/>
  <c r="I92" i="23" s="1"/>
  <c r="F94" i="23"/>
  <c r="I42" i="1"/>
  <c r="G43" i="1"/>
  <c r="H43" i="1" s="1"/>
  <c r="F50" i="1"/>
  <c r="F100" i="26" l="1"/>
  <c r="G98" i="26"/>
  <c r="H98" i="26" s="1"/>
  <c r="I98" i="26" s="1"/>
  <c r="J97" i="26"/>
  <c r="J96" i="25"/>
  <c r="G97" i="25"/>
  <c r="H97" i="25" s="1"/>
  <c r="I97" i="25" s="1"/>
  <c r="F100" i="25"/>
  <c r="J95" i="24"/>
  <c r="G96" i="24"/>
  <c r="H96" i="24" s="1"/>
  <c r="I96" i="24" s="1"/>
  <c r="F98" i="24"/>
  <c r="F95" i="23"/>
  <c r="J92" i="23"/>
  <c r="G93" i="23"/>
  <c r="H93" i="23" s="1"/>
  <c r="I93" i="23" s="1"/>
  <c r="I43" i="1"/>
  <c r="G44" i="1"/>
  <c r="H44" i="1" s="1"/>
  <c r="F51" i="1"/>
  <c r="F101" i="26" l="1"/>
  <c r="G99" i="26"/>
  <c r="H99" i="26" s="1"/>
  <c r="I99" i="26" s="1"/>
  <c r="J98" i="26"/>
  <c r="F101" i="25"/>
  <c r="J97" i="25"/>
  <c r="G98" i="25"/>
  <c r="H98" i="25" s="1"/>
  <c r="I98" i="25" s="1"/>
  <c r="F99" i="24"/>
  <c r="J96" i="24"/>
  <c r="G97" i="24"/>
  <c r="H97" i="24" s="1"/>
  <c r="I97" i="24" s="1"/>
  <c r="J93" i="23"/>
  <c r="G94" i="23"/>
  <c r="H94" i="23" s="1"/>
  <c r="I94" i="23" s="1"/>
  <c r="F96" i="23"/>
  <c r="I44" i="1"/>
  <c r="G45" i="1"/>
  <c r="H45" i="1" s="1"/>
  <c r="F52" i="1"/>
  <c r="F102" i="26" l="1"/>
  <c r="J99" i="26"/>
  <c r="G100" i="26"/>
  <c r="H100" i="26" s="1"/>
  <c r="I100" i="26" s="1"/>
  <c r="J98" i="25"/>
  <c r="G99" i="25"/>
  <c r="H99" i="25" s="1"/>
  <c r="I99" i="25" s="1"/>
  <c r="F102" i="25"/>
  <c r="J97" i="24"/>
  <c r="G98" i="24"/>
  <c r="H98" i="24" s="1"/>
  <c r="I98" i="24" s="1"/>
  <c r="F100" i="24"/>
  <c r="F97" i="23"/>
  <c r="J94" i="23"/>
  <c r="G95" i="23"/>
  <c r="H95" i="23" s="1"/>
  <c r="I95" i="23" s="1"/>
  <c r="I45" i="1"/>
  <c r="G46" i="1"/>
  <c r="H46" i="1" s="1"/>
  <c r="F53" i="1"/>
  <c r="F103" i="26" l="1"/>
  <c r="J100" i="26"/>
  <c r="G101" i="26"/>
  <c r="H101" i="26" s="1"/>
  <c r="I101" i="26" s="1"/>
  <c r="F103" i="25"/>
  <c r="J99" i="25"/>
  <c r="G100" i="25"/>
  <c r="H100" i="25" s="1"/>
  <c r="I100" i="25" s="1"/>
  <c r="F101" i="24"/>
  <c r="G99" i="24"/>
  <c r="H99" i="24" s="1"/>
  <c r="I99" i="24" s="1"/>
  <c r="J98" i="24"/>
  <c r="F98" i="23"/>
  <c r="J95" i="23"/>
  <c r="G96" i="23"/>
  <c r="H96" i="23" s="1"/>
  <c r="I96" i="23" s="1"/>
  <c r="I46" i="1"/>
  <c r="G47" i="1"/>
  <c r="H47" i="1" s="1"/>
  <c r="F54" i="1"/>
  <c r="F104" i="26" l="1"/>
  <c r="G102" i="26"/>
  <c r="H102" i="26" s="1"/>
  <c r="I102" i="26" s="1"/>
  <c r="J101" i="26"/>
  <c r="J100" i="25"/>
  <c r="G101" i="25"/>
  <c r="H101" i="25" s="1"/>
  <c r="I101" i="25" s="1"/>
  <c r="F104" i="25"/>
  <c r="F102" i="24"/>
  <c r="J99" i="24"/>
  <c r="G100" i="24"/>
  <c r="H100" i="24" s="1"/>
  <c r="I100" i="24" s="1"/>
  <c r="J96" i="23"/>
  <c r="G97" i="23"/>
  <c r="H97" i="23" s="1"/>
  <c r="I97" i="23" s="1"/>
  <c r="F99" i="23"/>
  <c r="I47" i="1"/>
  <c r="G48" i="1"/>
  <c r="H48" i="1" s="1"/>
  <c r="F55" i="1"/>
  <c r="F105" i="26" l="1"/>
  <c r="G103" i="26"/>
  <c r="H103" i="26" s="1"/>
  <c r="I103" i="26" s="1"/>
  <c r="J102" i="26"/>
  <c r="F105" i="25"/>
  <c r="J101" i="25"/>
  <c r="G102" i="25"/>
  <c r="H102" i="25" s="1"/>
  <c r="I102" i="25" s="1"/>
  <c r="J100" i="24"/>
  <c r="G101" i="24"/>
  <c r="H101" i="24" s="1"/>
  <c r="I101" i="24" s="1"/>
  <c r="F103" i="24"/>
  <c r="F100" i="23"/>
  <c r="J97" i="23"/>
  <c r="G98" i="23"/>
  <c r="H98" i="23" s="1"/>
  <c r="I98" i="23" s="1"/>
  <c r="I48" i="1"/>
  <c r="G49" i="1"/>
  <c r="H49" i="1" s="1"/>
  <c r="F56" i="1"/>
  <c r="F106" i="26" l="1"/>
  <c r="J103" i="26"/>
  <c r="G104" i="26"/>
  <c r="H104" i="26" s="1"/>
  <c r="I104" i="26" s="1"/>
  <c r="J102" i="25"/>
  <c r="G103" i="25"/>
  <c r="H103" i="25" s="1"/>
  <c r="I103" i="25" s="1"/>
  <c r="F106" i="25"/>
  <c r="F104" i="24"/>
  <c r="J101" i="24"/>
  <c r="G102" i="24"/>
  <c r="H102" i="24" s="1"/>
  <c r="I102" i="24" s="1"/>
  <c r="J98" i="23"/>
  <c r="G99" i="23"/>
  <c r="H99" i="23" s="1"/>
  <c r="I99" i="23" s="1"/>
  <c r="F101" i="23"/>
  <c r="I49" i="1"/>
  <c r="G50" i="1"/>
  <c r="H50" i="1" s="1"/>
  <c r="F57" i="1"/>
  <c r="F107" i="26" l="1"/>
  <c r="J104" i="26"/>
  <c r="G105" i="26"/>
  <c r="H105" i="26" s="1"/>
  <c r="I105" i="26" s="1"/>
  <c r="F107" i="25"/>
  <c r="J103" i="25"/>
  <c r="G104" i="25"/>
  <c r="H104" i="25" s="1"/>
  <c r="I104" i="25" s="1"/>
  <c r="J102" i="24"/>
  <c r="G103" i="24"/>
  <c r="H103" i="24" s="1"/>
  <c r="I103" i="24" s="1"/>
  <c r="F105" i="24"/>
  <c r="J99" i="23"/>
  <c r="G100" i="23"/>
  <c r="H100" i="23" s="1"/>
  <c r="I100" i="23" s="1"/>
  <c r="F102" i="23"/>
  <c r="I50" i="1"/>
  <c r="G51" i="1"/>
  <c r="H51" i="1" s="1"/>
  <c r="F58" i="1"/>
  <c r="F108" i="26" l="1"/>
  <c r="G106" i="26"/>
  <c r="H106" i="26" s="1"/>
  <c r="I106" i="26" s="1"/>
  <c r="J105" i="26"/>
  <c r="J104" i="25"/>
  <c r="G105" i="25"/>
  <c r="H105" i="25" s="1"/>
  <c r="I105" i="25" s="1"/>
  <c r="F108" i="25"/>
  <c r="F106" i="24"/>
  <c r="J103" i="24"/>
  <c r="G104" i="24"/>
  <c r="H104" i="24" s="1"/>
  <c r="I104" i="24" s="1"/>
  <c r="F103" i="23"/>
  <c r="J100" i="23"/>
  <c r="G101" i="23"/>
  <c r="H101" i="23" s="1"/>
  <c r="I101" i="23" s="1"/>
  <c r="I51" i="1"/>
  <c r="G52" i="1"/>
  <c r="H52" i="1" s="1"/>
  <c r="F59" i="1"/>
  <c r="F109" i="26" l="1"/>
  <c r="G107" i="26"/>
  <c r="H107" i="26" s="1"/>
  <c r="I107" i="26" s="1"/>
  <c r="J106" i="26"/>
  <c r="F109" i="25"/>
  <c r="J105" i="25"/>
  <c r="G106" i="25"/>
  <c r="H106" i="25" s="1"/>
  <c r="I106" i="25" s="1"/>
  <c r="J104" i="24"/>
  <c r="G105" i="24"/>
  <c r="H105" i="24" s="1"/>
  <c r="I105" i="24" s="1"/>
  <c r="F107" i="24"/>
  <c r="J101" i="23"/>
  <c r="G102" i="23"/>
  <c r="H102" i="23" s="1"/>
  <c r="I102" i="23" s="1"/>
  <c r="F104" i="23"/>
  <c r="I52" i="1"/>
  <c r="G53" i="1"/>
  <c r="H53" i="1" s="1"/>
  <c r="F60" i="1"/>
  <c r="F110" i="26" l="1"/>
  <c r="J107" i="26"/>
  <c r="G108" i="26"/>
  <c r="H108" i="26" s="1"/>
  <c r="I108" i="26" s="1"/>
  <c r="J106" i="25"/>
  <c r="G107" i="25"/>
  <c r="H107" i="25" s="1"/>
  <c r="I107" i="25" s="1"/>
  <c r="F110" i="25"/>
  <c r="F108" i="24"/>
  <c r="J105" i="24"/>
  <c r="G106" i="24"/>
  <c r="H106" i="24" s="1"/>
  <c r="I106" i="24" s="1"/>
  <c r="F105" i="23"/>
  <c r="J102" i="23"/>
  <c r="G103" i="23"/>
  <c r="H103" i="23" s="1"/>
  <c r="I103" i="23" s="1"/>
  <c r="I53" i="1"/>
  <c r="G54" i="1"/>
  <c r="H54" i="1" s="1"/>
  <c r="F61" i="1"/>
  <c r="F111" i="26" l="1"/>
  <c r="J108" i="26"/>
  <c r="G109" i="26"/>
  <c r="H109" i="26" s="1"/>
  <c r="I109" i="26" s="1"/>
  <c r="F111" i="25"/>
  <c r="J107" i="25"/>
  <c r="G108" i="25"/>
  <c r="H108" i="25" s="1"/>
  <c r="I108" i="25" s="1"/>
  <c r="J106" i="24"/>
  <c r="G107" i="24"/>
  <c r="H107" i="24" s="1"/>
  <c r="I107" i="24" s="1"/>
  <c r="F109" i="24"/>
  <c r="J103" i="23"/>
  <c r="G104" i="23"/>
  <c r="H104" i="23" s="1"/>
  <c r="I104" i="23" s="1"/>
  <c r="F106" i="23"/>
  <c r="I54" i="1"/>
  <c r="G55" i="1"/>
  <c r="H55" i="1" s="1"/>
  <c r="F62" i="1"/>
  <c r="F112" i="26" l="1"/>
  <c r="G110" i="26"/>
  <c r="H110" i="26" s="1"/>
  <c r="I110" i="26" s="1"/>
  <c r="J109" i="26"/>
  <c r="J108" i="25"/>
  <c r="G109" i="25"/>
  <c r="H109" i="25" s="1"/>
  <c r="I109" i="25" s="1"/>
  <c r="F112" i="25"/>
  <c r="F110" i="24"/>
  <c r="J107" i="24"/>
  <c r="G108" i="24"/>
  <c r="H108" i="24" s="1"/>
  <c r="I108" i="24" s="1"/>
  <c r="F107" i="23"/>
  <c r="J104" i="23"/>
  <c r="G105" i="23"/>
  <c r="H105" i="23" s="1"/>
  <c r="I105" i="23" s="1"/>
  <c r="I55" i="1"/>
  <c r="G56" i="1"/>
  <c r="H56" i="1" s="1"/>
  <c r="F63" i="1"/>
  <c r="F113" i="26" l="1"/>
  <c r="J110" i="26"/>
  <c r="G111" i="26"/>
  <c r="H111" i="26" s="1"/>
  <c r="I111" i="26" s="1"/>
  <c r="F113" i="25"/>
  <c r="J109" i="25"/>
  <c r="G110" i="25"/>
  <c r="H110" i="25" s="1"/>
  <c r="I110" i="25" s="1"/>
  <c r="J108" i="24"/>
  <c r="G109" i="24"/>
  <c r="H109" i="24" s="1"/>
  <c r="I109" i="24" s="1"/>
  <c r="F111" i="24"/>
  <c r="J105" i="23"/>
  <c r="G106" i="23"/>
  <c r="H106" i="23" s="1"/>
  <c r="I106" i="23" s="1"/>
  <c r="F108" i="23"/>
  <c r="I56" i="1"/>
  <c r="G57" i="1"/>
  <c r="H57" i="1" s="1"/>
  <c r="F64" i="1"/>
  <c r="F114" i="26" l="1"/>
  <c r="G112" i="26"/>
  <c r="H112" i="26" s="1"/>
  <c r="I112" i="26" s="1"/>
  <c r="J111" i="26"/>
  <c r="J110" i="25"/>
  <c r="G111" i="25"/>
  <c r="H111" i="25" s="1"/>
  <c r="I111" i="25" s="1"/>
  <c r="F114" i="25"/>
  <c r="F112" i="24"/>
  <c r="J109" i="24"/>
  <c r="G110" i="24"/>
  <c r="H110" i="24" s="1"/>
  <c r="I110" i="24" s="1"/>
  <c r="F109" i="23"/>
  <c r="J106" i="23"/>
  <c r="G107" i="23"/>
  <c r="H107" i="23" s="1"/>
  <c r="I107" i="23" s="1"/>
  <c r="I57" i="1"/>
  <c r="G58" i="1"/>
  <c r="H58" i="1" s="1"/>
  <c r="F65" i="1"/>
  <c r="F115" i="26" l="1"/>
  <c r="G113" i="26"/>
  <c r="H113" i="26" s="1"/>
  <c r="I113" i="26" s="1"/>
  <c r="J112" i="26"/>
  <c r="F115" i="25"/>
  <c r="J111" i="25"/>
  <c r="G112" i="25"/>
  <c r="H112" i="25" s="1"/>
  <c r="I112" i="25" s="1"/>
  <c r="J110" i="24"/>
  <c r="G111" i="24"/>
  <c r="H111" i="24" s="1"/>
  <c r="I111" i="24" s="1"/>
  <c r="F113" i="24"/>
  <c r="J107" i="23"/>
  <c r="G108" i="23"/>
  <c r="H108" i="23" s="1"/>
  <c r="I108" i="23" s="1"/>
  <c r="F110" i="23"/>
  <c r="I58" i="1"/>
  <c r="G59" i="1"/>
  <c r="H59" i="1" s="1"/>
  <c r="F66" i="1"/>
  <c r="F116" i="26" l="1"/>
  <c r="J113" i="26"/>
  <c r="G114" i="26"/>
  <c r="H114" i="26" s="1"/>
  <c r="I114" i="26" s="1"/>
  <c r="J112" i="25"/>
  <c r="G113" i="25"/>
  <c r="H113" i="25" s="1"/>
  <c r="I113" i="25" s="1"/>
  <c r="F116" i="25"/>
  <c r="F114" i="24"/>
  <c r="J111" i="24"/>
  <c r="G112" i="24"/>
  <c r="H112" i="24" s="1"/>
  <c r="I112" i="24" s="1"/>
  <c r="F111" i="23"/>
  <c r="J108" i="23"/>
  <c r="G109" i="23"/>
  <c r="H109" i="23" s="1"/>
  <c r="I109" i="23" s="1"/>
  <c r="I59" i="1"/>
  <c r="G60" i="1"/>
  <c r="H60" i="1" s="1"/>
  <c r="F67" i="1"/>
  <c r="F117" i="26" l="1"/>
  <c r="J114" i="26"/>
  <c r="G115" i="26"/>
  <c r="H115" i="26" s="1"/>
  <c r="I115" i="26" s="1"/>
  <c r="F117" i="25"/>
  <c r="J113" i="25"/>
  <c r="G114" i="25"/>
  <c r="H114" i="25" s="1"/>
  <c r="I114" i="25" s="1"/>
  <c r="J112" i="24"/>
  <c r="G113" i="24"/>
  <c r="H113" i="24" s="1"/>
  <c r="I113" i="24" s="1"/>
  <c r="F115" i="24"/>
  <c r="J109" i="23"/>
  <c r="G110" i="23"/>
  <c r="H110" i="23" s="1"/>
  <c r="I110" i="23" s="1"/>
  <c r="F112" i="23"/>
  <c r="I60" i="1"/>
  <c r="G61" i="1"/>
  <c r="H61" i="1" s="1"/>
  <c r="F68" i="1"/>
  <c r="F118" i="26" l="1"/>
  <c r="G116" i="26"/>
  <c r="H116" i="26" s="1"/>
  <c r="I116" i="26" s="1"/>
  <c r="J115" i="26"/>
  <c r="J114" i="25"/>
  <c r="G115" i="25"/>
  <c r="H115" i="25" s="1"/>
  <c r="I115" i="25" s="1"/>
  <c r="F118" i="25"/>
  <c r="F116" i="24"/>
  <c r="J113" i="24"/>
  <c r="G114" i="24"/>
  <c r="H114" i="24" s="1"/>
  <c r="I114" i="24" s="1"/>
  <c r="F113" i="23"/>
  <c r="J110" i="23"/>
  <c r="G111" i="23"/>
  <c r="H111" i="23" s="1"/>
  <c r="I111" i="23" s="1"/>
  <c r="I61" i="1"/>
  <c r="G62" i="1"/>
  <c r="H62" i="1" s="1"/>
  <c r="F69" i="1"/>
  <c r="F119" i="26" l="1"/>
  <c r="G117" i="26"/>
  <c r="H117" i="26" s="1"/>
  <c r="I117" i="26" s="1"/>
  <c r="J116" i="26"/>
  <c r="F119" i="25"/>
  <c r="J115" i="25"/>
  <c r="G116" i="25"/>
  <c r="H116" i="25" s="1"/>
  <c r="I116" i="25" s="1"/>
  <c r="J114" i="24"/>
  <c r="G115" i="24"/>
  <c r="H115" i="24" s="1"/>
  <c r="I115" i="24" s="1"/>
  <c r="F117" i="24"/>
  <c r="J111" i="23"/>
  <c r="G112" i="23"/>
  <c r="H112" i="23" s="1"/>
  <c r="I112" i="23" s="1"/>
  <c r="F114" i="23"/>
  <c r="I62" i="1"/>
  <c r="G63" i="1"/>
  <c r="H63" i="1" s="1"/>
  <c r="F70" i="1"/>
  <c r="F120" i="26" l="1"/>
  <c r="J117" i="26"/>
  <c r="G118" i="26"/>
  <c r="H118" i="26" s="1"/>
  <c r="I118" i="26" s="1"/>
  <c r="J116" i="25"/>
  <c r="G117" i="25"/>
  <c r="H117" i="25" s="1"/>
  <c r="I117" i="25" s="1"/>
  <c r="F120" i="25"/>
  <c r="F118" i="24"/>
  <c r="J115" i="24"/>
  <c r="G116" i="24"/>
  <c r="H116" i="24" s="1"/>
  <c r="I116" i="24" s="1"/>
  <c r="F115" i="23"/>
  <c r="J112" i="23"/>
  <c r="G113" i="23"/>
  <c r="H113" i="23" s="1"/>
  <c r="I113" i="23" s="1"/>
  <c r="I63" i="1"/>
  <c r="G64" i="1"/>
  <c r="H64" i="1" s="1"/>
  <c r="F71" i="1"/>
  <c r="F121" i="26" l="1"/>
  <c r="J118" i="26"/>
  <c r="G119" i="26"/>
  <c r="H119" i="26" s="1"/>
  <c r="I119" i="26" s="1"/>
  <c r="F121" i="25"/>
  <c r="J117" i="25"/>
  <c r="G118" i="25"/>
  <c r="H118" i="25" s="1"/>
  <c r="I118" i="25" s="1"/>
  <c r="J116" i="24"/>
  <c r="G117" i="24"/>
  <c r="H117" i="24" s="1"/>
  <c r="I117" i="24" s="1"/>
  <c r="F119" i="24"/>
  <c r="J113" i="23"/>
  <c r="G114" i="23"/>
  <c r="H114" i="23" s="1"/>
  <c r="I114" i="23" s="1"/>
  <c r="F116" i="23"/>
  <c r="I64" i="1"/>
  <c r="G65" i="1"/>
  <c r="H65" i="1" s="1"/>
  <c r="F72" i="1"/>
  <c r="F122" i="26" l="1"/>
  <c r="G120" i="26"/>
  <c r="H120" i="26" s="1"/>
  <c r="I120" i="26" s="1"/>
  <c r="J119" i="26"/>
  <c r="J118" i="25"/>
  <c r="G119" i="25"/>
  <c r="H119" i="25" s="1"/>
  <c r="I119" i="25" s="1"/>
  <c r="F122" i="25"/>
  <c r="F120" i="24"/>
  <c r="J117" i="24"/>
  <c r="G118" i="24"/>
  <c r="H118" i="24" s="1"/>
  <c r="I118" i="24" s="1"/>
  <c r="F117" i="23"/>
  <c r="J114" i="23"/>
  <c r="G115" i="23"/>
  <c r="H115" i="23" s="1"/>
  <c r="I115" i="23" s="1"/>
  <c r="I65" i="1"/>
  <c r="G66" i="1"/>
  <c r="H66" i="1" s="1"/>
  <c r="F73" i="1"/>
  <c r="F123" i="26" l="1"/>
  <c r="G121" i="26"/>
  <c r="H121" i="26" s="1"/>
  <c r="I121" i="26" s="1"/>
  <c r="J120" i="26"/>
  <c r="F123" i="25"/>
  <c r="J119" i="25"/>
  <c r="G120" i="25"/>
  <c r="H120" i="25" s="1"/>
  <c r="I120" i="25" s="1"/>
  <c r="J118" i="24"/>
  <c r="G119" i="24"/>
  <c r="H119" i="24" s="1"/>
  <c r="I119" i="24" s="1"/>
  <c r="F121" i="24"/>
  <c r="J115" i="23"/>
  <c r="G116" i="23"/>
  <c r="H116" i="23" s="1"/>
  <c r="I116" i="23" s="1"/>
  <c r="F118" i="23"/>
  <c r="I66" i="1"/>
  <c r="G67" i="1"/>
  <c r="H67" i="1" s="1"/>
  <c r="F74" i="1"/>
  <c r="F124" i="26" l="1"/>
  <c r="J121" i="26"/>
  <c r="G122" i="26"/>
  <c r="H122" i="26" s="1"/>
  <c r="I122" i="26" s="1"/>
  <c r="J120" i="25"/>
  <c r="G121" i="25"/>
  <c r="H121" i="25" s="1"/>
  <c r="I121" i="25" s="1"/>
  <c r="F124" i="25"/>
  <c r="F122" i="24"/>
  <c r="J119" i="24"/>
  <c r="G120" i="24"/>
  <c r="H120" i="24" s="1"/>
  <c r="I120" i="24" s="1"/>
  <c r="F119" i="23"/>
  <c r="J116" i="23"/>
  <c r="G117" i="23"/>
  <c r="H117" i="23" s="1"/>
  <c r="I117" i="23" s="1"/>
  <c r="I67" i="1"/>
  <c r="G68" i="1"/>
  <c r="H68" i="1" s="1"/>
  <c r="F75" i="1"/>
  <c r="F125" i="26" l="1"/>
  <c r="J122" i="26"/>
  <c r="G123" i="26"/>
  <c r="H123" i="26" s="1"/>
  <c r="I123" i="26" s="1"/>
  <c r="F125" i="25"/>
  <c r="J121" i="25"/>
  <c r="G122" i="25"/>
  <c r="H122" i="25" s="1"/>
  <c r="I122" i="25" s="1"/>
  <c r="J120" i="24"/>
  <c r="G121" i="24"/>
  <c r="H121" i="24" s="1"/>
  <c r="I121" i="24" s="1"/>
  <c r="F123" i="24"/>
  <c r="J117" i="23"/>
  <c r="G118" i="23"/>
  <c r="H118" i="23" s="1"/>
  <c r="I118" i="23" s="1"/>
  <c r="F120" i="23"/>
  <c r="I68" i="1"/>
  <c r="G69" i="1"/>
  <c r="H69" i="1" s="1"/>
  <c r="F76" i="1"/>
  <c r="G124" i="26" l="1"/>
  <c r="H124" i="26" s="1"/>
  <c r="I124" i="26" s="1"/>
  <c r="J123" i="26"/>
  <c r="F126" i="26"/>
  <c r="J122" i="25"/>
  <c r="G123" i="25"/>
  <c r="H123" i="25" s="1"/>
  <c r="I123" i="25" s="1"/>
  <c r="F126" i="25"/>
  <c r="F124" i="24"/>
  <c r="J121" i="24"/>
  <c r="G122" i="24"/>
  <c r="H122" i="24" s="1"/>
  <c r="I122" i="24" s="1"/>
  <c r="F121" i="23"/>
  <c r="J118" i="23"/>
  <c r="G119" i="23"/>
  <c r="H119" i="23" s="1"/>
  <c r="I119" i="23" s="1"/>
  <c r="I69" i="1"/>
  <c r="G70" i="1"/>
  <c r="H70" i="1" s="1"/>
  <c r="F77" i="1"/>
  <c r="G125" i="26" l="1"/>
  <c r="H125" i="26" s="1"/>
  <c r="I125" i="26" s="1"/>
  <c r="J124" i="26"/>
  <c r="F127" i="26"/>
  <c r="F127" i="25"/>
  <c r="J123" i="25"/>
  <c r="G124" i="25"/>
  <c r="H124" i="25" s="1"/>
  <c r="I124" i="25" s="1"/>
  <c r="J122" i="24"/>
  <c r="G123" i="24"/>
  <c r="H123" i="24" s="1"/>
  <c r="I123" i="24" s="1"/>
  <c r="F125" i="24"/>
  <c r="J119" i="23"/>
  <c r="G120" i="23"/>
  <c r="H120" i="23" s="1"/>
  <c r="I120" i="23" s="1"/>
  <c r="F122" i="23"/>
  <c r="I70" i="1"/>
  <c r="G71" i="1"/>
  <c r="H71" i="1" s="1"/>
  <c r="F78" i="1"/>
  <c r="J125" i="26" l="1"/>
  <c r="G126" i="26"/>
  <c r="H126" i="26" s="1"/>
  <c r="I126" i="26" s="1"/>
  <c r="F128" i="26"/>
  <c r="J124" i="25"/>
  <c r="G125" i="25"/>
  <c r="H125" i="25" s="1"/>
  <c r="I125" i="25" s="1"/>
  <c r="F128" i="25"/>
  <c r="F126" i="24"/>
  <c r="J123" i="24"/>
  <c r="G124" i="24"/>
  <c r="H124" i="24" s="1"/>
  <c r="I124" i="24" s="1"/>
  <c r="F123" i="23"/>
  <c r="J120" i="23"/>
  <c r="G121" i="23"/>
  <c r="H121" i="23" s="1"/>
  <c r="I121" i="23" s="1"/>
  <c r="I71" i="1"/>
  <c r="G72" i="1"/>
  <c r="H72" i="1" s="1"/>
  <c r="F79" i="1"/>
  <c r="J126" i="26" l="1"/>
  <c r="G127" i="26"/>
  <c r="H127" i="26" s="1"/>
  <c r="I127" i="26" s="1"/>
  <c r="F129" i="26"/>
  <c r="F129" i="25"/>
  <c r="J125" i="25"/>
  <c r="G126" i="25"/>
  <c r="H126" i="25" s="1"/>
  <c r="I126" i="25" s="1"/>
  <c r="J124" i="24"/>
  <c r="G125" i="24"/>
  <c r="H125" i="24" s="1"/>
  <c r="I125" i="24" s="1"/>
  <c r="F127" i="24"/>
  <c r="J121" i="23"/>
  <c r="G122" i="23"/>
  <c r="H122" i="23" s="1"/>
  <c r="I122" i="23" s="1"/>
  <c r="F124" i="23"/>
  <c r="I72" i="1"/>
  <c r="G73" i="1"/>
  <c r="H73" i="1" s="1"/>
  <c r="F80" i="1"/>
  <c r="G128" i="26" l="1"/>
  <c r="H128" i="26" s="1"/>
  <c r="I128" i="26" s="1"/>
  <c r="J127" i="26"/>
  <c r="F130" i="26"/>
  <c r="J126" i="25"/>
  <c r="G127" i="25"/>
  <c r="H127" i="25" s="1"/>
  <c r="I127" i="25" s="1"/>
  <c r="F130" i="25"/>
  <c r="F128" i="24"/>
  <c r="J125" i="24"/>
  <c r="G126" i="24"/>
  <c r="H126" i="24" s="1"/>
  <c r="I126" i="24" s="1"/>
  <c r="F125" i="23"/>
  <c r="J122" i="23"/>
  <c r="G123" i="23"/>
  <c r="H123" i="23" s="1"/>
  <c r="I123" i="23" s="1"/>
  <c r="I73" i="1"/>
  <c r="G74" i="1"/>
  <c r="H74" i="1" s="1"/>
  <c r="F81" i="1"/>
  <c r="G129" i="26" l="1"/>
  <c r="H129" i="26" s="1"/>
  <c r="I129" i="26" s="1"/>
  <c r="J128" i="26"/>
  <c r="F131" i="26"/>
  <c r="F131" i="25"/>
  <c r="J127" i="25"/>
  <c r="G128" i="25"/>
  <c r="H128" i="25" s="1"/>
  <c r="I128" i="25" s="1"/>
  <c r="J126" i="24"/>
  <c r="G127" i="24"/>
  <c r="H127" i="24" s="1"/>
  <c r="I127" i="24" s="1"/>
  <c r="F129" i="24"/>
  <c r="J123" i="23"/>
  <c r="G124" i="23"/>
  <c r="H124" i="23" s="1"/>
  <c r="I124" i="23" s="1"/>
  <c r="F126" i="23"/>
  <c r="I74" i="1"/>
  <c r="G75" i="1"/>
  <c r="H75" i="1" s="1"/>
  <c r="F82" i="1"/>
  <c r="J129" i="26" l="1"/>
  <c r="G130" i="26"/>
  <c r="H130" i="26" s="1"/>
  <c r="I130" i="26" s="1"/>
  <c r="F132" i="26"/>
  <c r="J128" i="25"/>
  <c r="G129" i="25"/>
  <c r="H129" i="25" s="1"/>
  <c r="I129" i="25" s="1"/>
  <c r="F132" i="25"/>
  <c r="F130" i="24"/>
  <c r="J127" i="24"/>
  <c r="G128" i="24"/>
  <c r="H128" i="24" s="1"/>
  <c r="I128" i="24" s="1"/>
  <c r="F127" i="23"/>
  <c r="J124" i="23"/>
  <c r="G125" i="23"/>
  <c r="H125" i="23" s="1"/>
  <c r="I125" i="23" s="1"/>
  <c r="I75" i="1"/>
  <c r="G76" i="1"/>
  <c r="H76" i="1" s="1"/>
  <c r="F83" i="1"/>
  <c r="J130" i="26" l="1"/>
  <c r="G131" i="26"/>
  <c r="H131" i="26" s="1"/>
  <c r="I131" i="26" s="1"/>
  <c r="F133" i="26"/>
  <c r="F133" i="25"/>
  <c r="J129" i="25"/>
  <c r="G130" i="25"/>
  <c r="H130" i="25" s="1"/>
  <c r="I130" i="25" s="1"/>
  <c r="J128" i="24"/>
  <c r="G129" i="24"/>
  <c r="H129" i="24" s="1"/>
  <c r="I129" i="24" s="1"/>
  <c r="F131" i="24"/>
  <c r="F128" i="23"/>
  <c r="J125" i="23"/>
  <c r="G126" i="23"/>
  <c r="H126" i="23" s="1"/>
  <c r="I126" i="23" s="1"/>
  <c r="I76" i="1"/>
  <c r="G77" i="1"/>
  <c r="H77" i="1" s="1"/>
  <c r="F84" i="1"/>
  <c r="G132" i="26" l="1"/>
  <c r="H132" i="26" s="1"/>
  <c r="I132" i="26" s="1"/>
  <c r="J131" i="26"/>
  <c r="F134" i="26"/>
  <c r="J130" i="25"/>
  <c r="G131" i="25"/>
  <c r="H131" i="25" s="1"/>
  <c r="I131" i="25" s="1"/>
  <c r="F134" i="25"/>
  <c r="F132" i="24"/>
  <c r="J129" i="24"/>
  <c r="G130" i="24"/>
  <c r="H130" i="24" s="1"/>
  <c r="I130" i="24" s="1"/>
  <c r="J126" i="23"/>
  <c r="G127" i="23"/>
  <c r="H127" i="23" s="1"/>
  <c r="I127" i="23" s="1"/>
  <c r="F129" i="23"/>
  <c r="I77" i="1"/>
  <c r="G78" i="1"/>
  <c r="H78" i="1" s="1"/>
  <c r="F85" i="1"/>
  <c r="G133" i="26" l="1"/>
  <c r="H133" i="26" s="1"/>
  <c r="I133" i="26" s="1"/>
  <c r="J132" i="26"/>
  <c r="F135" i="26"/>
  <c r="F135" i="25"/>
  <c r="J131" i="25"/>
  <c r="G132" i="25"/>
  <c r="H132" i="25" s="1"/>
  <c r="I132" i="25" s="1"/>
  <c r="J130" i="24"/>
  <c r="G131" i="24"/>
  <c r="H131" i="24" s="1"/>
  <c r="I131" i="24" s="1"/>
  <c r="F133" i="24"/>
  <c r="F130" i="23"/>
  <c r="J127" i="23"/>
  <c r="G128" i="23"/>
  <c r="H128" i="23" s="1"/>
  <c r="I128" i="23" s="1"/>
  <c r="I78" i="1"/>
  <c r="G79" i="1"/>
  <c r="H79" i="1" s="1"/>
  <c r="F86" i="1"/>
  <c r="J133" i="26" l="1"/>
  <c r="G134" i="26"/>
  <c r="H134" i="26" s="1"/>
  <c r="I134" i="26" s="1"/>
  <c r="F136" i="26"/>
  <c r="J132" i="25"/>
  <c r="G133" i="25"/>
  <c r="H133" i="25" s="1"/>
  <c r="I133" i="25" s="1"/>
  <c r="F136" i="25"/>
  <c r="F134" i="24"/>
  <c r="J131" i="24"/>
  <c r="G132" i="24"/>
  <c r="H132" i="24" s="1"/>
  <c r="I132" i="24" s="1"/>
  <c r="J128" i="23"/>
  <c r="G129" i="23"/>
  <c r="H129" i="23" s="1"/>
  <c r="I129" i="23" s="1"/>
  <c r="F131" i="23"/>
  <c r="I79" i="1"/>
  <c r="G80" i="1"/>
  <c r="H80" i="1" s="1"/>
  <c r="F87" i="1"/>
  <c r="J134" i="26" l="1"/>
  <c r="G135" i="26"/>
  <c r="H135" i="26" s="1"/>
  <c r="I135" i="26" s="1"/>
  <c r="F137" i="26"/>
  <c r="F137" i="25"/>
  <c r="J133" i="25"/>
  <c r="G134" i="25"/>
  <c r="H134" i="25" s="1"/>
  <c r="I134" i="25" s="1"/>
  <c r="J132" i="24"/>
  <c r="G133" i="24"/>
  <c r="H133" i="24" s="1"/>
  <c r="I133" i="24" s="1"/>
  <c r="F135" i="24"/>
  <c r="F132" i="23"/>
  <c r="J129" i="23"/>
  <c r="G130" i="23"/>
  <c r="H130" i="23" s="1"/>
  <c r="I130" i="23" s="1"/>
  <c r="I80" i="1"/>
  <c r="G81" i="1"/>
  <c r="H81" i="1" s="1"/>
  <c r="F88" i="1"/>
  <c r="G136" i="26" l="1"/>
  <c r="H136" i="26" s="1"/>
  <c r="I136" i="26" s="1"/>
  <c r="J135" i="26"/>
  <c r="F138" i="26"/>
  <c r="J134" i="25"/>
  <c r="G135" i="25"/>
  <c r="H135" i="25" s="1"/>
  <c r="I135" i="25" s="1"/>
  <c r="F138" i="25"/>
  <c r="F136" i="24"/>
  <c r="J133" i="24"/>
  <c r="G134" i="24"/>
  <c r="H134" i="24" s="1"/>
  <c r="I134" i="24" s="1"/>
  <c r="J130" i="23"/>
  <c r="G131" i="23"/>
  <c r="H131" i="23" s="1"/>
  <c r="I131" i="23" s="1"/>
  <c r="F133" i="23"/>
  <c r="I81" i="1"/>
  <c r="G82" i="1"/>
  <c r="H82" i="1" s="1"/>
  <c r="F89" i="1"/>
  <c r="G137" i="26" l="1"/>
  <c r="H137" i="26" s="1"/>
  <c r="I137" i="26" s="1"/>
  <c r="J136" i="26"/>
  <c r="F139" i="26"/>
  <c r="F139" i="25"/>
  <c r="J135" i="25"/>
  <c r="G136" i="25"/>
  <c r="H136" i="25" s="1"/>
  <c r="I136" i="25" s="1"/>
  <c r="J134" i="24"/>
  <c r="G135" i="24"/>
  <c r="H135" i="24" s="1"/>
  <c r="I135" i="24" s="1"/>
  <c r="F137" i="24"/>
  <c r="F134" i="23"/>
  <c r="J131" i="23"/>
  <c r="G132" i="23"/>
  <c r="H132" i="23" s="1"/>
  <c r="I132" i="23" s="1"/>
  <c r="I82" i="1"/>
  <c r="G83" i="1"/>
  <c r="H83" i="1" s="1"/>
  <c r="F90" i="1"/>
  <c r="J137" i="26" l="1"/>
  <c r="G138" i="26"/>
  <c r="H138" i="26" s="1"/>
  <c r="I138" i="26" s="1"/>
  <c r="F140" i="26"/>
  <c r="J136" i="25"/>
  <c r="G137" i="25"/>
  <c r="H137" i="25" s="1"/>
  <c r="I137" i="25" s="1"/>
  <c r="F140" i="25"/>
  <c r="F138" i="24"/>
  <c r="J135" i="24"/>
  <c r="G136" i="24"/>
  <c r="H136" i="24" s="1"/>
  <c r="I136" i="24" s="1"/>
  <c r="J132" i="23"/>
  <c r="G133" i="23"/>
  <c r="H133" i="23" s="1"/>
  <c r="I133" i="23" s="1"/>
  <c r="F135" i="23"/>
  <c r="I83" i="1"/>
  <c r="G84" i="1"/>
  <c r="H84" i="1" s="1"/>
  <c r="F91" i="1"/>
  <c r="J138" i="26" l="1"/>
  <c r="G139" i="26"/>
  <c r="H139" i="26" s="1"/>
  <c r="I139" i="26" s="1"/>
  <c r="F141" i="26"/>
  <c r="F141" i="25"/>
  <c r="J137" i="25"/>
  <c r="G138" i="25"/>
  <c r="H138" i="25" s="1"/>
  <c r="I138" i="25" s="1"/>
  <c r="J136" i="24"/>
  <c r="G137" i="24"/>
  <c r="H137" i="24" s="1"/>
  <c r="I137" i="24" s="1"/>
  <c r="F139" i="24"/>
  <c r="F136" i="23"/>
  <c r="J133" i="23"/>
  <c r="G134" i="23"/>
  <c r="H134" i="23" s="1"/>
  <c r="I134" i="23" s="1"/>
  <c r="I84" i="1"/>
  <c r="G85" i="1"/>
  <c r="H85" i="1" s="1"/>
  <c r="F92" i="1"/>
  <c r="G140" i="26" l="1"/>
  <c r="H140" i="26" s="1"/>
  <c r="I140" i="26" s="1"/>
  <c r="J139" i="26"/>
  <c r="F142" i="26"/>
  <c r="J138" i="25"/>
  <c r="G139" i="25"/>
  <c r="H139" i="25" s="1"/>
  <c r="I139" i="25" s="1"/>
  <c r="F142" i="25"/>
  <c r="F140" i="24"/>
  <c r="J137" i="24"/>
  <c r="G138" i="24"/>
  <c r="H138" i="24" s="1"/>
  <c r="I138" i="24" s="1"/>
  <c r="J134" i="23"/>
  <c r="G135" i="23"/>
  <c r="H135" i="23" s="1"/>
  <c r="I135" i="23" s="1"/>
  <c r="F137" i="23"/>
  <c r="I85" i="1"/>
  <c r="G86" i="1"/>
  <c r="H86" i="1" s="1"/>
  <c r="F93" i="1"/>
  <c r="G141" i="26" l="1"/>
  <c r="H141" i="26" s="1"/>
  <c r="I141" i="26" s="1"/>
  <c r="J140" i="26"/>
  <c r="F143" i="26"/>
  <c r="F143" i="25"/>
  <c r="J139" i="25"/>
  <c r="G140" i="25"/>
  <c r="H140" i="25" s="1"/>
  <c r="I140" i="25" s="1"/>
  <c r="J138" i="24"/>
  <c r="G139" i="24"/>
  <c r="H139" i="24" s="1"/>
  <c r="I139" i="24" s="1"/>
  <c r="F141" i="24"/>
  <c r="F138" i="23"/>
  <c r="J135" i="23"/>
  <c r="G136" i="23"/>
  <c r="H136" i="23" s="1"/>
  <c r="I136" i="23" s="1"/>
  <c r="I86" i="1"/>
  <c r="G87" i="1"/>
  <c r="H87" i="1" s="1"/>
  <c r="F94" i="1"/>
  <c r="J141" i="26" l="1"/>
  <c r="G142" i="26"/>
  <c r="H142" i="26" s="1"/>
  <c r="I142" i="26" s="1"/>
  <c r="F144" i="26"/>
  <c r="J140" i="25"/>
  <c r="G141" i="25"/>
  <c r="H141" i="25" s="1"/>
  <c r="I141" i="25" s="1"/>
  <c r="F144" i="25"/>
  <c r="F142" i="24"/>
  <c r="J139" i="24"/>
  <c r="G140" i="24"/>
  <c r="H140" i="24" s="1"/>
  <c r="I140" i="24" s="1"/>
  <c r="J136" i="23"/>
  <c r="G137" i="23"/>
  <c r="H137" i="23" s="1"/>
  <c r="I137" i="23" s="1"/>
  <c r="F139" i="23"/>
  <c r="I87" i="1"/>
  <c r="G88" i="1"/>
  <c r="H88" i="1" s="1"/>
  <c r="F95" i="1"/>
  <c r="J142" i="26" l="1"/>
  <c r="G143" i="26"/>
  <c r="H143" i="26" s="1"/>
  <c r="I143" i="26" s="1"/>
  <c r="F145" i="26"/>
  <c r="F145" i="25"/>
  <c r="J141" i="25"/>
  <c r="G142" i="25"/>
  <c r="H142" i="25" s="1"/>
  <c r="I142" i="25" s="1"/>
  <c r="J140" i="24"/>
  <c r="G141" i="24"/>
  <c r="H141" i="24" s="1"/>
  <c r="I141" i="24" s="1"/>
  <c r="F143" i="24"/>
  <c r="F140" i="23"/>
  <c r="J137" i="23"/>
  <c r="G138" i="23"/>
  <c r="H138" i="23" s="1"/>
  <c r="I138" i="23" s="1"/>
  <c r="I88" i="1"/>
  <c r="G89" i="1"/>
  <c r="H89" i="1" s="1"/>
  <c r="F96" i="1"/>
  <c r="G144" i="26" l="1"/>
  <c r="H144" i="26" s="1"/>
  <c r="I144" i="26" s="1"/>
  <c r="J143" i="26"/>
  <c r="F146" i="26"/>
  <c r="J142" i="25"/>
  <c r="G143" i="25"/>
  <c r="H143" i="25" s="1"/>
  <c r="I143" i="25" s="1"/>
  <c r="F146" i="25"/>
  <c r="F144" i="24"/>
  <c r="J141" i="24"/>
  <c r="G142" i="24"/>
  <c r="H142" i="24" s="1"/>
  <c r="I142" i="24" s="1"/>
  <c r="J138" i="23"/>
  <c r="G139" i="23"/>
  <c r="H139" i="23" s="1"/>
  <c r="I139" i="23" s="1"/>
  <c r="F141" i="23"/>
  <c r="I89" i="1"/>
  <c r="G90" i="1"/>
  <c r="H90" i="1" s="1"/>
  <c r="F97" i="1"/>
  <c r="G145" i="26" l="1"/>
  <c r="H145" i="26" s="1"/>
  <c r="I145" i="26" s="1"/>
  <c r="J144" i="26"/>
  <c r="F147" i="26"/>
  <c r="F147" i="25"/>
  <c r="J143" i="25"/>
  <c r="G144" i="25"/>
  <c r="H144" i="25" s="1"/>
  <c r="I144" i="25" s="1"/>
  <c r="J142" i="24"/>
  <c r="G143" i="24"/>
  <c r="H143" i="24" s="1"/>
  <c r="I143" i="24" s="1"/>
  <c r="F145" i="24"/>
  <c r="J139" i="23"/>
  <c r="G140" i="23"/>
  <c r="H140" i="23" s="1"/>
  <c r="I140" i="23" s="1"/>
  <c r="F142" i="23"/>
  <c r="I90" i="1"/>
  <c r="G91" i="1"/>
  <c r="H91" i="1" s="1"/>
  <c r="F98" i="1"/>
  <c r="J145" i="26" l="1"/>
  <c r="G146" i="26"/>
  <c r="H146" i="26" s="1"/>
  <c r="I146" i="26" s="1"/>
  <c r="F148" i="26"/>
  <c r="J144" i="25"/>
  <c r="G145" i="25"/>
  <c r="H145" i="25" s="1"/>
  <c r="I145" i="25" s="1"/>
  <c r="F148" i="25"/>
  <c r="F146" i="24"/>
  <c r="J143" i="24"/>
  <c r="G144" i="24"/>
  <c r="H144" i="24" s="1"/>
  <c r="I144" i="24" s="1"/>
  <c r="F143" i="23"/>
  <c r="J140" i="23"/>
  <c r="G141" i="23"/>
  <c r="H141" i="23" s="1"/>
  <c r="I141" i="23" s="1"/>
  <c r="I91" i="1"/>
  <c r="G92" i="1"/>
  <c r="H92" i="1" s="1"/>
  <c r="F99" i="1"/>
  <c r="J146" i="26" l="1"/>
  <c r="G147" i="26"/>
  <c r="H147" i="26" s="1"/>
  <c r="I147" i="26" s="1"/>
  <c r="F149" i="26"/>
  <c r="J145" i="25"/>
  <c r="G146" i="25"/>
  <c r="H146" i="25" s="1"/>
  <c r="I146" i="25" s="1"/>
  <c r="F149" i="25"/>
  <c r="J144" i="24"/>
  <c r="G145" i="24"/>
  <c r="H145" i="24" s="1"/>
  <c r="I145" i="24" s="1"/>
  <c r="F147" i="24"/>
  <c r="J141" i="23"/>
  <c r="G142" i="23"/>
  <c r="H142" i="23" s="1"/>
  <c r="I142" i="23" s="1"/>
  <c r="F144" i="23"/>
  <c r="I92" i="1"/>
  <c r="G93" i="1"/>
  <c r="H93" i="1" s="1"/>
  <c r="F100" i="1"/>
  <c r="G148" i="26" l="1"/>
  <c r="H148" i="26" s="1"/>
  <c r="I148" i="26" s="1"/>
  <c r="J147" i="26"/>
  <c r="F150" i="26"/>
  <c r="F150" i="25"/>
  <c r="J146" i="25"/>
  <c r="G147" i="25"/>
  <c r="H147" i="25" s="1"/>
  <c r="I147" i="25" s="1"/>
  <c r="F148" i="24"/>
  <c r="J145" i="24"/>
  <c r="G146" i="24"/>
  <c r="H146" i="24" s="1"/>
  <c r="I146" i="24" s="1"/>
  <c r="F145" i="23"/>
  <c r="J142" i="23"/>
  <c r="G143" i="23"/>
  <c r="H143" i="23" s="1"/>
  <c r="I143" i="23" s="1"/>
  <c r="I93" i="1"/>
  <c r="G94" i="1"/>
  <c r="H94" i="1" s="1"/>
  <c r="F101" i="1"/>
  <c r="G149" i="26" l="1"/>
  <c r="H149" i="26" s="1"/>
  <c r="I149" i="26" s="1"/>
  <c r="J148" i="26"/>
  <c r="F151" i="26"/>
  <c r="J147" i="25"/>
  <c r="G148" i="25"/>
  <c r="H148" i="25" s="1"/>
  <c r="I148" i="25" s="1"/>
  <c r="F151" i="25"/>
  <c r="J146" i="24"/>
  <c r="G147" i="24"/>
  <c r="H147" i="24" s="1"/>
  <c r="I147" i="24" s="1"/>
  <c r="F149" i="24"/>
  <c r="J143" i="23"/>
  <c r="G144" i="23"/>
  <c r="H144" i="23" s="1"/>
  <c r="I144" i="23" s="1"/>
  <c r="F146" i="23"/>
  <c r="I94" i="1"/>
  <c r="G95" i="1"/>
  <c r="H95" i="1" s="1"/>
  <c r="F102" i="1"/>
  <c r="J149" i="26" l="1"/>
  <c r="G150" i="26"/>
  <c r="H150" i="26" s="1"/>
  <c r="I150" i="26" s="1"/>
  <c r="F152" i="26"/>
  <c r="F152" i="25"/>
  <c r="J148" i="25"/>
  <c r="G149" i="25"/>
  <c r="H149" i="25" s="1"/>
  <c r="I149" i="25" s="1"/>
  <c r="F150" i="24"/>
  <c r="J147" i="24"/>
  <c r="G148" i="24"/>
  <c r="H148" i="24" s="1"/>
  <c r="I148" i="24" s="1"/>
  <c r="F147" i="23"/>
  <c r="J144" i="23"/>
  <c r="G145" i="23"/>
  <c r="H145" i="23" s="1"/>
  <c r="I145" i="23" s="1"/>
  <c r="I95" i="1"/>
  <c r="G96" i="1"/>
  <c r="H96" i="1" s="1"/>
  <c r="F103" i="1"/>
  <c r="J150" i="26" l="1"/>
  <c r="G151" i="26"/>
  <c r="H151" i="26" s="1"/>
  <c r="I151" i="26" s="1"/>
  <c r="F153" i="26"/>
  <c r="J149" i="25"/>
  <c r="G150" i="25"/>
  <c r="H150" i="25" s="1"/>
  <c r="I150" i="25" s="1"/>
  <c r="F153" i="25"/>
  <c r="J148" i="24"/>
  <c r="G149" i="24"/>
  <c r="H149" i="24" s="1"/>
  <c r="I149" i="24" s="1"/>
  <c r="F151" i="24"/>
  <c r="J145" i="23"/>
  <c r="G146" i="23"/>
  <c r="H146" i="23" s="1"/>
  <c r="I146" i="23" s="1"/>
  <c r="F148" i="23"/>
  <c r="I96" i="1"/>
  <c r="G97" i="1"/>
  <c r="H97" i="1" s="1"/>
  <c r="F104" i="1"/>
  <c r="G152" i="26" l="1"/>
  <c r="H152" i="26" s="1"/>
  <c r="I152" i="26" s="1"/>
  <c r="J151" i="26"/>
  <c r="F154" i="26"/>
  <c r="F154" i="25"/>
  <c r="J150" i="25"/>
  <c r="G151" i="25"/>
  <c r="H151" i="25" s="1"/>
  <c r="I151" i="25" s="1"/>
  <c r="F152" i="24"/>
  <c r="J149" i="24"/>
  <c r="G150" i="24"/>
  <c r="H150" i="24" s="1"/>
  <c r="I150" i="24" s="1"/>
  <c r="F149" i="23"/>
  <c r="J146" i="23"/>
  <c r="G147" i="23"/>
  <c r="H147" i="23" s="1"/>
  <c r="I147" i="23" s="1"/>
  <c r="I97" i="1"/>
  <c r="G98" i="1"/>
  <c r="H98" i="1" s="1"/>
  <c r="F105" i="1"/>
  <c r="G153" i="26" l="1"/>
  <c r="H153" i="26" s="1"/>
  <c r="I153" i="26" s="1"/>
  <c r="J152" i="26"/>
  <c r="F155" i="26"/>
  <c r="J151" i="25"/>
  <c r="G152" i="25"/>
  <c r="H152" i="25" s="1"/>
  <c r="I152" i="25" s="1"/>
  <c r="F155" i="25"/>
  <c r="J150" i="24"/>
  <c r="G151" i="24"/>
  <c r="H151" i="24" s="1"/>
  <c r="I151" i="24" s="1"/>
  <c r="F153" i="24"/>
  <c r="J147" i="23"/>
  <c r="G148" i="23"/>
  <c r="H148" i="23" s="1"/>
  <c r="I148" i="23" s="1"/>
  <c r="F150" i="23"/>
  <c r="I98" i="1"/>
  <c r="G99" i="1"/>
  <c r="H99" i="1" s="1"/>
  <c r="F106" i="1"/>
  <c r="J153" i="26" l="1"/>
  <c r="G154" i="26"/>
  <c r="H154" i="26" s="1"/>
  <c r="I154" i="26" s="1"/>
  <c r="F156" i="26"/>
  <c r="F156" i="25"/>
  <c r="J152" i="25"/>
  <c r="G153" i="25"/>
  <c r="H153" i="25" s="1"/>
  <c r="I153" i="25" s="1"/>
  <c r="J151" i="24"/>
  <c r="G152" i="24"/>
  <c r="H152" i="24" s="1"/>
  <c r="I152" i="24" s="1"/>
  <c r="F154" i="24"/>
  <c r="F151" i="23"/>
  <c r="J148" i="23"/>
  <c r="G149" i="23"/>
  <c r="H149" i="23" s="1"/>
  <c r="I149" i="23" s="1"/>
  <c r="I99" i="1"/>
  <c r="G100" i="1"/>
  <c r="H100" i="1" s="1"/>
  <c r="F107" i="1"/>
  <c r="J154" i="26" l="1"/>
  <c r="G155" i="26"/>
  <c r="H155" i="26" s="1"/>
  <c r="I155" i="26" s="1"/>
  <c r="F157" i="26"/>
  <c r="J153" i="25"/>
  <c r="G154" i="25"/>
  <c r="H154" i="25" s="1"/>
  <c r="I154" i="25" s="1"/>
  <c r="F157" i="25"/>
  <c r="F155" i="24"/>
  <c r="J152" i="24"/>
  <c r="G153" i="24"/>
  <c r="H153" i="24" s="1"/>
  <c r="I153" i="24" s="1"/>
  <c r="J149" i="23"/>
  <c r="G150" i="23"/>
  <c r="H150" i="23" s="1"/>
  <c r="I150" i="23" s="1"/>
  <c r="F152" i="23"/>
  <c r="I100" i="1"/>
  <c r="G101" i="1"/>
  <c r="H101" i="1" s="1"/>
  <c r="F108" i="1"/>
  <c r="G156" i="26" l="1"/>
  <c r="H156" i="26" s="1"/>
  <c r="I156" i="26" s="1"/>
  <c r="J155" i="26"/>
  <c r="F158" i="26"/>
  <c r="F158" i="25"/>
  <c r="J154" i="25"/>
  <c r="G155" i="25"/>
  <c r="H155" i="25" s="1"/>
  <c r="I155" i="25" s="1"/>
  <c r="J153" i="24"/>
  <c r="G154" i="24"/>
  <c r="H154" i="24" s="1"/>
  <c r="I154" i="24" s="1"/>
  <c r="F156" i="24"/>
  <c r="F153" i="23"/>
  <c r="J150" i="23"/>
  <c r="G151" i="23"/>
  <c r="H151" i="23" s="1"/>
  <c r="I151" i="23" s="1"/>
  <c r="I101" i="1"/>
  <c r="G102" i="1"/>
  <c r="H102" i="1" s="1"/>
  <c r="F109" i="1"/>
  <c r="G157" i="26" l="1"/>
  <c r="H157" i="26" s="1"/>
  <c r="I157" i="26" s="1"/>
  <c r="J156" i="26"/>
  <c r="F159" i="26"/>
  <c r="J155" i="25"/>
  <c r="G156" i="25"/>
  <c r="H156" i="25" s="1"/>
  <c r="I156" i="25" s="1"/>
  <c r="F159" i="25"/>
  <c r="F157" i="24"/>
  <c r="G155" i="24"/>
  <c r="H155" i="24" s="1"/>
  <c r="I155" i="24" s="1"/>
  <c r="J154" i="24"/>
  <c r="J151" i="23"/>
  <c r="G152" i="23"/>
  <c r="H152" i="23" s="1"/>
  <c r="I152" i="23" s="1"/>
  <c r="F154" i="23"/>
  <c r="I102" i="1"/>
  <c r="G103" i="1"/>
  <c r="H103" i="1" s="1"/>
  <c r="F110" i="1"/>
  <c r="J157" i="26" l="1"/>
  <c r="G158" i="26"/>
  <c r="H158" i="26" s="1"/>
  <c r="I158" i="26" s="1"/>
  <c r="F160" i="26"/>
  <c r="F160" i="25"/>
  <c r="J156" i="25"/>
  <c r="G157" i="25"/>
  <c r="H157" i="25" s="1"/>
  <c r="I157" i="25" s="1"/>
  <c r="J155" i="24"/>
  <c r="G156" i="24"/>
  <c r="H156" i="24" s="1"/>
  <c r="I156" i="24" s="1"/>
  <c r="F158" i="24"/>
  <c r="F155" i="23"/>
  <c r="J152" i="23"/>
  <c r="G153" i="23"/>
  <c r="H153" i="23" s="1"/>
  <c r="I153" i="23" s="1"/>
  <c r="I103" i="1"/>
  <c r="G104" i="1"/>
  <c r="H104" i="1" s="1"/>
  <c r="F111" i="1"/>
  <c r="J158" i="26" l="1"/>
  <c r="G159" i="26"/>
  <c r="H159" i="26" s="1"/>
  <c r="I159" i="26" s="1"/>
  <c r="F161" i="26"/>
  <c r="J157" i="25"/>
  <c r="G158" i="25"/>
  <c r="H158" i="25" s="1"/>
  <c r="I158" i="25" s="1"/>
  <c r="F161" i="25"/>
  <c r="F159" i="24"/>
  <c r="J156" i="24"/>
  <c r="G157" i="24"/>
  <c r="H157" i="24" s="1"/>
  <c r="I157" i="24" s="1"/>
  <c r="J153" i="23"/>
  <c r="G154" i="23"/>
  <c r="H154" i="23" s="1"/>
  <c r="I154" i="23" s="1"/>
  <c r="F156" i="23"/>
  <c r="I104" i="1"/>
  <c r="G105" i="1"/>
  <c r="H105" i="1" s="1"/>
  <c r="F112" i="1"/>
  <c r="G160" i="26" l="1"/>
  <c r="H160" i="26" s="1"/>
  <c r="I160" i="26" s="1"/>
  <c r="J159" i="26"/>
  <c r="F162" i="26"/>
  <c r="F162" i="25"/>
  <c r="J158" i="25"/>
  <c r="G159" i="25"/>
  <c r="H159" i="25" s="1"/>
  <c r="I159" i="25" s="1"/>
  <c r="J157" i="24"/>
  <c r="G158" i="24"/>
  <c r="H158" i="24" s="1"/>
  <c r="I158" i="24" s="1"/>
  <c r="F160" i="24"/>
  <c r="F157" i="23"/>
  <c r="J154" i="23"/>
  <c r="G155" i="23"/>
  <c r="H155" i="23" s="1"/>
  <c r="I155" i="23" s="1"/>
  <c r="I105" i="1"/>
  <c r="G106" i="1"/>
  <c r="H106" i="1" s="1"/>
  <c r="F113" i="1"/>
  <c r="G161" i="26" l="1"/>
  <c r="H161" i="26" s="1"/>
  <c r="I161" i="26" s="1"/>
  <c r="J160" i="26"/>
  <c r="F163" i="26"/>
  <c r="J159" i="25"/>
  <c r="G160" i="25"/>
  <c r="H160" i="25" s="1"/>
  <c r="I160" i="25" s="1"/>
  <c r="F163" i="25"/>
  <c r="F161" i="24"/>
  <c r="J158" i="24"/>
  <c r="G159" i="24"/>
  <c r="H159" i="24" s="1"/>
  <c r="I159" i="24" s="1"/>
  <c r="J155" i="23"/>
  <c r="G156" i="23"/>
  <c r="H156" i="23" s="1"/>
  <c r="I156" i="23" s="1"/>
  <c r="F158" i="23"/>
  <c r="I106" i="1"/>
  <c r="G107" i="1"/>
  <c r="H107" i="1" s="1"/>
  <c r="F114" i="1"/>
  <c r="J161" i="26" l="1"/>
  <c r="G162" i="26"/>
  <c r="H162" i="26" s="1"/>
  <c r="I162" i="26" s="1"/>
  <c r="F164" i="26"/>
  <c r="F164" i="25"/>
  <c r="J160" i="25"/>
  <c r="G161" i="25"/>
  <c r="H161" i="25" s="1"/>
  <c r="I161" i="25" s="1"/>
  <c r="J159" i="24"/>
  <c r="G160" i="24"/>
  <c r="H160" i="24" s="1"/>
  <c r="I160" i="24" s="1"/>
  <c r="F162" i="24"/>
  <c r="F159" i="23"/>
  <c r="J156" i="23"/>
  <c r="G157" i="23"/>
  <c r="H157" i="23" s="1"/>
  <c r="I157" i="23" s="1"/>
  <c r="I107" i="1"/>
  <c r="G108" i="1"/>
  <c r="H108" i="1" s="1"/>
  <c r="F115" i="1"/>
  <c r="J162" i="26" l="1"/>
  <c r="G163" i="26"/>
  <c r="H163" i="26" s="1"/>
  <c r="I163" i="26" s="1"/>
  <c r="F165" i="26"/>
  <c r="J161" i="25"/>
  <c r="G162" i="25"/>
  <c r="H162" i="25" s="1"/>
  <c r="I162" i="25" s="1"/>
  <c r="F165" i="25"/>
  <c r="F163" i="24"/>
  <c r="J160" i="24"/>
  <c r="G161" i="24"/>
  <c r="H161" i="24" s="1"/>
  <c r="I161" i="24" s="1"/>
  <c r="J157" i="23"/>
  <c r="G158" i="23"/>
  <c r="H158" i="23" s="1"/>
  <c r="I158" i="23" s="1"/>
  <c r="F160" i="23"/>
  <c r="I108" i="1"/>
  <c r="G109" i="1"/>
  <c r="H109" i="1" s="1"/>
  <c r="F116" i="1"/>
  <c r="G164" i="26" l="1"/>
  <c r="H164" i="26" s="1"/>
  <c r="I164" i="26" s="1"/>
  <c r="J163" i="26"/>
  <c r="F166" i="26"/>
  <c r="F166" i="25"/>
  <c r="J162" i="25"/>
  <c r="G163" i="25"/>
  <c r="H163" i="25" s="1"/>
  <c r="I163" i="25" s="1"/>
  <c r="J161" i="24"/>
  <c r="G162" i="24"/>
  <c r="H162" i="24" s="1"/>
  <c r="I162" i="24" s="1"/>
  <c r="F164" i="24"/>
  <c r="F161" i="23"/>
  <c r="J158" i="23"/>
  <c r="G159" i="23"/>
  <c r="H159" i="23" s="1"/>
  <c r="I159" i="23" s="1"/>
  <c r="I109" i="1"/>
  <c r="G110" i="1"/>
  <c r="H110" i="1" s="1"/>
  <c r="F117" i="1"/>
  <c r="G165" i="26" l="1"/>
  <c r="H165" i="26" s="1"/>
  <c r="I165" i="26" s="1"/>
  <c r="J164" i="26"/>
  <c r="F167" i="26"/>
  <c r="J163" i="25"/>
  <c r="G164" i="25"/>
  <c r="H164" i="25" s="1"/>
  <c r="I164" i="25" s="1"/>
  <c r="F167" i="25"/>
  <c r="F165" i="24"/>
  <c r="J162" i="24"/>
  <c r="G163" i="24"/>
  <c r="H163" i="24" s="1"/>
  <c r="I163" i="24" s="1"/>
  <c r="J159" i="23"/>
  <c r="G160" i="23"/>
  <c r="H160" i="23" s="1"/>
  <c r="I160" i="23" s="1"/>
  <c r="F162" i="23"/>
  <c r="I110" i="1"/>
  <c r="G111" i="1"/>
  <c r="H111" i="1" s="1"/>
  <c r="F118" i="1"/>
  <c r="J165" i="26" l="1"/>
  <c r="G166" i="26"/>
  <c r="H166" i="26" s="1"/>
  <c r="I166" i="26" s="1"/>
  <c r="F168" i="26"/>
  <c r="F168" i="25"/>
  <c r="J164" i="25"/>
  <c r="G165" i="25"/>
  <c r="H165" i="25" s="1"/>
  <c r="I165" i="25" s="1"/>
  <c r="J163" i="24"/>
  <c r="G164" i="24"/>
  <c r="H164" i="24" s="1"/>
  <c r="I164" i="24" s="1"/>
  <c r="F166" i="24"/>
  <c r="F163" i="23"/>
  <c r="J160" i="23"/>
  <c r="G161" i="23"/>
  <c r="H161" i="23" s="1"/>
  <c r="I161" i="23" s="1"/>
  <c r="I111" i="1"/>
  <c r="G112" i="1"/>
  <c r="H112" i="1" s="1"/>
  <c r="F119" i="1"/>
  <c r="J166" i="26" l="1"/>
  <c r="G167" i="26"/>
  <c r="H167" i="26" s="1"/>
  <c r="I167" i="26" s="1"/>
  <c r="F169" i="26"/>
  <c r="J165" i="25"/>
  <c r="G166" i="25"/>
  <c r="H166" i="25" s="1"/>
  <c r="I166" i="25" s="1"/>
  <c r="F169" i="25"/>
  <c r="F167" i="24"/>
  <c r="J164" i="24"/>
  <c r="G165" i="24"/>
  <c r="H165" i="24" s="1"/>
  <c r="I165" i="24" s="1"/>
  <c r="F164" i="23"/>
  <c r="J161" i="23"/>
  <c r="G162" i="23"/>
  <c r="H162" i="23" s="1"/>
  <c r="I162" i="23" s="1"/>
  <c r="I112" i="1"/>
  <c r="G113" i="1"/>
  <c r="H113" i="1" s="1"/>
  <c r="F120" i="1"/>
  <c r="G168" i="26" l="1"/>
  <c r="H168" i="26" s="1"/>
  <c r="I168" i="26" s="1"/>
  <c r="J167" i="26"/>
  <c r="F170" i="26"/>
  <c r="F170" i="25"/>
  <c r="J166" i="25"/>
  <c r="G167" i="25"/>
  <c r="H167" i="25" s="1"/>
  <c r="I167" i="25" s="1"/>
  <c r="J165" i="24"/>
  <c r="G166" i="24"/>
  <c r="H166" i="24" s="1"/>
  <c r="I166" i="24" s="1"/>
  <c r="F168" i="24"/>
  <c r="J162" i="23"/>
  <c r="G163" i="23"/>
  <c r="H163" i="23" s="1"/>
  <c r="I163" i="23" s="1"/>
  <c r="F165" i="23"/>
  <c r="I113" i="1"/>
  <c r="G114" i="1"/>
  <c r="H114" i="1" s="1"/>
  <c r="F121" i="1"/>
  <c r="G169" i="26" l="1"/>
  <c r="H169" i="26" s="1"/>
  <c r="I169" i="26" s="1"/>
  <c r="J168" i="26"/>
  <c r="F171" i="26"/>
  <c r="J167" i="25"/>
  <c r="G168" i="25"/>
  <c r="H168" i="25" s="1"/>
  <c r="I168" i="25" s="1"/>
  <c r="F171" i="25"/>
  <c r="F169" i="24"/>
  <c r="J166" i="24"/>
  <c r="G167" i="24"/>
  <c r="H167" i="24" s="1"/>
  <c r="I167" i="24" s="1"/>
  <c r="F166" i="23"/>
  <c r="J163" i="23"/>
  <c r="G164" i="23"/>
  <c r="H164" i="23" s="1"/>
  <c r="I164" i="23" s="1"/>
  <c r="I114" i="1"/>
  <c r="G115" i="1"/>
  <c r="H115" i="1" s="1"/>
  <c r="F122" i="1"/>
  <c r="J169" i="26" l="1"/>
  <c r="G170" i="26"/>
  <c r="H170" i="26" s="1"/>
  <c r="I170" i="26" s="1"/>
  <c r="F172" i="26"/>
  <c r="F172" i="25"/>
  <c r="J168" i="25"/>
  <c r="G169" i="25"/>
  <c r="H169" i="25" s="1"/>
  <c r="I169" i="25" s="1"/>
  <c r="J167" i="24"/>
  <c r="G168" i="24"/>
  <c r="H168" i="24" s="1"/>
  <c r="I168" i="24" s="1"/>
  <c r="F170" i="24"/>
  <c r="J164" i="23"/>
  <c r="G165" i="23"/>
  <c r="H165" i="23" s="1"/>
  <c r="I165" i="23" s="1"/>
  <c r="F167" i="23"/>
  <c r="I115" i="1"/>
  <c r="G116" i="1"/>
  <c r="H116" i="1" s="1"/>
  <c r="F123" i="1"/>
  <c r="J170" i="26" l="1"/>
  <c r="G171" i="26"/>
  <c r="H171" i="26" s="1"/>
  <c r="I171" i="26" s="1"/>
  <c r="F173" i="26"/>
  <c r="J169" i="25"/>
  <c r="G170" i="25"/>
  <c r="H170" i="25" s="1"/>
  <c r="I170" i="25" s="1"/>
  <c r="F173" i="25"/>
  <c r="F171" i="24"/>
  <c r="J168" i="24"/>
  <c r="G169" i="24"/>
  <c r="H169" i="24" s="1"/>
  <c r="I169" i="24" s="1"/>
  <c r="F168" i="23"/>
  <c r="J165" i="23"/>
  <c r="G166" i="23"/>
  <c r="H166" i="23" s="1"/>
  <c r="I166" i="23" s="1"/>
  <c r="I116" i="1"/>
  <c r="G117" i="1"/>
  <c r="H117" i="1" s="1"/>
  <c r="F124" i="1"/>
  <c r="G172" i="26" l="1"/>
  <c r="H172" i="26" s="1"/>
  <c r="I172" i="26" s="1"/>
  <c r="J171" i="26"/>
  <c r="F174" i="26"/>
  <c r="F174" i="25"/>
  <c r="J170" i="25"/>
  <c r="G171" i="25"/>
  <c r="H171" i="25" s="1"/>
  <c r="I171" i="25" s="1"/>
  <c r="J169" i="24"/>
  <c r="G170" i="24"/>
  <c r="H170" i="24" s="1"/>
  <c r="I170" i="24" s="1"/>
  <c r="F172" i="24"/>
  <c r="J166" i="23"/>
  <c r="G167" i="23"/>
  <c r="H167" i="23" s="1"/>
  <c r="I167" i="23" s="1"/>
  <c r="F169" i="23"/>
  <c r="I117" i="1"/>
  <c r="G118" i="1"/>
  <c r="H118" i="1" s="1"/>
  <c r="F125" i="1"/>
  <c r="G173" i="26" l="1"/>
  <c r="H173" i="26" s="1"/>
  <c r="I173" i="26" s="1"/>
  <c r="J172" i="26"/>
  <c r="F175" i="26"/>
  <c r="J171" i="25"/>
  <c r="G172" i="25"/>
  <c r="H172" i="25" s="1"/>
  <c r="I172" i="25" s="1"/>
  <c r="F175" i="25"/>
  <c r="F173" i="24"/>
  <c r="J170" i="24"/>
  <c r="G171" i="24"/>
  <c r="H171" i="24" s="1"/>
  <c r="I171" i="24" s="1"/>
  <c r="F170" i="23"/>
  <c r="J167" i="23"/>
  <c r="G168" i="23"/>
  <c r="H168" i="23" s="1"/>
  <c r="I168" i="23" s="1"/>
  <c r="I118" i="1"/>
  <c r="G119" i="1"/>
  <c r="H119" i="1" s="1"/>
  <c r="F126" i="1"/>
  <c r="J173" i="26" l="1"/>
  <c r="G174" i="26"/>
  <c r="H174" i="26" s="1"/>
  <c r="I174" i="26" s="1"/>
  <c r="F176" i="26"/>
  <c r="F176" i="25"/>
  <c r="J172" i="25"/>
  <c r="G173" i="25"/>
  <c r="H173" i="25" s="1"/>
  <c r="I173" i="25" s="1"/>
  <c r="J171" i="24"/>
  <c r="G172" i="24"/>
  <c r="H172" i="24" s="1"/>
  <c r="I172" i="24" s="1"/>
  <c r="F174" i="24"/>
  <c r="J168" i="23"/>
  <c r="G169" i="23"/>
  <c r="H169" i="23" s="1"/>
  <c r="I169" i="23" s="1"/>
  <c r="F171" i="23"/>
  <c r="I119" i="1"/>
  <c r="G120" i="1"/>
  <c r="H120" i="1" s="1"/>
  <c r="F127" i="1"/>
  <c r="J174" i="26" l="1"/>
  <c r="G175" i="26"/>
  <c r="H175" i="26" s="1"/>
  <c r="I175" i="26" s="1"/>
  <c r="F177" i="26"/>
  <c r="J173" i="25"/>
  <c r="G174" i="25"/>
  <c r="H174" i="25" s="1"/>
  <c r="I174" i="25" s="1"/>
  <c r="F177" i="25"/>
  <c r="F175" i="24"/>
  <c r="J172" i="24"/>
  <c r="G173" i="24"/>
  <c r="H173" i="24" s="1"/>
  <c r="I173" i="24" s="1"/>
  <c r="F172" i="23"/>
  <c r="J169" i="23"/>
  <c r="G170" i="23"/>
  <c r="H170" i="23" s="1"/>
  <c r="I170" i="23" s="1"/>
  <c r="I120" i="1"/>
  <c r="G121" i="1"/>
  <c r="H121" i="1" s="1"/>
  <c r="F128" i="1"/>
  <c r="G176" i="26" l="1"/>
  <c r="H176" i="26" s="1"/>
  <c r="I176" i="26" s="1"/>
  <c r="J175" i="26"/>
  <c r="F178" i="26"/>
  <c r="F178" i="25"/>
  <c r="J174" i="25"/>
  <c r="G175" i="25"/>
  <c r="H175" i="25" s="1"/>
  <c r="I175" i="25" s="1"/>
  <c r="J173" i="24"/>
  <c r="G174" i="24"/>
  <c r="H174" i="24" s="1"/>
  <c r="I174" i="24" s="1"/>
  <c r="F176" i="24"/>
  <c r="J170" i="23"/>
  <c r="G171" i="23"/>
  <c r="H171" i="23" s="1"/>
  <c r="I171" i="23" s="1"/>
  <c r="F173" i="23"/>
  <c r="I121" i="1"/>
  <c r="G122" i="1"/>
  <c r="H122" i="1" s="1"/>
  <c r="F129" i="1"/>
  <c r="G177" i="26" l="1"/>
  <c r="H177" i="26" s="1"/>
  <c r="I177" i="26" s="1"/>
  <c r="J176" i="26"/>
  <c r="F179" i="26"/>
  <c r="J175" i="25"/>
  <c r="G176" i="25"/>
  <c r="H176" i="25" s="1"/>
  <c r="I176" i="25" s="1"/>
  <c r="F179" i="25"/>
  <c r="F177" i="24"/>
  <c r="J174" i="24"/>
  <c r="G175" i="24"/>
  <c r="H175" i="24" s="1"/>
  <c r="I175" i="24" s="1"/>
  <c r="F174" i="23"/>
  <c r="J171" i="23"/>
  <c r="G172" i="23"/>
  <c r="H172" i="23" s="1"/>
  <c r="I172" i="23" s="1"/>
  <c r="I122" i="1"/>
  <c r="G123" i="1"/>
  <c r="H123" i="1" s="1"/>
  <c r="F130" i="1"/>
  <c r="J177" i="26" l="1"/>
  <c r="G178" i="26"/>
  <c r="H178" i="26" s="1"/>
  <c r="I178" i="26" s="1"/>
  <c r="F180" i="26"/>
  <c r="F180" i="25"/>
  <c r="J176" i="25"/>
  <c r="G177" i="25"/>
  <c r="H177" i="25" s="1"/>
  <c r="I177" i="25" s="1"/>
  <c r="J175" i="24"/>
  <c r="G176" i="24"/>
  <c r="H176" i="24" s="1"/>
  <c r="I176" i="24" s="1"/>
  <c r="F178" i="24"/>
  <c r="J172" i="23"/>
  <c r="G173" i="23"/>
  <c r="H173" i="23" s="1"/>
  <c r="I173" i="23" s="1"/>
  <c r="F175" i="23"/>
  <c r="I123" i="1"/>
  <c r="G124" i="1"/>
  <c r="H124" i="1" s="1"/>
  <c r="F131" i="1"/>
  <c r="J178" i="26" l="1"/>
  <c r="G179" i="26"/>
  <c r="H179" i="26" s="1"/>
  <c r="I179" i="26" s="1"/>
  <c r="F181" i="26"/>
  <c r="J177" i="25"/>
  <c r="G178" i="25"/>
  <c r="H178" i="25" s="1"/>
  <c r="I178" i="25" s="1"/>
  <c r="F181" i="25"/>
  <c r="F179" i="24"/>
  <c r="J176" i="24"/>
  <c r="G177" i="24"/>
  <c r="H177" i="24" s="1"/>
  <c r="I177" i="24" s="1"/>
  <c r="F176" i="23"/>
  <c r="J173" i="23"/>
  <c r="G174" i="23"/>
  <c r="H174" i="23" s="1"/>
  <c r="I174" i="23" s="1"/>
  <c r="I124" i="1"/>
  <c r="G125" i="1"/>
  <c r="H125" i="1" s="1"/>
  <c r="F132" i="1"/>
  <c r="G180" i="26" l="1"/>
  <c r="H180" i="26" s="1"/>
  <c r="I180" i="26" s="1"/>
  <c r="J179" i="26"/>
  <c r="F182" i="26"/>
  <c r="F182" i="25"/>
  <c r="J178" i="25"/>
  <c r="G179" i="25"/>
  <c r="H179" i="25" s="1"/>
  <c r="I179" i="25" s="1"/>
  <c r="J177" i="24"/>
  <c r="G178" i="24"/>
  <c r="H178" i="24" s="1"/>
  <c r="I178" i="24" s="1"/>
  <c r="F180" i="24"/>
  <c r="J174" i="23"/>
  <c r="G175" i="23"/>
  <c r="H175" i="23" s="1"/>
  <c r="I175" i="23" s="1"/>
  <c r="F177" i="23"/>
  <c r="I125" i="1"/>
  <c r="G126" i="1"/>
  <c r="H126" i="1" s="1"/>
  <c r="F133" i="1"/>
  <c r="G181" i="26" l="1"/>
  <c r="H181" i="26" s="1"/>
  <c r="I181" i="26" s="1"/>
  <c r="J180" i="26"/>
  <c r="F183" i="26"/>
  <c r="J179" i="25"/>
  <c r="G180" i="25"/>
  <c r="H180" i="25" s="1"/>
  <c r="I180" i="25" s="1"/>
  <c r="F183" i="25"/>
  <c r="F181" i="24"/>
  <c r="J178" i="24"/>
  <c r="G179" i="24"/>
  <c r="H179" i="24" s="1"/>
  <c r="I179" i="24" s="1"/>
  <c r="F178" i="23"/>
  <c r="J175" i="23"/>
  <c r="G176" i="23"/>
  <c r="H176" i="23" s="1"/>
  <c r="I176" i="23" s="1"/>
  <c r="I126" i="1"/>
  <c r="G127" i="1"/>
  <c r="H127" i="1" s="1"/>
  <c r="F134" i="1"/>
  <c r="J181" i="26" l="1"/>
  <c r="G182" i="26"/>
  <c r="H182" i="26" s="1"/>
  <c r="I182" i="26" s="1"/>
  <c r="F184" i="26"/>
  <c r="F184" i="25"/>
  <c r="J180" i="25"/>
  <c r="G181" i="25"/>
  <c r="H181" i="25" s="1"/>
  <c r="I181" i="25" s="1"/>
  <c r="J179" i="24"/>
  <c r="G180" i="24"/>
  <c r="H180" i="24" s="1"/>
  <c r="I180" i="24" s="1"/>
  <c r="F182" i="24"/>
  <c r="J176" i="23"/>
  <c r="G177" i="23"/>
  <c r="H177" i="23" s="1"/>
  <c r="I177" i="23" s="1"/>
  <c r="F179" i="23"/>
  <c r="I127" i="1"/>
  <c r="G128" i="1"/>
  <c r="H128" i="1" s="1"/>
  <c r="F135" i="1"/>
  <c r="J182" i="26" l="1"/>
  <c r="G183" i="26"/>
  <c r="H183" i="26" s="1"/>
  <c r="I183" i="26" s="1"/>
  <c r="F185" i="26"/>
  <c r="J181" i="25"/>
  <c r="G182" i="25"/>
  <c r="H182" i="25" s="1"/>
  <c r="I182" i="25" s="1"/>
  <c r="F185" i="25"/>
  <c r="F183" i="24"/>
  <c r="J180" i="24"/>
  <c r="G181" i="24"/>
  <c r="H181" i="24" s="1"/>
  <c r="I181" i="24" s="1"/>
  <c r="F180" i="23"/>
  <c r="J177" i="23"/>
  <c r="G178" i="23"/>
  <c r="H178" i="23" s="1"/>
  <c r="I178" i="23" s="1"/>
  <c r="I128" i="1"/>
  <c r="G129" i="1"/>
  <c r="H129" i="1" s="1"/>
  <c r="F136" i="1"/>
  <c r="G184" i="26" l="1"/>
  <c r="H184" i="26" s="1"/>
  <c r="I184" i="26" s="1"/>
  <c r="J183" i="26"/>
  <c r="F186" i="26"/>
  <c r="F186" i="25"/>
  <c r="J182" i="25"/>
  <c r="G183" i="25"/>
  <c r="H183" i="25" s="1"/>
  <c r="I183" i="25" s="1"/>
  <c r="J181" i="24"/>
  <c r="G182" i="24"/>
  <c r="H182" i="24" s="1"/>
  <c r="I182" i="24" s="1"/>
  <c r="F184" i="24"/>
  <c r="J178" i="23"/>
  <c r="G179" i="23"/>
  <c r="H179" i="23" s="1"/>
  <c r="I179" i="23" s="1"/>
  <c r="F181" i="23"/>
  <c r="I129" i="1"/>
  <c r="G130" i="1"/>
  <c r="H130" i="1" s="1"/>
  <c r="F137" i="1"/>
  <c r="G185" i="26" l="1"/>
  <c r="H185" i="26" s="1"/>
  <c r="I185" i="26" s="1"/>
  <c r="J184" i="26"/>
  <c r="F187" i="26"/>
  <c r="J183" i="25"/>
  <c r="G184" i="25"/>
  <c r="H184" i="25" s="1"/>
  <c r="I184" i="25" s="1"/>
  <c r="F187" i="25"/>
  <c r="F185" i="24"/>
  <c r="J182" i="24"/>
  <c r="G183" i="24"/>
  <c r="H183" i="24" s="1"/>
  <c r="I183" i="24" s="1"/>
  <c r="F182" i="23"/>
  <c r="J179" i="23"/>
  <c r="G180" i="23"/>
  <c r="H180" i="23" s="1"/>
  <c r="I180" i="23" s="1"/>
  <c r="I130" i="1"/>
  <c r="G131" i="1"/>
  <c r="H131" i="1" s="1"/>
  <c r="F138" i="1"/>
  <c r="J185" i="26" l="1"/>
  <c r="G186" i="26"/>
  <c r="H186" i="26" s="1"/>
  <c r="I186" i="26" s="1"/>
  <c r="F188" i="26"/>
  <c r="F188" i="25"/>
  <c r="J184" i="25"/>
  <c r="G185" i="25"/>
  <c r="H185" i="25" s="1"/>
  <c r="I185" i="25" s="1"/>
  <c r="J183" i="24"/>
  <c r="G184" i="24"/>
  <c r="H184" i="24" s="1"/>
  <c r="I184" i="24" s="1"/>
  <c r="F186" i="24"/>
  <c r="J180" i="23"/>
  <c r="G181" i="23"/>
  <c r="H181" i="23" s="1"/>
  <c r="I181" i="23" s="1"/>
  <c r="F183" i="23"/>
  <c r="I131" i="1"/>
  <c r="G132" i="1"/>
  <c r="H132" i="1" s="1"/>
  <c r="F139" i="1"/>
  <c r="J186" i="26" l="1"/>
  <c r="G187" i="26"/>
  <c r="H187" i="26" s="1"/>
  <c r="I187" i="26" s="1"/>
  <c r="F189" i="26"/>
  <c r="J185" i="25"/>
  <c r="G186" i="25"/>
  <c r="H186" i="25" s="1"/>
  <c r="I186" i="25" s="1"/>
  <c r="F189" i="25"/>
  <c r="F187" i="24"/>
  <c r="J184" i="24"/>
  <c r="G185" i="24"/>
  <c r="H185" i="24" s="1"/>
  <c r="I185" i="24" s="1"/>
  <c r="J181" i="23"/>
  <c r="G182" i="23"/>
  <c r="H182" i="23" s="1"/>
  <c r="I182" i="23" s="1"/>
  <c r="F184" i="23"/>
  <c r="I132" i="1"/>
  <c r="G133" i="1"/>
  <c r="H133" i="1" s="1"/>
  <c r="F140" i="1"/>
  <c r="G188" i="26" l="1"/>
  <c r="H188" i="26" s="1"/>
  <c r="I188" i="26" s="1"/>
  <c r="J187" i="26"/>
  <c r="F190" i="26"/>
  <c r="F190" i="25"/>
  <c r="J186" i="25"/>
  <c r="G187" i="25"/>
  <c r="H187" i="25" s="1"/>
  <c r="I187" i="25" s="1"/>
  <c r="J185" i="24"/>
  <c r="G186" i="24"/>
  <c r="H186" i="24" s="1"/>
  <c r="I186" i="24" s="1"/>
  <c r="F188" i="24"/>
  <c r="F185" i="23"/>
  <c r="J182" i="23"/>
  <c r="G183" i="23"/>
  <c r="H183" i="23" s="1"/>
  <c r="I183" i="23" s="1"/>
  <c r="I133" i="1"/>
  <c r="G134" i="1"/>
  <c r="H134" i="1" s="1"/>
  <c r="F141" i="1"/>
  <c r="G189" i="26" l="1"/>
  <c r="H189" i="26" s="1"/>
  <c r="I189" i="26" s="1"/>
  <c r="J188" i="26"/>
  <c r="F191" i="26"/>
  <c r="J187" i="25"/>
  <c r="G188" i="25"/>
  <c r="H188" i="25" s="1"/>
  <c r="I188" i="25" s="1"/>
  <c r="F191" i="25"/>
  <c r="J186" i="24"/>
  <c r="G187" i="24"/>
  <c r="H187" i="24" s="1"/>
  <c r="I187" i="24" s="1"/>
  <c r="F189" i="24"/>
  <c r="J183" i="23"/>
  <c r="G184" i="23"/>
  <c r="H184" i="23" s="1"/>
  <c r="I184" i="23" s="1"/>
  <c r="F186" i="23"/>
  <c r="I134" i="1"/>
  <c r="G135" i="1"/>
  <c r="H135" i="1" s="1"/>
  <c r="F142" i="1"/>
  <c r="J189" i="26" l="1"/>
  <c r="G190" i="26"/>
  <c r="H190" i="26" s="1"/>
  <c r="I190" i="26" s="1"/>
  <c r="F192" i="26"/>
  <c r="F192" i="25"/>
  <c r="J188" i="25"/>
  <c r="G189" i="25"/>
  <c r="H189" i="25" s="1"/>
  <c r="I189" i="25" s="1"/>
  <c r="J187" i="24"/>
  <c r="G188" i="24"/>
  <c r="H188" i="24" s="1"/>
  <c r="I188" i="24" s="1"/>
  <c r="F190" i="24"/>
  <c r="F187" i="23"/>
  <c r="J184" i="23"/>
  <c r="G185" i="23"/>
  <c r="H185" i="23" s="1"/>
  <c r="I185" i="23" s="1"/>
  <c r="I135" i="1"/>
  <c r="G136" i="1"/>
  <c r="H136" i="1" s="1"/>
  <c r="F143" i="1"/>
  <c r="J190" i="26" l="1"/>
  <c r="G191" i="26"/>
  <c r="H191" i="26" s="1"/>
  <c r="I191" i="26" s="1"/>
  <c r="F193" i="26"/>
  <c r="J189" i="25"/>
  <c r="G190" i="25"/>
  <c r="H190" i="25" s="1"/>
  <c r="I190" i="25" s="1"/>
  <c r="F193" i="25"/>
  <c r="F191" i="24"/>
  <c r="J188" i="24"/>
  <c r="G189" i="24"/>
  <c r="H189" i="24" s="1"/>
  <c r="I189" i="24" s="1"/>
  <c r="F188" i="23"/>
  <c r="J185" i="23"/>
  <c r="G186" i="23"/>
  <c r="H186" i="23" s="1"/>
  <c r="I186" i="23" s="1"/>
  <c r="I136" i="1"/>
  <c r="G137" i="1"/>
  <c r="H137" i="1" s="1"/>
  <c r="F144" i="1"/>
  <c r="F194" i="26" l="1"/>
  <c r="G192" i="26"/>
  <c r="H192" i="26" s="1"/>
  <c r="I192" i="26" s="1"/>
  <c r="J191" i="26"/>
  <c r="F194" i="25"/>
  <c r="J190" i="25"/>
  <c r="G191" i="25"/>
  <c r="H191" i="25" s="1"/>
  <c r="I191" i="25" s="1"/>
  <c r="J189" i="24"/>
  <c r="G190" i="24"/>
  <c r="H190" i="24" s="1"/>
  <c r="I190" i="24" s="1"/>
  <c r="F192" i="24"/>
  <c r="J186" i="23"/>
  <c r="G187" i="23"/>
  <c r="H187" i="23" s="1"/>
  <c r="I187" i="23" s="1"/>
  <c r="F189" i="23"/>
  <c r="I137" i="1"/>
  <c r="G138" i="1"/>
  <c r="H138" i="1" s="1"/>
  <c r="F145" i="1"/>
  <c r="F195" i="26" l="1"/>
  <c r="G193" i="26"/>
  <c r="H193" i="26" s="1"/>
  <c r="I193" i="26" s="1"/>
  <c r="J192" i="26"/>
  <c r="J191" i="25"/>
  <c r="G192" i="25"/>
  <c r="H192" i="25" s="1"/>
  <c r="I192" i="25" s="1"/>
  <c r="F195" i="25"/>
  <c r="J190" i="24"/>
  <c r="G191" i="24"/>
  <c r="H191" i="24" s="1"/>
  <c r="I191" i="24" s="1"/>
  <c r="F193" i="24"/>
  <c r="F190" i="23"/>
  <c r="G188" i="23"/>
  <c r="H188" i="23" s="1"/>
  <c r="I188" i="23" s="1"/>
  <c r="J187" i="23"/>
  <c r="I138" i="1"/>
  <c r="G139" i="1"/>
  <c r="H139" i="1" s="1"/>
  <c r="F146" i="1"/>
  <c r="F196" i="26" l="1"/>
  <c r="J193" i="26"/>
  <c r="G194" i="26"/>
  <c r="H194" i="26" s="1"/>
  <c r="I194" i="26" s="1"/>
  <c r="F196" i="25"/>
  <c r="J192" i="25"/>
  <c r="G193" i="25"/>
  <c r="H193" i="25" s="1"/>
  <c r="I193" i="25" s="1"/>
  <c r="F194" i="24"/>
  <c r="J191" i="24"/>
  <c r="G192" i="24"/>
  <c r="H192" i="24" s="1"/>
  <c r="I192" i="24" s="1"/>
  <c r="J188" i="23"/>
  <c r="G189" i="23"/>
  <c r="H189" i="23" s="1"/>
  <c r="I189" i="23" s="1"/>
  <c r="F191" i="23"/>
  <c r="I139" i="1"/>
  <c r="G140" i="1"/>
  <c r="H140" i="1" s="1"/>
  <c r="F147" i="1"/>
  <c r="J194" i="26" l="1"/>
  <c r="G195" i="26"/>
  <c r="H195" i="26" s="1"/>
  <c r="I195" i="26" s="1"/>
  <c r="F197" i="26"/>
  <c r="J193" i="25"/>
  <c r="G194" i="25"/>
  <c r="H194" i="25" s="1"/>
  <c r="I194" i="25" s="1"/>
  <c r="F197" i="25"/>
  <c r="J192" i="24"/>
  <c r="G193" i="24"/>
  <c r="H193" i="24" s="1"/>
  <c r="I193" i="24" s="1"/>
  <c r="F195" i="24"/>
  <c r="F192" i="23"/>
  <c r="J189" i="23"/>
  <c r="G190" i="23"/>
  <c r="H190" i="23" s="1"/>
  <c r="I190" i="23" s="1"/>
  <c r="I140" i="1"/>
  <c r="G141" i="1"/>
  <c r="H141" i="1" s="1"/>
  <c r="F148" i="1"/>
  <c r="G196" i="26" l="1"/>
  <c r="H196" i="26" s="1"/>
  <c r="I196" i="26" s="1"/>
  <c r="J195" i="26"/>
  <c r="F198" i="26"/>
  <c r="F198" i="25"/>
  <c r="J194" i="25"/>
  <c r="G195" i="25"/>
  <c r="H195" i="25" s="1"/>
  <c r="I195" i="25" s="1"/>
  <c r="F196" i="24"/>
  <c r="J193" i="24"/>
  <c r="G194" i="24"/>
  <c r="H194" i="24" s="1"/>
  <c r="I194" i="24" s="1"/>
  <c r="J190" i="23"/>
  <c r="G191" i="23"/>
  <c r="H191" i="23" s="1"/>
  <c r="I191" i="23" s="1"/>
  <c r="F193" i="23"/>
  <c r="I141" i="1"/>
  <c r="G142" i="1"/>
  <c r="H142" i="1" s="1"/>
  <c r="F149" i="1"/>
  <c r="G197" i="26" l="1"/>
  <c r="H197" i="26" s="1"/>
  <c r="I197" i="26" s="1"/>
  <c r="J196" i="26"/>
  <c r="F199" i="26"/>
  <c r="J195" i="25"/>
  <c r="G196" i="25"/>
  <c r="H196" i="25" s="1"/>
  <c r="I196" i="25" s="1"/>
  <c r="F199" i="25"/>
  <c r="J194" i="24"/>
  <c r="G195" i="24"/>
  <c r="H195" i="24" s="1"/>
  <c r="I195" i="24" s="1"/>
  <c r="F197" i="24"/>
  <c r="F194" i="23"/>
  <c r="G192" i="23"/>
  <c r="H192" i="23" s="1"/>
  <c r="I192" i="23" s="1"/>
  <c r="J191" i="23"/>
  <c r="I142" i="1"/>
  <c r="G143" i="1"/>
  <c r="H143" i="1" s="1"/>
  <c r="F150" i="1"/>
  <c r="J197" i="26" l="1"/>
  <c r="G198" i="26"/>
  <c r="H198" i="26" s="1"/>
  <c r="I198" i="26" s="1"/>
  <c r="F200" i="26"/>
  <c r="F200" i="25"/>
  <c r="J196" i="25"/>
  <c r="G197" i="25"/>
  <c r="H197" i="25" s="1"/>
  <c r="I197" i="25" s="1"/>
  <c r="F198" i="24"/>
  <c r="J195" i="24"/>
  <c r="G196" i="24"/>
  <c r="H196" i="24" s="1"/>
  <c r="I196" i="24" s="1"/>
  <c r="J192" i="23"/>
  <c r="G193" i="23"/>
  <c r="H193" i="23" s="1"/>
  <c r="I193" i="23" s="1"/>
  <c r="F195" i="23"/>
  <c r="I143" i="1"/>
  <c r="G144" i="1"/>
  <c r="H144" i="1" s="1"/>
  <c r="F151" i="1"/>
  <c r="J198" i="26" l="1"/>
  <c r="G199" i="26"/>
  <c r="H199" i="26" s="1"/>
  <c r="I199" i="26" s="1"/>
  <c r="F201" i="26"/>
  <c r="J197" i="25"/>
  <c r="G198" i="25"/>
  <c r="H198" i="25" s="1"/>
  <c r="I198" i="25" s="1"/>
  <c r="F201" i="25"/>
  <c r="J196" i="24"/>
  <c r="G197" i="24"/>
  <c r="H197" i="24" s="1"/>
  <c r="I197" i="24" s="1"/>
  <c r="F199" i="24"/>
  <c r="F196" i="23"/>
  <c r="J193" i="23"/>
  <c r="G194" i="23"/>
  <c r="H194" i="23" s="1"/>
  <c r="I194" i="23" s="1"/>
  <c r="I144" i="1"/>
  <c r="G145" i="1"/>
  <c r="H145" i="1" s="1"/>
  <c r="F152" i="1"/>
  <c r="F202" i="26" l="1"/>
  <c r="G200" i="26"/>
  <c r="H200" i="26" s="1"/>
  <c r="I200" i="26" s="1"/>
  <c r="J199" i="26"/>
  <c r="F202" i="25"/>
  <c r="J198" i="25"/>
  <c r="G199" i="25"/>
  <c r="H199" i="25" s="1"/>
  <c r="I199" i="25" s="1"/>
  <c r="F200" i="24"/>
  <c r="J197" i="24"/>
  <c r="G198" i="24"/>
  <c r="H198" i="24" s="1"/>
  <c r="I198" i="24" s="1"/>
  <c r="J194" i="23"/>
  <c r="G195" i="23"/>
  <c r="H195" i="23" s="1"/>
  <c r="I195" i="23" s="1"/>
  <c r="F197" i="23"/>
  <c r="I145" i="1"/>
  <c r="G146" i="1"/>
  <c r="H146" i="1" s="1"/>
  <c r="F153" i="1"/>
  <c r="F203" i="26" l="1"/>
  <c r="G201" i="26"/>
  <c r="H201" i="26" s="1"/>
  <c r="I201" i="26" s="1"/>
  <c r="J200" i="26"/>
  <c r="J199" i="25"/>
  <c r="G200" i="25"/>
  <c r="H200" i="25" s="1"/>
  <c r="I200" i="25" s="1"/>
  <c r="F203" i="25"/>
  <c r="J198" i="24"/>
  <c r="G199" i="24"/>
  <c r="H199" i="24" s="1"/>
  <c r="I199" i="24" s="1"/>
  <c r="F201" i="24"/>
  <c r="J195" i="23"/>
  <c r="G196" i="23"/>
  <c r="H196" i="23" s="1"/>
  <c r="I196" i="23" s="1"/>
  <c r="F198" i="23"/>
  <c r="I146" i="1"/>
  <c r="G147" i="1"/>
  <c r="H147" i="1" s="1"/>
  <c r="F154" i="1"/>
  <c r="J201" i="26" l="1"/>
  <c r="G202" i="26"/>
  <c r="H202" i="26" s="1"/>
  <c r="I202" i="26" s="1"/>
  <c r="F204" i="26"/>
  <c r="F204" i="25"/>
  <c r="J200" i="25"/>
  <c r="G201" i="25"/>
  <c r="H201" i="25" s="1"/>
  <c r="I201" i="25" s="1"/>
  <c r="F202" i="24"/>
  <c r="J199" i="24"/>
  <c r="G200" i="24"/>
  <c r="H200" i="24" s="1"/>
  <c r="I200" i="24" s="1"/>
  <c r="F199" i="23"/>
  <c r="J196" i="23"/>
  <c r="G197" i="23"/>
  <c r="H197" i="23" s="1"/>
  <c r="I197" i="23" s="1"/>
  <c r="I147" i="1"/>
  <c r="G148" i="1"/>
  <c r="H148" i="1" s="1"/>
  <c r="F155" i="1"/>
  <c r="F205" i="26" l="1"/>
  <c r="J202" i="26"/>
  <c r="G203" i="26"/>
  <c r="H203" i="26" s="1"/>
  <c r="I203" i="26" s="1"/>
  <c r="J201" i="25"/>
  <c r="G202" i="25"/>
  <c r="H202" i="25" s="1"/>
  <c r="I202" i="25" s="1"/>
  <c r="F205" i="25"/>
  <c r="F203" i="24"/>
  <c r="J200" i="24"/>
  <c r="G201" i="24"/>
  <c r="H201" i="24" s="1"/>
  <c r="I201" i="24" s="1"/>
  <c r="J197" i="23"/>
  <c r="G198" i="23"/>
  <c r="H198" i="23" s="1"/>
  <c r="I198" i="23" s="1"/>
  <c r="F200" i="23"/>
  <c r="I148" i="1"/>
  <c r="G149" i="1"/>
  <c r="H149" i="1" s="1"/>
  <c r="F156" i="1"/>
  <c r="G204" i="26" l="1"/>
  <c r="H204" i="26" s="1"/>
  <c r="I204" i="26" s="1"/>
  <c r="J203" i="26"/>
  <c r="F206" i="26"/>
  <c r="F206" i="25"/>
  <c r="J202" i="25"/>
  <c r="G203" i="25"/>
  <c r="H203" i="25" s="1"/>
  <c r="I203" i="25" s="1"/>
  <c r="J201" i="24"/>
  <c r="G202" i="24"/>
  <c r="H202" i="24" s="1"/>
  <c r="I202" i="24" s="1"/>
  <c r="F204" i="24"/>
  <c r="J198" i="23"/>
  <c r="G199" i="23"/>
  <c r="H199" i="23" s="1"/>
  <c r="I199" i="23" s="1"/>
  <c r="F201" i="23"/>
  <c r="I149" i="1"/>
  <c r="G150" i="1"/>
  <c r="H150" i="1" s="1"/>
  <c r="F157" i="1"/>
  <c r="F207" i="26" l="1"/>
  <c r="G205" i="26"/>
  <c r="H205" i="26" s="1"/>
  <c r="I205" i="26" s="1"/>
  <c r="J204" i="26"/>
  <c r="J203" i="25"/>
  <c r="G204" i="25"/>
  <c r="H204" i="25" s="1"/>
  <c r="I204" i="25" s="1"/>
  <c r="F207" i="25"/>
  <c r="J202" i="24"/>
  <c r="G203" i="24"/>
  <c r="H203" i="24" s="1"/>
  <c r="I203" i="24" s="1"/>
  <c r="F205" i="24"/>
  <c r="F202" i="23"/>
  <c r="G200" i="23"/>
  <c r="H200" i="23" s="1"/>
  <c r="I200" i="23" s="1"/>
  <c r="J199" i="23"/>
  <c r="I150" i="1"/>
  <c r="G151" i="1"/>
  <c r="H151" i="1" s="1"/>
  <c r="F158" i="1"/>
  <c r="J205" i="26" l="1"/>
  <c r="G206" i="26"/>
  <c r="H206" i="26" s="1"/>
  <c r="I206" i="26" s="1"/>
  <c r="F208" i="26"/>
  <c r="F208" i="25"/>
  <c r="J204" i="25"/>
  <c r="G205" i="25"/>
  <c r="H205" i="25" s="1"/>
  <c r="I205" i="25" s="1"/>
  <c r="F206" i="24"/>
  <c r="J203" i="24"/>
  <c r="G204" i="24"/>
  <c r="H204" i="24" s="1"/>
  <c r="I204" i="24" s="1"/>
  <c r="J200" i="23"/>
  <c r="G201" i="23"/>
  <c r="H201" i="23" s="1"/>
  <c r="I201" i="23" s="1"/>
  <c r="F203" i="23"/>
  <c r="I151" i="1"/>
  <c r="G152" i="1"/>
  <c r="H152" i="1" s="1"/>
  <c r="F159" i="1"/>
  <c r="F209" i="26" l="1"/>
  <c r="J206" i="26"/>
  <c r="G207" i="26"/>
  <c r="H207" i="26" s="1"/>
  <c r="I207" i="26" s="1"/>
  <c r="J205" i="25"/>
  <c r="G206" i="25"/>
  <c r="H206" i="25" s="1"/>
  <c r="I206" i="25" s="1"/>
  <c r="F209" i="25"/>
  <c r="J204" i="24"/>
  <c r="G205" i="24"/>
  <c r="H205" i="24" s="1"/>
  <c r="I205" i="24" s="1"/>
  <c r="F207" i="24"/>
  <c r="F204" i="23"/>
  <c r="J201" i="23"/>
  <c r="G202" i="23"/>
  <c r="H202" i="23" s="1"/>
  <c r="I202" i="23" s="1"/>
  <c r="I152" i="1"/>
  <c r="G153" i="1"/>
  <c r="H153" i="1" s="1"/>
  <c r="F160" i="1"/>
  <c r="G208" i="26" l="1"/>
  <c r="H208" i="26" s="1"/>
  <c r="I208" i="26" s="1"/>
  <c r="J207" i="26"/>
  <c r="F210" i="26"/>
  <c r="F210" i="25"/>
  <c r="J206" i="25"/>
  <c r="G207" i="25"/>
  <c r="H207" i="25" s="1"/>
  <c r="I207" i="25" s="1"/>
  <c r="F208" i="24"/>
  <c r="J205" i="24"/>
  <c r="G206" i="24"/>
  <c r="H206" i="24" s="1"/>
  <c r="I206" i="24" s="1"/>
  <c r="J202" i="23"/>
  <c r="G203" i="23"/>
  <c r="H203" i="23" s="1"/>
  <c r="I203" i="23" s="1"/>
  <c r="F205" i="23"/>
  <c r="I153" i="1"/>
  <c r="G154" i="1"/>
  <c r="H154" i="1" s="1"/>
  <c r="F161" i="1"/>
  <c r="F211" i="26" l="1"/>
  <c r="G209" i="26"/>
  <c r="H209" i="26" s="1"/>
  <c r="I209" i="26" s="1"/>
  <c r="J208" i="26"/>
  <c r="J207" i="25"/>
  <c r="G208" i="25"/>
  <c r="H208" i="25" s="1"/>
  <c r="I208" i="25" s="1"/>
  <c r="F211" i="25"/>
  <c r="J206" i="24"/>
  <c r="G207" i="24"/>
  <c r="H207" i="24" s="1"/>
  <c r="I207" i="24" s="1"/>
  <c r="F209" i="24"/>
  <c r="F206" i="23"/>
  <c r="G204" i="23"/>
  <c r="H204" i="23" s="1"/>
  <c r="I204" i="23" s="1"/>
  <c r="J203" i="23"/>
  <c r="I154" i="1"/>
  <c r="G155" i="1"/>
  <c r="H155" i="1" s="1"/>
  <c r="F162" i="1"/>
  <c r="J209" i="26" l="1"/>
  <c r="G210" i="26"/>
  <c r="H210" i="26" s="1"/>
  <c r="I210" i="26" s="1"/>
  <c r="F212" i="26"/>
  <c r="F212" i="25"/>
  <c r="J208" i="25"/>
  <c r="G209" i="25"/>
  <c r="H209" i="25" s="1"/>
  <c r="I209" i="25" s="1"/>
  <c r="F210" i="24"/>
  <c r="G208" i="24"/>
  <c r="H208" i="24" s="1"/>
  <c r="I208" i="24" s="1"/>
  <c r="J207" i="24"/>
  <c r="J204" i="23"/>
  <c r="G205" i="23"/>
  <c r="H205" i="23" s="1"/>
  <c r="I205" i="23" s="1"/>
  <c r="F207" i="23"/>
  <c r="I155" i="1"/>
  <c r="G156" i="1"/>
  <c r="H156" i="1" s="1"/>
  <c r="F163" i="1"/>
  <c r="F213" i="26" l="1"/>
  <c r="J210" i="26"/>
  <c r="G211" i="26"/>
  <c r="H211" i="26" s="1"/>
  <c r="I211" i="26" s="1"/>
  <c r="J209" i="25"/>
  <c r="G210" i="25"/>
  <c r="H210" i="25" s="1"/>
  <c r="I210" i="25" s="1"/>
  <c r="F213" i="25"/>
  <c r="J208" i="24"/>
  <c r="G209" i="24"/>
  <c r="H209" i="24" s="1"/>
  <c r="I209" i="24" s="1"/>
  <c r="F211" i="24"/>
  <c r="F208" i="23"/>
  <c r="J205" i="23"/>
  <c r="G206" i="23"/>
  <c r="H206" i="23" s="1"/>
  <c r="I206" i="23" s="1"/>
  <c r="I156" i="1"/>
  <c r="G157" i="1"/>
  <c r="H157" i="1" s="1"/>
  <c r="F164" i="1"/>
  <c r="G212" i="26" l="1"/>
  <c r="H212" i="26" s="1"/>
  <c r="I212" i="26" s="1"/>
  <c r="J211" i="26"/>
  <c r="F214" i="26"/>
  <c r="J210" i="25"/>
  <c r="G211" i="25"/>
  <c r="H211" i="25" s="1"/>
  <c r="I211" i="25" s="1"/>
  <c r="F212" i="24"/>
  <c r="J209" i="24"/>
  <c r="G210" i="24"/>
  <c r="H210" i="24" s="1"/>
  <c r="I210" i="24" s="1"/>
  <c r="J206" i="23"/>
  <c r="G207" i="23"/>
  <c r="H207" i="23" s="1"/>
  <c r="I207" i="23" s="1"/>
  <c r="F209" i="23"/>
  <c r="I157" i="1"/>
  <c r="G158" i="1"/>
  <c r="H158" i="1" s="1"/>
  <c r="F165" i="1"/>
  <c r="G213" i="26" l="1"/>
  <c r="H213" i="26" s="1"/>
  <c r="I213" i="26" s="1"/>
  <c r="J212" i="26"/>
  <c r="J211" i="25"/>
  <c r="G212" i="25"/>
  <c r="H212" i="25" s="1"/>
  <c r="I212" i="25" s="1"/>
  <c r="J210" i="24"/>
  <c r="G211" i="24"/>
  <c r="H211" i="24" s="1"/>
  <c r="I211" i="24" s="1"/>
  <c r="F213" i="24"/>
  <c r="F210" i="23"/>
  <c r="G208" i="23"/>
  <c r="H208" i="23" s="1"/>
  <c r="I208" i="23" s="1"/>
  <c r="J207" i="23"/>
  <c r="I158" i="1"/>
  <c r="G159" i="1"/>
  <c r="H159" i="1" s="1"/>
  <c r="F166" i="1"/>
  <c r="J213" i="26" l="1"/>
  <c r="G214" i="26"/>
  <c r="H214" i="26" s="1"/>
  <c r="I214" i="26" s="1"/>
  <c r="J214" i="26" s="1"/>
  <c r="J212" i="25"/>
  <c r="G213" i="25"/>
  <c r="H213" i="25" s="1"/>
  <c r="I213" i="25" s="1"/>
  <c r="J213" i="25" s="1"/>
  <c r="J211" i="24"/>
  <c r="G212" i="24"/>
  <c r="H212" i="24" s="1"/>
  <c r="I212" i="24" s="1"/>
  <c r="J208" i="23"/>
  <c r="G209" i="23"/>
  <c r="H209" i="23" s="1"/>
  <c r="I209" i="23" s="1"/>
  <c r="F211" i="23"/>
  <c r="I159" i="1"/>
  <c r="G160" i="1"/>
  <c r="H160" i="1" s="1"/>
  <c r="F167" i="1"/>
  <c r="J212" i="24" l="1"/>
  <c r="G213" i="24"/>
  <c r="J209" i="23"/>
  <c r="G210" i="23"/>
  <c r="H210" i="23" s="1"/>
  <c r="I210" i="23" s="1"/>
  <c r="F212" i="23"/>
  <c r="I160" i="1"/>
  <c r="G161" i="1"/>
  <c r="H161" i="1" s="1"/>
  <c r="F168" i="1"/>
  <c r="H213" i="24" l="1"/>
  <c r="I213" i="24" s="1"/>
  <c r="G215" i="24"/>
  <c r="F213" i="23"/>
  <c r="J210" i="23"/>
  <c r="G211" i="23"/>
  <c r="H211" i="23" s="1"/>
  <c r="I211" i="23" s="1"/>
  <c r="I161" i="1"/>
  <c r="G162" i="1"/>
  <c r="H162" i="1" s="1"/>
  <c r="F169" i="1"/>
  <c r="J213" i="24" l="1"/>
  <c r="J215" i="24" s="1"/>
  <c r="G217" i="24"/>
  <c r="G212" i="23"/>
  <c r="H212" i="23" s="1"/>
  <c r="I212" i="23" s="1"/>
  <c r="J211" i="23"/>
  <c r="F214" i="23"/>
  <c r="I162" i="1"/>
  <c r="G163" i="1"/>
  <c r="H163" i="1" s="1"/>
  <c r="F170" i="1"/>
  <c r="J217" i="24" l="1"/>
  <c r="J212" i="23"/>
  <c r="G213" i="23"/>
  <c r="H213" i="23" s="1"/>
  <c r="I213" i="23" s="1"/>
  <c r="I163" i="1"/>
  <c r="G164" i="1"/>
  <c r="H164" i="1" s="1"/>
  <c r="F171" i="1"/>
  <c r="J213" i="23" l="1"/>
  <c r="G214" i="23"/>
  <c r="H214" i="23" s="1"/>
  <c r="I214" i="23" s="1"/>
  <c r="I164" i="1"/>
  <c r="G165" i="1"/>
  <c r="H165" i="1" s="1"/>
  <c r="F172" i="1"/>
  <c r="J214" i="23" l="1"/>
  <c r="I165" i="1"/>
  <c r="G166" i="1"/>
  <c r="H166" i="1" s="1"/>
  <c r="F173" i="1"/>
  <c r="I166" i="1" l="1"/>
  <c r="G167" i="1"/>
  <c r="H167" i="1" s="1"/>
  <c r="F174" i="1"/>
  <c r="I167" i="1" l="1"/>
  <c r="G168" i="1"/>
  <c r="H168" i="1" s="1"/>
  <c r="F175" i="1"/>
  <c r="I168" i="1" l="1"/>
  <c r="G169" i="1"/>
  <c r="H169" i="1" s="1"/>
  <c r="F176" i="1"/>
  <c r="I169" i="1" l="1"/>
  <c r="G170" i="1"/>
  <c r="H170" i="1" s="1"/>
  <c r="F177" i="1"/>
  <c r="I170" i="1" l="1"/>
  <c r="G171" i="1"/>
  <c r="H171" i="1" s="1"/>
  <c r="F178" i="1"/>
  <c r="I171" i="1" l="1"/>
  <c r="G172" i="1"/>
  <c r="H172" i="1" s="1"/>
  <c r="F179" i="1"/>
  <c r="I172" i="1" l="1"/>
  <c r="G173" i="1"/>
  <c r="H173" i="1" s="1"/>
  <c r="F180" i="1"/>
  <c r="I173" i="1" l="1"/>
  <c r="G174" i="1"/>
  <c r="H174" i="1" s="1"/>
  <c r="F181" i="1"/>
  <c r="I174" i="1" l="1"/>
  <c r="G175" i="1"/>
  <c r="H175" i="1" s="1"/>
  <c r="F182" i="1"/>
  <c r="I175" i="1" l="1"/>
  <c r="G176" i="1"/>
  <c r="H176" i="1" s="1"/>
  <c r="F183" i="1"/>
  <c r="I176" i="1" l="1"/>
  <c r="G177" i="1"/>
  <c r="H177" i="1" s="1"/>
  <c r="F184" i="1"/>
  <c r="I177" i="1" l="1"/>
  <c r="G178" i="1"/>
  <c r="H178" i="1" s="1"/>
  <c r="F185" i="1"/>
  <c r="I178" i="1" l="1"/>
  <c r="G179" i="1"/>
  <c r="H179" i="1" s="1"/>
  <c r="F186" i="1"/>
  <c r="I179" i="1" l="1"/>
  <c r="G180" i="1"/>
  <c r="H180" i="1" s="1"/>
  <c r="F187" i="1"/>
  <c r="I180" i="1" l="1"/>
  <c r="G181" i="1"/>
  <c r="H181" i="1" s="1"/>
  <c r="F188" i="1"/>
  <c r="I181" i="1" l="1"/>
  <c r="G182" i="1"/>
  <c r="H182" i="1" s="1"/>
  <c r="F189" i="1"/>
  <c r="I182" i="1" l="1"/>
  <c r="G183" i="1"/>
  <c r="H183" i="1" s="1"/>
  <c r="F190" i="1"/>
  <c r="I183" i="1" l="1"/>
  <c r="G184" i="1"/>
  <c r="H184" i="1" s="1"/>
  <c r="F191" i="1"/>
  <c r="I184" i="1" l="1"/>
  <c r="G185" i="1"/>
  <c r="H185" i="1" s="1"/>
  <c r="F192" i="1"/>
  <c r="I185" i="1" l="1"/>
  <c r="G186" i="1"/>
  <c r="H186" i="1" s="1"/>
  <c r="F193" i="1"/>
  <c r="I186" i="1" l="1"/>
  <c r="G187" i="1"/>
  <c r="H187" i="1" s="1"/>
  <c r="F194" i="1"/>
  <c r="I187" i="1" l="1"/>
  <c r="G188" i="1"/>
  <c r="H188" i="1" s="1"/>
  <c r="F195" i="1"/>
  <c r="I188" i="1" l="1"/>
  <c r="G189" i="1"/>
  <c r="H189" i="1" s="1"/>
  <c r="F196" i="1"/>
  <c r="I189" i="1" l="1"/>
  <c r="G190" i="1"/>
  <c r="H190" i="1" s="1"/>
  <c r="F197" i="1"/>
  <c r="I190" i="1" l="1"/>
  <c r="G191" i="1"/>
  <c r="H191" i="1" s="1"/>
  <c r="F198" i="1"/>
  <c r="I191" i="1" l="1"/>
  <c r="G192" i="1"/>
  <c r="H192" i="1" s="1"/>
  <c r="F199" i="1"/>
  <c r="I192" i="1" l="1"/>
  <c r="G193" i="1"/>
  <c r="H193" i="1" s="1"/>
  <c r="F200" i="1"/>
  <c r="I193" i="1" l="1"/>
  <c r="G194" i="1"/>
  <c r="H194" i="1" s="1"/>
  <c r="F201" i="1"/>
  <c r="I194" i="1" l="1"/>
  <c r="G195" i="1"/>
  <c r="H195" i="1" s="1"/>
  <c r="F202" i="1"/>
  <c r="I195" i="1" l="1"/>
  <c r="G196" i="1"/>
  <c r="H196" i="1" s="1"/>
  <c r="F203" i="1"/>
  <c r="I196" i="1" l="1"/>
  <c r="G197" i="1"/>
  <c r="H197" i="1" s="1"/>
  <c r="F204" i="1"/>
  <c r="I197" i="1" l="1"/>
  <c r="G198" i="1"/>
  <c r="H198" i="1" s="1"/>
  <c r="F205" i="1"/>
  <c r="I198" i="1" l="1"/>
  <c r="G199" i="1"/>
  <c r="H199" i="1" s="1"/>
  <c r="F206" i="1"/>
  <c r="I199" i="1" l="1"/>
  <c r="G200" i="1"/>
  <c r="H200" i="1" s="1"/>
  <c r="F207" i="1"/>
  <c r="I200" i="1" l="1"/>
  <c r="G201" i="1"/>
  <c r="H201" i="1" s="1"/>
  <c r="F208" i="1"/>
  <c r="I201" i="1" l="1"/>
  <c r="G202" i="1"/>
  <c r="H202" i="1" s="1"/>
  <c r="F209" i="1"/>
  <c r="I202" i="1" l="1"/>
  <c r="G203" i="1"/>
  <c r="H203" i="1" s="1"/>
  <c r="F210" i="1"/>
  <c r="I203" i="1" l="1"/>
  <c r="G204" i="1"/>
  <c r="H204" i="1" s="1"/>
  <c r="F211" i="1"/>
  <c r="I204" i="1" l="1"/>
  <c r="G205" i="1"/>
  <c r="H205" i="1" s="1"/>
  <c r="F212" i="1"/>
  <c r="I205" i="1" l="1"/>
  <c r="G206" i="1"/>
  <c r="H206" i="1" s="1"/>
  <c r="F213" i="1"/>
  <c r="I206" i="1" l="1"/>
  <c r="G207" i="1"/>
  <c r="H207" i="1" s="1"/>
  <c r="F214" i="1"/>
  <c r="I207" i="1" l="1"/>
  <c r="G208" i="1"/>
  <c r="H208" i="1" s="1"/>
  <c r="F215" i="1"/>
  <c r="I208" i="1" l="1"/>
  <c r="G209" i="1"/>
  <c r="H209" i="1" s="1"/>
  <c r="I209" i="1" l="1"/>
  <c r="G210" i="1"/>
  <c r="H210" i="1" s="1"/>
  <c r="I210" i="1" l="1"/>
  <c r="G211" i="1"/>
  <c r="H211" i="1" s="1"/>
  <c r="I211" i="1" l="1"/>
  <c r="G212" i="1"/>
  <c r="H212" i="1" s="1"/>
  <c r="I212" i="1" l="1"/>
  <c r="G213" i="1"/>
  <c r="H213" i="1" s="1"/>
  <c r="I213" i="1" l="1"/>
  <c r="G214" i="1"/>
  <c r="H214" i="1" s="1"/>
  <c r="I214" i="1" l="1"/>
  <c r="G215" i="1"/>
  <c r="H215" i="1" l="1"/>
  <c r="G217" i="1"/>
  <c r="I215" i="1" l="1"/>
  <c r="I217" i="1" s="1"/>
  <c r="G219" i="1"/>
  <c r="I219" i="1" l="1"/>
</calcChain>
</file>

<file path=xl/sharedStrings.xml><?xml version="1.0" encoding="utf-8"?>
<sst xmlns="http://schemas.openxmlformats.org/spreadsheetml/2006/main" count="994" uniqueCount="223">
  <si>
    <t>Моделирование системы массового обслуживания с простой очередью</t>
  </si>
  <si>
    <t>Интенсивность поступления заявок</t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</si>
  <si>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=</t>
    </r>
  </si>
  <si>
    <t>Интенсивность обслуживания</t>
  </si>
  <si>
    <t>μ=</t>
  </si>
  <si>
    <t>&lt;&lt;== Параметры экспоненциального закона</t>
  </si>
  <si>
    <t>Обозначения: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</si>
  <si>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</si>
  <si>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интервалы времени между поступлением заявок в систему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</si>
  <si>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</si>
  <si>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длительность (потребность) обслуживания поступившей заявки</t>
  </si>
  <si>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</si>
  <si>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t>моменты времени поступления заявки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</si>
  <si>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ож.</t>
    </r>
  </si>
  <si>
    <t>длительность ожидания в очереди</t>
  </si>
  <si>
    <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вых.</t>
    </r>
  </si>
  <si>
    <t>моменты выхода заявок из системы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</si>
  <si>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пребыв.</t>
    </r>
  </si>
  <si>
    <t>длительность пребывания заявки в системе</t>
  </si>
  <si>
    <t>№</t>
  </si>
  <si>
    <r>
      <t>r</t>
    </r>
    <r>
      <rPr>
        <b/>
        <vertAlign val="subscript"/>
        <sz val="14"/>
        <color theme="1"/>
        <rFont val="Symbol"/>
        <family val="1"/>
        <charset val="2"/>
      </rPr>
      <t>l</t>
    </r>
  </si>
  <si>
    <r>
      <t>r</t>
    </r>
    <r>
      <rPr>
        <b/>
        <vertAlign val="subscript"/>
        <sz val="14"/>
        <color theme="1"/>
        <rFont val="Calibri"/>
        <family val="2"/>
        <charset val="204"/>
      </rPr>
      <t>μ</t>
    </r>
  </si>
  <si>
    <r>
      <rPr>
        <b/>
        <sz val="14"/>
        <color rgb="FFFF0000"/>
        <rFont val="Calibri"/>
        <family val="2"/>
        <charset val="204"/>
      </rPr>
      <t>Δ</t>
    </r>
    <r>
      <rPr>
        <b/>
        <sz val="11.9"/>
        <color rgb="FFFF0000"/>
        <rFont val="Times New Roman"/>
        <family val="1"/>
        <charset val="204"/>
      </rPr>
      <t xml:space="preserve">t </t>
    </r>
    <r>
      <rPr>
        <b/>
        <vertAlign val="subscript"/>
        <sz val="11.9"/>
        <color rgb="FFFF0000"/>
        <rFont val="Times New Roman"/>
        <family val="1"/>
        <charset val="204"/>
      </rPr>
      <t>пребыв.</t>
    </r>
  </si>
  <si>
    <t>&lt;&lt;==формулы обратных функций</t>
  </si>
  <si>
    <t>Ср. знач. Инт. Поступ.</t>
  </si>
  <si>
    <t>ср. знач. Врем. Обсл.</t>
  </si>
  <si>
    <t>ср. интенс. Пост.</t>
  </si>
  <si>
    <t>ср. интен. Обсл.</t>
  </si>
  <si>
    <t>Ср. вр. Ож.</t>
  </si>
  <si>
    <t>Длина очереди</t>
  </si>
  <si>
    <t>ср. вр. Преб.</t>
  </si>
  <si>
    <t>среднее кол-во заявок в сит.</t>
  </si>
  <si>
    <r>
      <t xml:space="preserve">Δt </t>
    </r>
    <r>
      <rPr>
        <b/>
        <vertAlign val="subscript"/>
        <sz val="14"/>
        <color rgb="FFFF0000"/>
        <rFont val="Times New Roman"/>
        <family val="1"/>
        <charset val="204"/>
      </rPr>
      <t>пребыв.</t>
    </r>
  </si>
  <si>
    <t>Макс.</t>
  </si>
  <si>
    <t>Мин.</t>
  </si>
  <si>
    <t>Карманы</t>
  </si>
  <si>
    <t>Гистограмма выборки значений времени пребывания</t>
  </si>
  <si>
    <t>Карман</t>
  </si>
  <si>
    <t>Еще</t>
  </si>
  <si>
    <t>Частота</t>
  </si>
  <si>
    <t>Планирование эксперимента и получение уравнения регрессии</t>
  </si>
  <si>
    <r>
      <t>ρ=μ/</t>
    </r>
    <r>
      <rPr>
        <sz val="11"/>
        <color rgb="FF000000"/>
        <rFont val="Symbol"/>
        <family val="1"/>
        <charset val="2"/>
      </rPr>
      <t>l</t>
    </r>
  </si>
  <si>
    <t>μ</t>
  </si>
  <si>
    <t>y1</t>
  </si>
  <si>
    <t>y2</t>
  </si>
  <si>
    <t>y3</t>
  </si>
  <si>
    <t>y4</t>
  </si>
  <si>
    <t>y5</t>
  </si>
  <si>
    <t>yср</t>
  </si>
  <si>
    <t>Y</t>
  </si>
  <si>
    <t>X</t>
  </si>
  <si>
    <t>LNY</t>
  </si>
  <si>
    <t>LNX</t>
  </si>
  <si>
    <t>YL</t>
  </si>
  <si>
    <t>YR</t>
  </si>
  <si>
    <t>A=</t>
  </si>
  <si>
    <t>B=</t>
  </si>
  <si>
    <t>m=</t>
  </si>
  <si>
    <t>LNC=</t>
  </si>
  <si>
    <t>C=</t>
  </si>
  <si>
    <t>ВЫВОД ИТОГОВ</t>
  </si>
  <si>
    <t>Регрессионная статистика</t>
  </si>
  <si>
    <t>Множественный R</t>
  </si>
  <si>
    <t>R-квадрат</t>
  </si>
  <si>
    <t>Нормированный R-квадрат</t>
  </si>
  <si>
    <t>Стандартная ошибка</t>
  </si>
  <si>
    <t>Наблюдения</t>
  </si>
  <si>
    <t>Дисперсионный анализ</t>
  </si>
  <si>
    <t>Регрессия</t>
  </si>
  <si>
    <t>Остаток</t>
  </si>
  <si>
    <t>Итого</t>
  </si>
  <si>
    <t>Y-пересечение</t>
  </si>
  <si>
    <t>df</t>
  </si>
  <si>
    <t>SS</t>
  </si>
  <si>
    <t>MS</t>
  </si>
  <si>
    <t>F</t>
  </si>
  <si>
    <t>Значимость F</t>
  </si>
  <si>
    <t>Коэффициенты</t>
  </si>
  <si>
    <t>t-статистика</t>
  </si>
  <si>
    <t>P-Значение</t>
  </si>
  <si>
    <t>Нижние 95%</t>
  </si>
  <si>
    <t>Верхние 95%</t>
  </si>
  <si>
    <t>Нижние 95,0%</t>
  </si>
  <si>
    <t>Верхние 95,0%</t>
  </si>
  <si>
    <t>Переменная X 1</t>
  </si>
  <si>
    <t>r1</t>
  </si>
  <si>
    <t>r2</t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</si>
  <si>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инт</t>
    </r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</si>
  <si>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обсл</t>
    </r>
  </si>
  <si>
    <r>
      <rPr>
        <sz val="11"/>
        <color theme="1"/>
        <rFont val="Calibri"/>
        <family val="2"/>
        <charset val="204"/>
      </rPr>
      <t>λ</t>
    </r>
    <r>
      <rPr>
        <sz val="11"/>
        <color theme="1"/>
        <rFont val="Calibri"/>
        <family val="2"/>
      </rPr>
      <t>=</t>
    </r>
  </si>
  <si>
    <t>tout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</si>
  <si>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in</t>
    </r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</si>
  <si>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ож</t>
    </r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</si>
  <si>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сис</t>
    </r>
  </si>
  <si>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</si>
  <si>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</rPr>
      <t>=</t>
    </r>
  </si>
  <si>
    <r>
      <t>Δτ</t>
    </r>
    <r>
      <rPr>
        <vertAlign val="subscript"/>
        <sz val="11"/>
        <color theme="1"/>
        <rFont val="Calibri"/>
        <family val="2"/>
        <charset val="204"/>
      </rPr>
      <t>инт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</si>
  <si>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вх</t>
    </r>
  </si>
  <si>
    <r>
      <t>Δτ</t>
    </r>
    <r>
      <rPr>
        <vertAlign val="subscript"/>
        <sz val="11"/>
        <color theme="1"/>
        <rFont val="Calibri"/>
        <family val="2"/>
        <charset val="204"/>
      </rPr>
      <t>ож</t>
    </r>
  </si>
  <si>
    <r>
      <t>Δτ</t>
    </r>
    <r>
      <rPr>
        <vertAlign val="subscript"/>
        <sz val="11"/>
        <color theme="1"/>
        <rFont val="Calibri"/>
        <family val="2"/>
        <charset val="204"/>
      </rPr>
      <t>обсл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</si>
  <si>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вых</t>
    </r>
  </si>
  <si>
    <r>
      <t>Δτ</t>
    </r>
    <r>
      <rPr>
        <vertAlign val="subscript"/>
        <sz val="11"/>
        <color theme="1"/>
        <rFont val="Calibri"/>
        <family val="2"/>
        <charset val="204"/>
      </rPr>
      <t>сист</t>
    </r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</si>
  <si>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очер</t>
    </r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</si>
  <si>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сист</t>
    </r>
  </si>
  <si>
    <t>R1</t>
  </si>
  <si>
    <t>R2</t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</si>
  <si>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пост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</si>
  <si>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вход</t>
    </r>
  </si>
  <si>
    <r>
      <t>Δτ</t>
    </r>
    <r>
      <rPr>
        <vertAlign val="subscript"/>
        <sz val="11"/>
        <color theme="1"/>
        <rFont val="Calibri"/>
        <family val="2"/>
        <charset val="204"/>
        <scheme val="minor"/>
      </rPr>
      <t>ожид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</si>
  <si>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выход</t>
    </r>
  </si>
  <si>
    <t>min</t>
  </si>
  <si>
    <t>max</t>
  </si>
  <si>
    <t>карм</t>
  </si>
  <si>
    <t>Δτсист</t>
  </si>
  <si>
    <t>l</t>
  </si>
  <si>
    <t>m</t>
  </si>
  <si>
    <t>R1, R2</t>
  </si>
  <si>
    <t>- значения генератра псевдослучайных чисел (ГПСЧ: рр{0;1])</t>
  </si>
  <si>
    <t>Спецификация модели простой СМО:</t>
  </si>
  <si>
    <r>
      <t>Δτ</t>
    </r>
    <r>
      <rPr>
        <b/>
        <vertAlign val="subscript"/>
        <sz val="14"/>
        <color theme="1"/>
        <rFont val="Calibri"/>
        <family val="2"/>
        <charset val="204"/>
        <scheme val="minor"/>
      </rPr>
      <t>пост</t>
    </r>
  </si>
  <si>
    <r>
      <t>Δτ</t>
    </r>
    <r>
      <rPr>
        <b/>
        <vertAlign val="subscript"/>
        <sz val="14"/>
        <color theme="1"/>
        <rFont val="Calibri"/>
        <family val="2"/>
        <charset val="204"/>
        <scheme val="minor"/>
      </rPr>
      <t>обсл</t>
    </r>
  </si>
  <si>
    <r>
      <t>Δτ</t>
    </r>
    <r>
      <rPr>
        <b/>
        <vertAlign val="subscript"/>
        <sz val="14"/>
        <color theme="1"/>
        <rFont val="Calibri"/>
        <family val="2"/>
        <charset val="204"/>
        <scheme val="minor"/>
      </rPr>
      <t>ожид</t>
    </r>
  </si>
  <si>
    <r>
      <t>Δτ</t>
    </r>
    <r>
      <rPr>
        <b/>
        <vertAlign val="subscript"/>
        <sz val="14"/>
        <color theme="1"/>
        <rFont val="Calibri"/>
        <family val="2"/>
        <charset val="204"/>
        <scheme val="minor"/>
      </rPr>
      <t>сист</t>
    </r>
  </si>
  <si>
    <r>
      <t>t</t>
    </r>
    <r>
      <rPr>
        <b/>
        <vertAlign val="subscript"/>
        <sz val="14"/>
        <color theme="1"/>
        <rFont val="Calibri"/>
        <family val="2"/>
        <charset val="204"/>
        <scheme val="minor"/>
      </rPr>
      <t>вход</t>
    </r>
  </si>
  <si>
    <r>
      <t>t</t>
    </r>
    <r>
      <rPr>
        <b/>
        <vertAlign val="subscript"/>
        <sz val="14"/>
        <color theme="1"/>
        <rFont val="Calibri"/>
        <family val="2"/>
        <charset val="204"/>
        <scheme val="minor"/>
      </rPr>
      <t>выход</t>
    </r>
  </si>
  <si>
    <t>- значение интервала времени между поступающими в СМО запросами</t>
  </si>
  <si>
    <t>- значение интервала времени на обработку поступающих в СМО запросов</t>
  </si>
  <si>
    <t>- значение интервала времени на ожидание обслуживания входящего в СМО запроса</t>
  </si>
  <si>
    <t>- значение интервала времени пребывания запроса в СМО</t>
  </si>
  <si>
    <t>- значение момента времени поступления запроса в СМО</t>
  </si>
  <si>
    <t>- значение момента времени выхода обработанного запроса из СМО</t>
  </si>
  <si>
    <t>Ф.О.Ф.</t>
  </si>
  <si>
    <r>
      <rPr>
        <b/>
        <sz val="12"/>
        <color theme="1"/>
        <rFont val="Symbol"/>
        <family val="1"/>
        <charset val="2"/>
      </rPr>
      <t>l</t>
    </r>
    <r>
      <rPr>
        <b/>
        <sz val="12"/>
        <color theme="1"/>
        <rFont val="Calibri"/>
        <family val="2"/>
      </rPr>
      <t>=</t>
    </r>
  </si>
  <si>
    <r>
      <rPr>
        <b/>
        <sz val="12"/>
        <color theme="1"/>
        <rFont val="Symbol"/>
        <family val="1"/>
        <charset val="2"/>
      </rPr>
      <t>m</t>
    </r>
    <r>
      <rPr>
        <b/>
        <sz val="12"/>
        <color theme="1"/>
        <rFont val="Calibri"/>
        <family val="2"/>
      </rPr>
      <t>=</t>
    </r>
  </si>
  <si>
    <r>
      <t>с</t>
    </r>
    <r>
      <rPr>
        <b/>
        <vertAlign val="superscript"/>
        <sz val="14"/>
        <color theme="1"/>
        <rFont val="Calibri"/>
        <family val="2"/>
        <charset val="204"/>
        <scheme val="minor"/>
      </rPr>
      <t>-1</t>
    </r>
  </si>
  <si>
    <t>- эквивалентная форма записи случайной обратной функции</t>
  </si>
  <si>
    <t xml:space="preserve"> - интегсивность потка запросов</t>
  </si>
  <si>
    <t>- интенсивность потока обслуживания запросов</t>
  </si>
  <si>
    <t>min=</t>
  </si>
  <si>
    <t>max=</t>
  </si>
  <si>
    <t>ср. знач.</t>
  </si>
  <si>
    <t>Интенсивность перехода из одного состояния в другое в марковских процессах есть величина постоянная:</t>
  </si>
  <si>
    <t>Уравнения Колмогорова для марковского процесса в СМО</t>
  </si>
  <si>
    <t xml:space="preserve"> - интенсивность потка запросов</t>
  </si>
  <si>
    <t>по наблюдениям имеет место корреляция</t>
  </si>
  <si>
    <t>Вывод уравнений Колмогорова для Марковского процесса в простой СМО</t>
  </si>
  <si>
    <t xml:space="preserve">в потоке событий с непрерывным временем вводят понятие плотности распределения условных </t>
  </si>
  <si>
    <r>
      <t>вероятностей перехода между смежными состояниями по интервалу времени [0;</t>
    </r>
    <r>
      <rPr>
        <sz val="11"/>
        <color theme="1"/>
        <rFont val="Calibri"/>
        <family val="2"/>
        <charset val="204"/>
      </rPr>
      <t>∞</t>
    </r>
    <r>
      <rPr>
        <sz val="11"/>
        <color theme="1"/>
        <rFont val="Calibri"/>
        <family val="2"/>
      </rPr>
      <t>)</t>
    </r>
    <r>
      <rPr>
        <sz val="11"/>
        <color theme="1"/>
        <rFont val="Calibri"/>
        <family val="2"/>
        <scheme val="minor"/>
      </rPr>
      <t xml:space="preserve"> </t>
    </r>
  </si>
  <si>
    <t>Для финитного состояния эргодической системы</t>
  </si>
  <si>
    <t>Все уравнения представляют систему обыкновенных линейных дифференциальных уравнений</t>
  </si>
  <si>
    <t xml:space="preserve">Для любого момента времени справедливо равенство: </t>
  </si>
  <si>
    <t>Начальлное распределение состояний системы задаётся вектором:</t>
  </si>
  <si>
    <t xml:space="preserve">При этом условии из системы обыкновеных линейных дифференциальных уравнений Колмогорова  следует система алгебраических уравнений </t>
  </si>
  <si>
    <t>для вероятностей распределения финитных состояний системы:</t>
  </si>
  <si>
    <t>Обозначим отношение интенсивности прямого и обратного переходов:</t>
  </si>
  <si>
    <t>Решение системы алгебраических уравнений ненулевое и единственное существует при условии:</t>
  </si>
  <si>
    <t>Формулы для финитных вероятностей состояний :</t>
  </si>
  <si>
    <t>При условии:</t>
  </si>
  <si>
    <t>Имеет место нулевое решение системы:</t>
  </si>
  <si>
    <t>Конечных единственных решений система не имеет (состояний эргодических нет)</t>
  </si>
  <si>
    <t>ср. знач.=</t>
  </si>
  <si>
    <t>дисп.=</t>
  </si>
  <si>
    <t>ср. откл.=</t>
  </si>
  <si>
    <t>среднее количество заявок в системе (математическое ожидание)</t>
  </si>
  <si>
    <r>
      <t>Kср=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</rPr>
      <t>/(</t>
    </r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</rPr>
      <t>-</t>
    </r>
    <r>
      <rPr>
        <sz val="11"/>
        <color theme="1"/>
        <rFont val="Calibri"/>
        <family val="2"/>
        <charset val="204"/>
      </rPr>
      <t>λ</t>
    </r>
    <r>
      <rPr>
        <sz val="11"/>
        <color theme="1"/>
        <rFont val="Calibri"/>
        <family val="2"/>
      </rPr>
      <t>)=</t>
    </r>
  </si>
  <si>
    <t>Δτ</t>
  </si>
  <si>
    <t>t</t>
  </si>
  <si>
    <t>P</t>
  </si>
  <si>
    <t>t1</t>
  </si>
  <si>
    <t>t2</t>
  </si>
  <si>
    <t>t3</t>
  </si>
  <si>
    <t>r</t>
  </si>
  <si>
    <t>Задача о расщеплении потоков событий в потоке</t>
  </si>
  <si>
    <t>λ</t>
  </si>
  <si>
    <t>N1</t>
  </si>
  <si>
    <t>N2</t>
  </si>
  <si>
    <t>N3</t>
  </si>
  <si>
    <t>N1/N</t>
  </si>
  <si>
    <t>N2/N</t>
  </si>
  <si>
    <t>N3/N</t>
  </si>
  <si>
    <t>F:</t>
  </si>
  <si>
    <t>y</t>
  </si>
  <si>
    <t>x</t>
  </si>
  <si>
    <r>
      <t>F</t>
    </r>
    <r>
      <rPr>
        <vertAlign val="superscript"/>
        <sz val="24"/>
        <color theme="1"/>
        <rFont val="Calibri"/>
        <family val="2"/>
        <charset val="204"/>
        <scheme val="minor"/>
      </rPr>
      <t>-1</t>
    </r>
    <r>
      <rPr>
        <sz val="24"/>
        <color theme="1"/>
        <rFont val="Calibri"/>
        <family val="2"/>
        <scheme val="minor"/>
      </rPr>
      <t>:</t>
    </r>
  </si>
  <si>
    <t>Вывод уравнений Колмогорова для Марковского процесса в простой СМО с ограниченной очередью</t>
  </si>
  <si>
    <t>Схема-граф Марковской модели процесса ("рождения-гибели") в простой СМО с неограниченной очередью и одним каналом обслуживания</t>
  </si>
  <si>
    <t>Схема-граф Марковской модели процесса ("рождения-гибели") в простой СМО с одним каналом обслуживания и ограниченным числом N мест в очереди</t>
  </si>
  <si>
    <t>Схема-граф Марковской модели процесса ("рождения-гибели") в простой СМО с M каналами обслуживания и неограниченной очередью</t>
  </si>
  <si>
    <t>Схема-граф Марковской модели процесса ("рождения-гибели") в простой СМО с M каналами обслуживания и ограниченным числом N&gt;M мест в очереди</t>
  </si>
  <si>
    <r>
      <rPr>
        <b/>
        <sz val="11.9"/>
        <color theme="1"/>
        <rFont val="Times New Roman"/>
        <family val="1"/>
        <charset val="204"/>
      </rPr>
      <t xml:space="preserve">t 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</si>
  <si>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моменты времени поступления заявки на обслуживание</t>
  </si>
  <si>
    <t>λср=</t>
  </si>
  <si>
    <r>
      <rPr>
        <sz val="11"/>
        <color theme="1"/>
        <rFont val="Symbol"/>
        <family val="1"/>
        <charset val="2"/>
      </rPr>
      <t>m</t>
    </r>
    <r>
      <rPr>
        <sz val="11"/>
        <color theme="1"/>
        <rFont val="Calibri"/>
        <family val="2"/>
        <charset val="204"/>
        <scheme val="minor"/>
      </rPr>
      <t>ср</t>
    </r>
    <r>
      <rPr>
        <sz val="11"/>
        <color theme="1"/>
        <rFont val="Symbol"/>
        <family val="1"/>
        <charset val="2"/>
      </rPr>
      <t>=</t>
    </r>
  </si>
  <si>
    <t>nож=</t>
  </si>
  <si>
    <t>nжиз=</t>
  </si>
  <si>
    <t>bbb0-10-20</t>
  </si>
  <si>
    <t>K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</si>
  <si>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>t ср</t>
    </r>
    <r>
      <rPr>
        <b/>
        <vertAlign val="subscript"/>
        <sz val="11.9"/>
        <color theme="1"/>
        <rFont val="Times New Roman"/>
        <family val="1"/>
        <charset val="204"/>
      </rPr>
      <t>пост.</t>
    </r>
  </si>
  <si>
    <r>
      <rPr>
        <b/>
        <sz val="11"/>
        <color theme="1"/>
        <rFont val="Symbol"/>
        <family val="1"/>
        <charset val="2"/>
      </rPr>
      <t>l</t>
    </r>
    <r>
      <rPr>
        <b/>
        <sz val="11"/>
        <color theme="1"/>
        <rFont val="Calibri"/>
        <family val="2"/>
      </rPr>
      <t>ср</t>
    </r>
  </si>
  <si>
    <t>μср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</si>
  <si>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>t ср</t>
    </r>
    <r>
      <rPr>
        <b/>
        <vertAlign val="subscript"/>
        <sz val="11.9"/>
        <color theme="1"/>
        <rFont val="Times New Roman"/>
        <family val="1"/>
        <charset val="204"/>
      </rPr>
      <t>ож.</t>
    </r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</si>
  <si>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>t ср</t>
    </r>
    <r>
      <rPr>
        <b/>
        <vertAlign val="subscript"/>
        <sz val="11.9"/>
        <color theme="1"/>
        <rFont val="Times New Roman"/>
        <family val="1"/>
        <charset val="204"/>
      </rPr>
      <t>преб.</t>
    </r>
  </si>
  <si>
    <t>Nочер</t>
  </si>
  <si>
    <t>Nпреб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</si>
  <si>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>t ср</t>
    </r>
    <r>
      <rPr>
        <b/>
        <vertAlign val="subscript"/>
        <sz val="11.9"/>
        <color theme="1"/>
        <rFont val="Times New Roman"/>
        <family val="1"/>
        <charset val="204"/>
      </rPr>
      <t>обсл.</t>
    </r>
  </si>
  <si>
    <t>Nсист</t>
  </si>
  <si>
    <t>макс=</t>
  </si>
  <si>
    <t>мин=</t>
  </si>
  <si>
    <t>h=</t>
  </si>
  <si>
    <t>K=</t>
  </si>
  <si>
    <t>Шкала карманов</t>
  </si>
  <si>
    <t>K1</t>
  </si>
  <si>
    <t>K2</t>
  </si>
  <si>
    <t xml:space="preserve">t </t>
  </si>
  <si>
    <t>слияние шкал</t>
  </si>
  <si>
    <t>сортировка</t>
  </si>
  <si>
    <t>рекуррентное суммирование по столбцу K</t>
  </si>
  <si>
    <r>
      <rPr>
        <b/>
        <sz val="11.9"/>
        <color theme="1"/>
        <rFont val="Calibri"/>
        <family val="2"/>
        <charset val="204"/>
      </rPr>
      <t>Σ</t>
    </r>
    <r>
      <rPr>
        <b/>
        <sz val="11.9"/>
        <color theme="1"/>
        <rFont val="Times New Roman"/>
        <family val="1"/>
        <charset val="204"/>
      </rPr>
      <t>K</t>
    </r>
  </si>
  <si>
    <t>Моделирование процесса изменения количества заявок в системе</t>
  </si>
  <si>
    <t>ΣK</t>
  </si>
  <si>
    <r>
      <rPr>
        <b/>
        <sz val="11"/>
        <color theme="1"/>
        <rFont val="Calibri"/>
        <family val="2"/>
        <charset val="204"/>
      </rPr>
      <t>λ</t>
    </r>
    <r>
      <rPr>
        <b/>
        <sz val="11"/>
        <color theme="1"/>
        <rFont val="Calibri"/>
        <family val="2"/>
      </rPr>
      <t>=</t>
    </r>
  </si>
  <si>
    <t>μ=ср</t>
  </si>
  <si>
    <r>
      <rPr>
        <b/>
        <sz val="14"/>
        <color theme="1"/>
        <rFont val="Calibri"/>
        <family val="2"/>
        <charset val="204"/>
      </rPr>
      <t>Δ</t>
    </r>
    <r>
      <rPr>
        <b/>
        <sz val="11.9"/>
        <color theme="1"/>
        <rFont val="Times New Roman"/>
        <family val="1"/>
        <charset val="204"/>
      </rPr>
      <t>t ср</t>
    </r>
    <r>
      <rPr>
        <b/>
        <vertAlign val="subscript"/>
        <sz val="11.9"/>
        <color theme="1"/>
        <rFont val="Times New Roman"/>
        <family val="1"/>
        <charset val="204"/>
      </rPr>
      <t>сис.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</si>
</sst>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"/>
    <numFmt numFmtId="166" formatCode="0.00000"/>
  </numFmts>
  <fonts count="5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1"/>
      <color theme="1"/>
      <name val="Symbol"/>
      <family val="1"/>
      <charset val="2"/>
    </font>
    <font>
      <b/>
      <sz val="11"/>
      <color theme="1"/>
      <name val="Calibri"/>
      <family val="2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</font>
    <font>
      <b/>
      <sz val="11.9"/>
      <color theme="1"/>
      <name val="Times New Roman"/>
      <family val="1"/>
      <charset val="204"/>
    </font>
    <font>
      <b/>
      <vertAlign val="subscript"/>
      <sz val="11.9"/>
      <color theme="1"/>
      <name val="Times New Roman"/>
      <family val="1"/>
      <charset val="204"/>
    </font>
    <font>
      <b/>
      <vertAlign val="subscript"/>
      <sz val="14"/>
      <color theme="1"/>
      <name val="Symbol"/>
      <family val="1"/>
      <charset val="2"/>
    </font>
    <font>
      <b/>
      <vertAlign val="subscript"/>
      <sz val="14"/>
      <color theme="1"/>
      <name val="Calibri"/>
      <family val="2"/>
      <charset val="204"/>
    </font>
    <font>
      <b/>
      <sz val="14"/>
      <color rgb="FFFF0000"/>
      <name val="Times New Roman"/>
      <family val="1"/>
      <charset val="204"/>
    </font>
    <font>
      <b/>
      <sz val="14"/>
      <color rgb="FFFF0000"/>
      <name val="Calibri"/>
      <family val="2"/>
      <charset val="204"/>
    </font>
    <font>
      <b/>
      <sz val="11.9"/>
      <color rgb="FFFF0000"/>
      <name val="Times New Roman"/>
      <family val="1"/>
      <charset val="204"/>
    </font>
    <font>
      <b/>
      <vertAlign val="subscript"/>
      <sz val="11.9"/>
      <color rgb="FFFF0000"/>
      <name val="Times New Roman"/>
      <family val="1"/>
      <charset val="204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charset val="204"/>
      <scheme val="minor"/>
    </font>
    <font>
      <b/>
      <vertAlign val="subscript"/>
      <sz val="14"/>
      <color rgb="FFFF0000"/>
      <name val="Times New Roman"/>
      <family val="1"/>
      <charset val="204"/>
    </font>
    <font>
      <i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4"/>
      <color rgb="FF000000"/>
      <name val="Calibri"/>
      <family val="2"/>
      <charset val="204"/>
    </font>
    <font>
      <sz val="11"/>
      <color rgb="FF000000"/>
      <name val="Calibri"/>
      <family val="2"/>
      <charset val="204"/>
    </font>
    <font>
      <sz val="11"/>
      <color rgb="FF000000"/>
      <name val="Symbol"/>
      <family val="1"/>
      <charset val="2"/>
    </font>
    <font>
      <b/>
      <i/>
      <sz val="11"/>
      <color rgb="FFFF0000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sz val="11"/>
      <color theme="1"/>
      <name val="Symbol"/>
      <family val="1"/>
      <charset val="2"/>
    </font>
    <font>
      <vertAlign val="subscript"/>
      <sz val="11"/>
      <color theme="1"/>
      <name val="Calibri"/>
      <family val="2"/>
      <charset val="204"/>
    </font>
    <font>
      <b/>
      <sz val="12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b/>
      <sz val="14"/>
      <color theme="1"/>
      <name val="Symbol"/>
      <family val="1"/>
      <charset val="2"/>
    </font>
    <font>
      <b/>
      <sz val="14"/>
      <color theme="1"/>
      <name val="Calibri"/>
      <family val="2"/>
      <scheme val="minor"/>
    </font>
    <font>
      <b/>
      <vertAlign val="subscript"/>
      <sz val="14"/>
      <color theme="1"/>
      <name val="Calibri"/>
      <family val="2"/>
      <charset val="204"/>
      <scheme val="minor"/>
    </font>
    <font>
      <b/>
      <sz val="16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Symbol"/>
      <family val="1"/>
      <charset val="2"/>
    </font>
    <font>
      <b/>
      <sz val="12"/>
      <color theme="1"/>
      <name val="Calibri"/>
      <family val="2"/>
    </font>
    <font>
      <b/>
      <vertAlign val="superscript"/>
      <sz val="14"/>
      <color theme="1"/>
      <name val="Calibri"/>
      <family val="2"/>
      <charset val="204"/>
      <scheme val="minor"/>
    </font>
    <font>
      <b/>
      <sz val="16"/>
      <color rgb="FF000000"/>
      <name val="Cambria Math"/>
      <family val="1"/>
      <charset val="204"/>
    </font>
    <font>
      <b/>
      <sz val="16"/>
      <color theme="1"/>
      <name val="Times New Roman"/>
      <family val="1"/>
      <charset val="204"/>
    </font>
    <font>
      <sz val="24"/>
      <color theme="1"/>
      <name val="Calibri"/>
      <family val="2"/>
      <scheme val="minor"/>
    </font>
    <font>
      <vertAlign val="superscript"/>
      <sz val="24"/>
      <color theme="1"/>
      <name val="Calibri"/>
      <family val="2"/>
      <charset val="204"/>
      <scheme val="minor"/>
    </font>
    <font>
      <sz val="11"/>
      <color rgb="FFFF0000"/>
      <name val="Calibri"/>
      <family val="2"/>
      <scheme val="minor"/>
    </font>
    <font>
      <b/>
      <sz val="11.9"/>
      <color theme="1"/>
      <name val="Calibri"/>
      <family val="2"/>
      <charset val="204"/>
    </font>
    <font>
      <b/>
      <sz val="26"/>
      <color theme="1"/>
      <name val="Calibri"/>
      <family val="2"/>
      <charset val="204"/>
      <scheme val="minor"/>
    </font>
    <font>
      <sz val="14"/>
      <color theme="1"/>
      <name val="Times New Roman"/>
      <family val="1"/>
      <charset val="204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3">
    <xf numFmtId="0" fontId="0" fillId="0" borderId="0" xfId="0"/>
    <xf numFmtId="0" fontId="3" fillId="0" borderId="0" xfId="0" applyFont="1"/>
    <xf numFmtId="0" fontId="4" fillId="0" borderId="1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8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4" fillId="2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 wrapText="1"/>
    </xf>
    <xf numFmtId="0" fontId="8" fillId="0" borderId="0" xfId="0" applyFont="1"/>
    <xf numFmtId="0" fontId="0" fillId="0" borderId="0" xfId="0" applyFill="1" applyBorder="1" applyAlignment="1"/>
    <xf numFmtId="0" fontId="0" fillId="0" borderId="2" xfId="0" applyFill="1" applyBorder="1" applyAlignment="1"/>
    <xf numFmtId="0" fontId="21" fillId="0" borderId="3" xfId="0" applyFont="1" applyFill="1" applyBorder="1" applyAlignment="1">
      <alignment horizontal="center"/>
    </xf>
    <xf numFmtId="0" fontId="22" fillId="0" borderId="0" xfId="0" applyFont="1" applyFill="1" applyBorder="1"/>
    <xf numFmtId="0" fontId="23" fillId="0" borderId="0" xfId="0" applyFont="1" applyFill="1" applyBorder="1"/>
    <xf numFmtId="0" fontId="24" fillId="0" borderId="1" xfId="0" applyFont="1" applyFill="1" applyBorder="1" applyAlignment="1">
      <alignment horizontal="center" vertical="center" wrapText="1"/>
    </xf>
    <xf numFmtId="0" fontId="22" fillId="0" borderId="1" xfId="0" applyFont="1" applyFill="1" applyBorder="1" applyAlignment="1">
      <alignment horizontal="center" vertical="center" wrapText="1"/>
    </xf>
    <xf numFmtId="0" fontId="22" fillId="4" borderId="1" xfId="0" applyFont="1" applyFill="1" applyBorder="1" applyAlignment="1">
      <alignment horizontal="center" vertical="center" wrapText="1"/>
    </xf>
    <xf numFmtId="0" fontId="26" fillId="0" borderId="1" xfId="0" applyFont="1" applyFill="1" applyBorder="1" applyAlignment="1">
      <alignment horizontal="center" vertical="center" wrapText="1"/>
    </xf>
    <xf numFmtId="0" fontId="21" fillId="0" borderId="3" xfId="0" applyFont="1" applyFill="1" applyBorder="1" applyAlignment="1">
      <alignment horizontal="centerContinuous"/>
    </xf>
    <xf numFmtId="0" fontId="19" fillId="2" borderId="1" xfId="0" applyFont="1" applyFill="1" applyBorder="1" applyAlignment="1">
      <alignment horizontal="center" vertical="center"/>
    </xf>
    <xf numFmtId="0" fontId="27" fillId="4" borderId="1" xfId="0" applyFont="1" applyFill="1" applyBorder="1" applyAlignment="1">
      <alignment horizontal="center" vertical="center"/>
    </xf>
    <xf numFmtId="0" fontId="19" fillId="2" borderId="1" xfId="0" applyFont="1" applyFill="1" applyBorder="1" applyAlignment="1"/>
    <xf numFmtId="0" fontId="22" fillId="5" borderId="1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28" fillId="0" borderId="1" xfId="0" applyFont="1" applyBorder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22" fillId="0" borderId="1" xfId="0" applyFont="1" applyBorder="1" applyAlignment="1">
      <alignment horizontal="right" vertical="center"/>
    </xf>
    <xf numFmtId="0" fontId="28" fillId="0" borderId="1" xfId="0" applyFont="1" applyBorder="1" applyAlignment="1">
      <alignment horizontal="center" vertical="center" wrapText="1"/>
    </xf>
    <xf numFmtId="165" fontId="0" fillId="0" borderId="1" xfId="0" applyNumberFormat="1" applyBorder="1" applyAlignment="1">
      <alignment horizontal="left" vertical="center"/>
    </xf>
    <xf numFmtId="165" fontId="0" fillId="0" borderId="1" xfId="0" applyNumberForma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1" fillId="0" borderId="1" xfId="0" applyFon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7" fillId="4" borderId="1" xfId="0" applyFont="1" applyFill="1" applyBorder="1" applyAlignment="1">
      <alignment horizontal="center" vertical="center" wrapText="1"/>
    </xf>
    <xf numFmtId="49" fontId="0" fillId="0" borderId="0" xfId="0" applyNumberFormat="1"/>
    <xf numFmtId="0" fontId="34" fillId="0" borderId="1" xfId="0" applyFont="1" applyBorder="1" applyAlignment="1">
      <alignment horizontal="center" vertical="center"/>
    </xf>
    <xf numFmtId="0" fontId="35" fillId="0" borderId="1" xfId="0" applyFont="1" applyBorder="1" applyAlignment="1">
      <alignment horizontal="center" vertical="center"/>
    </xf>
    <xf numFmtId="0" fontId="0" fillId="0" borderId="1" xfId="0" applyBorder="1"/>
    <xf numFmtId="0" fontId="37" fillId="0" borderId="0" xfId="0" applyFont="1" applyAlignment="1">
      <alignment horizontal="center" vertical="center"/>
    </xf>
    <xf numFmtId="0" fontId="38" fillId="0" borderId="1" xfId="0" applyFont="1" applyBorder="1" applyAlignment="1">
      <alignment horizontal="center" vertical="center"/>
    </xf>
    <xf numFmtId="0" fontId="40" fillId="0" borderId="1" xfId="0" applyFont="1" applyBorder="1" applyAlignment="1">
      <alignment horizontal="center" vertical="center"/>
    </xf>
    <xf numFmtId="165" fontId="32" fillId="0" borderId="1" xfId="0" applyNumberFormat="1" applyFont="1" applyBorder="1" applyAlignment="1">
      <alignment horizontal="center" vertical="center"/>
    </xf>
    <xf numFmtId="0" fontId="35" fillId="0" borderId="1" xfId="0" applyFont="1" applyFill="1" applyBorder="1" applyAlignment="1">
      <alignment horizontal="center" vertical="center"/>
    </xf>
    <xf numFmtId="165" fontId="0" fillId="0" borderId="1" xfId="0" applyNumberFormat="1" applyFill="1" applyBorder="1" applyAlignment="1">
      <alignment horizontal="center" vertical="center"/>
    </xf>
    <xf numFmtId="165" fontId="0" fillId="2" borderId="1" xfId="0" applyNumberFormat="1" applyFill="1" applyBorder="1" applyAlignment="1">
      <alignment horizontal="center" vertical="center"/>
    </xf>
    <xf numFmtId="165" fontId="19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right"/>
    </xf>
    <xf numFmtId="0" fontId="3" fillId="0" borderId="1" xfId="0" applyFont="1" applyBorder="1" applyAlignment="1">
      <alignment horizontal="center" vertical="center"/>
    </xf>
    <xf numFmtId="165" fontId="0" fillId="0" borderId="1" xfId="0" applyNumberForma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32" fillId="0" borderId="1" xfId="0" applyFont="1" applyBorder="1" applyAlignment="1">
      <alignment horizontal="center" vertical="center"/>
    </xf>
    <xf numFmtId="0" fontId="39" fillId="0" borderId="1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2" fillId="0" borderId="0" xfId="0" applyFont="1"/>
    <xf numFmtId="0" fontId="19" fillId="2" borderId="1" xfId="0" applyFont="1" applyFill="1" applyBorder="1" applyAlignment="1">
      <alignment horizontal="right"/>
    </xf>
    <xf numFmtId="165" fontId="0" fillId="6" borderId="1" xfId="0" applyNumberFormat="1" applyFill="1" applyBorder="1" applyAlignment="1">
      <alignment horizontal="center" vertical="center"/>
    </xf>
    <xf numFmtId="165" fontId="0" fillId="7" borderId="1" xfId="0" applyNumberFormat="1" applyFill="1" applyBorder="1" applyAlignment="1">
      <alignment horizontal="center" vertical="center"/>
    </xf>
    <xf numFmtId="0" fontId="43" fillId="0" borderId="0" xfId="0" applyFont="1"/>
    <xf numFmtId="0" fontId="28" fillId="0" borderId="1" xfId="0" applyFont="1" applyBorder="1" applyAlignment="1">
      <alignment horizontal="center" vertical="center"/>
    </xf>
    <xf numFmtId="0" fontId="44" fillId="0" borderId="0" xfId="0" applyFont="1" applyAlignment="1">
      <alignment horizontal="center" vertical="center"/>
    </xf>
    <xf numFmtId="165" fontId="22" fillId="0" borderId="1" xfId="0" applyNumberFormat="1" applyFont="1" applyFill="1" applyBorder="1" applyAlignment="1">
      <alignment horizontal="center" vertical="center" wrapText="1"/>
    </xf>
    <xf numFmtId="165" fontId="22" fillId="4" borderId="1" xfId="0" applyNumberFormat="1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left" vertical="center"/>
    </xf>
    <xf numFmtId="166" fontId="0" fillId="0" borderId="1" xfId="0" applyNumberFormat="1" applyBorder="1" applyAlignment="1">
      <alignment horizontal="center" vertical="center"/>
    </xf>
    <xf numFmtId="166" fontId="0" fillId="2" borderId="1" xfId="0" applyNumberFormat="1" applyFill="1" applyBorder="1" applyAlignment="1">
      <alignment horizontal="center" vertical="center"/>
    </xf>
    <xf numFmtId="166" fontId="0" fillId="7" borderId="1" xfId="0" applyNumberFormat="1" applyFill="1" applyBorder="1" applyAlignment="1">
      <alignment horizontal="center" vertical="center"/>
    </xf>
    <xf numFmtId="166" fontId="46" fillId="0" borderId="1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164" fontId="0" fillId="0" borderId="0" xfId="0" applyNumberFormat="1"/>
    <xf numFmtId="164" fontId="0" fillId="0" borderId="4" xfId="0" applyNumberFormat="1" applyBorder="1" applyAlignment="1">
      <alignment horizontal="center" vertical="center"/>
    </xf>
    <xf numFmtId="164" fontId="0" fillId="2" borderId="4" xfId="0" applyNumberFormat="1" applyFill="1" applyBorder="1" applyAlignment="1">
      <alignment horizontal="center" vertical="center"/>
    </xf>
    <xf numFmtId="166" fontId="0" fillId="0" borderId="1" xfId="0" applyNumberFormat="1" applyFill="1" applyBorder="1" applyAlignment="1">
      <alignment horizontal="center" vertical="center"/>
    </xf>
    <xf numFmtId="0" fontId="48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/>
    </xf>
    <xf numFmtId="0" fontId="4" fillId="8" borderId="1" xfId="0" applyFont="1" applyFill="1" applyBorder="1" applyAlignment="1">
      <alignment horizontal="center" vertical="center" wrapText="1"/>
    </xf>
    <xf numFmtId="0" fontId="49" fillId="0" borderId="1" xfId="0" applyFont="1" applyBorder="1" applyAlignment="1">
      <alignment horizontal="center" vertical="center"/>
    </xf>
    <xf numFmtId="49" fontId="33" fillId="0" borderId="1" xfId="0" applyNumberFormat="1" applyFont="1" applyBorder="1"/>
    <xf numFmtId="49" fontId="33" fillId="0" borderId="1" xfId="0" applyNumberFormat="1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49" fontId="33" fillId="0" borderId="4" xfId="0" applyNumberFormat="1" applyFont="1" applyBorder="1"/>
    <xf numFmtId="49" fontId="33" fillId="0" borderId="5" xfId="0" applyNumberFormat="1" applyFont="1" applyBorder="1"/>
    <xf numFmtId="49" fontId="33" fillId="0" borderId="6" xfId="0" applyNumberFormat="1" applyFont="1" applyBorder="1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Диаграмма событий</a:t>
            </a:r>
          </a:p>
        </c:rich>
      </c:tx>
      <c:layout/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ysClr val="window" lastClr="FFFFFF"/>
            </a:solidFill>
          </c:spPr>
          <c:invertIfNegative val="0"/>
          <c:val>
            <c:numRef>
              <c:f>Лист1!$F$16:$F$35</c:f>
              <c:numCache>
                <c:formatCode>General</c:formatCode>
                <c:ptCount val="20"/>
                <c:pt idx="0">
                  <c:v>3.6994131223782394</c:v>
                </c:pt>
                <c:pt idx="1">
                  <c:v>16.112289421262201</c:v>
                </c:pt>
                <c:pt idx="2">
                  <c:v>33.241567586175222</c:v>
                </c:pt>
                <c:pt idx="3">
                  <c:v>52.458283977770591</c:v>
                </c:pt>
                <c:pt idx="4">
                  <c:v>57.415583068645375</c:v>
                </c:pt>
                <c:pt idx="5">
                  <c:v>74.953820738628323</c:v>
                </c:pt>
                <c:pt idx="6">
                  <c:v>86.00843618862578</c:v>
                </c:pt>
                <c:pt idx="7">
                  <c:v>182.91067108469531</c:v>
                </c:pt>
                <c:pt idx="8">
                  <c:v>186.87144968689688</c:v>
                </c:pt>
                <c:pt idx="9">
                  <c:v>255.11921365709318</c:v>
                </c:pt>
                <c:pt idx="10">
                  <c:v>264.91922668482169</c:v>
                </c:pt>
                <c:pt idx="11">
                  <c:v>273.43306160261324</c:v>
                </c:pt>
                <c:pt idx="12">
                  <c:v>334.02498657637159</c:v>
                </c:pt>
                <c:pt idx="13">
                  <c:v>425.5681776715241</c:v>
                </c:pt>
                <c:pt idx="14">
                  <c:v>454.3106809185897</c:v>
                </c:pt>
                <c:pt idx="15">
                  <c:v>462.90247282140547</c:v>
                </c:pt>
                <c:pt idx="16">
                  <c:v>551.70045881096485</c:v>
                </c:pt>
                <c:pt idx="17">
                  <c:v>553.50820965861226</c:v>
                </c:pt>
                <c:pt idx="18">
                  <c:v>619.86983594034973</c:v>
                </c:pt>
                <c:pt idx="19">
                  <c:v>680.88719517759603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3CE-48FD-85B7-057435BCFC67}"/>
            </c:ext>
          </c:extLst>
        </c:ser>
        <c:ser>
          <c:idx val="1"/>
          <c:order val="1"/>
          <c:invertIfNegative val="0"/>
          <c:val>
            <c:numRef>
              <c:f>Лист1!$I$16:$I$35</c:f>
              <c:numCache>
                <c:formatCode>General</c:formatCode>
                <c:ptCount val="20"/>
                <c:pt idx="0">
                  <c:v>8.2178845170356141</c:v>
                </c:pt>
                <c:pt idx="1">
                  <c:v>30.924845534947384</c:v>
                </c:pt>
                <c:pt idx="2">
                  <c:v>16.409541022329812</c:v>
                </c:pt>
                <c:pt idx="3">
                  <c:v>0.21054321896480843</c:v>
                </c:pt>
                <c:pt idx="4">
                  <c:v>19.820279961637667</c:v>
                </c:pt>
                <c:pt idx="5">
                  <c:v>7.8983314775271083</c:v>
                </c:pt>
                <c:pt idx="6">
                  <c:v>16.680192661325577</c:v>
                </c:pt>
                <c:pt idx="7">
                  <c:v>7.951396967712185</c:v>
                </c:pt>
                <c:pt idx="8">
                  <c:v>60.309664278726046</c:v>
                </c:pt>
                <c:pt idx="9">
                  <c:v>4.8207073450936093</c:v>
                </c:pt>
                <c:pt idx="10">
                  <c:v>55.945647166028266</c:v>
                </c:pt>
                <c:pt idx="11">
                  <c:v>53.70427446532284</c:v>
                </c:pt>
                <c:pt idx="12">
                  <c:v>6.2754764815421709</c:v>
                </c:pt>
                <c:pt idx="13">
                  <c:v>1.0745688054167317</c:v>
                </c:pt>
                <c:pt idx="14">
                  <c:v>6.3422808904259114</c:v>
                </c:pt>
                <c:pt idx="15">
                  <c:v>8.4968569401603986</c:v>
                </c:pt>
                <c:pt idx="16">
                  <c:v>89.695599885685738</c:v>
                </c:pt>
                <c:pt idx="17">
                  <c:v>89.979671691252747</c:v>
                </c:pt>
                <c:pt idx="18">
                  <c:v>51.352030574724722</c:v>
                </c:pt>
                <c:pt idx="19">
                  <c:v>43.162033027455323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3CE-48FD-85B7-057435BCF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03310976"/>
        <c:axId val="203329920"/>
      </c:barChart>
      <c:catAx>
        <c:axId val="203310976"/>
        <c:scaling>
          <c:orientation val="minMax"/>
        </c:scaling>
        <c:delete val="0"/>
        <c:axPos val="l"/>
        <c:majorGridlines/>
        <c:title>
          <c:layout/>
          <c:overlay val="0"/>
          <c:txPr>
            <a:bodyPr rot="-5400000" vert="horz"/>
            <a:lstStyle/>
            <a:p>
              <a:pPr>
                <a:defRPr/>
              </a:pPr>
              <a:endParaRPr lang="ru-RU"/>
            </a:p>
          </c:txPr>
        </c:title>
        <c:majorTickMark val="out"/>
        <c:minorTickMark val="none"/>
        <c:tickLblPos val="nextTo"/>
        <c:crossAx val="203329920"/>
        <c:crosses val="autoZero"/>
        <c:auto val="1"/>
        <c:lblAlgn val="ctr"/>
        <c:lblOffset val="100"/>
        <c:noMultiLvlLbl val="0"/>
      </c:catAx>
      <c:valAx>
        <c:axId val="203329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Время, сек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0331097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Лист2!$F$7:$F$35</c:f>
              <c:strCache>
                <c:ptCount val="29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110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</c:v>
                </c:pt>
                <c:pt idx="16">
                  <c:v>160</c:v>
                </c:pt>
                <c:pt idx="17">
                  <c:v>170</c:v>
                </c:pt>
                <c:pt idx="18">
                  <c:v>180</c:v>
                </c:pt>
                <c:pt idx="19">
                  <c:v>190</c:v>
                </c:pt>
                <c:pt idx="20">
                  <c:v>200</c:v>
                </c:pt>
                <c:pt idx="21">
                  <c:v>210</c:v>
                </c:pt>
                <c:pt idx="22">
                  <c:v>220</c:v>
                </c:pt>
                <c:pt idx="23">
                  <c:v>230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Еще</c:v>
                </c:pt>
              </c:strCache>
            </c:strRef>
          </c:cat>
          <c:val>
            <c:numRef>
              <c:f>Лист2!$G$7:$G$35</c:f>
              <c:numCache>
                <c:formatCode>General</c:formatCode>
                <c:ptCount val="29"/>
                <c:pt idx="0">
                  <c:v>0</c:v>
                </c:pt>
                <c:pt idx="1">
                  <c:v>23</c:v>
                </c:pt>
                <c:pt idx="2">
                  <c:v>25</c:v>
                </c:pt>
                <c:pt idx="3">
                  <c:v>16</c:v>
                </c:pt>
                <c:pt idx="4">
                  <c:v>19</c:v>
                </c:pt>
                <c:pt idx="5">
                  <c:v>23</c:v>
                </c:pt>
                <c:pt idx="6">
                  <c:v>19</c:v>
                </c:pt>
                <c:pt idx="7">
                  <c:v>21</c:v>
                </c:pt>
                <c:pt idx="8">
                  <c:v>15</c:v>
                </c:pt>
                <c:pt idx="9">
                  <c:v>12</c:v>
                </c:pt>
                <c:pt idx="10">
                  <c:v>4</c:v>
                </c:pt>
                <c:pt idx="11">
                  <c:v>6</c:v>
                </c:pt>
                <c:pt idx="12">
                  <c:v>2</c:v>
                </c:pt>
                <c:pt idx="13">
                  <c:v>4</c:v>
                </c:pt>
                <c:pt idx="14">
                  <c:v>2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28-47E0-B9D5-4152ADBC0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5385984"/>
        <c:axId val="215392256"/>
      </c:barChart>
      <c:catAx>
        <c:axId val="2153859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15392256"/>
        <c:crosses val="autoZero"/>
        <c:auto val="1"/>
        <c:lblAlgn val="ctr"/>
        <c:lblOffset val="100"/>
        <c:noMultiLvlLbl val="0"/>
      </c:catAx>
      <c:valAx>
        <c:axId val="21539225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53859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точки</c:v>
          </c:tx>
          <c:spPr>
            <a:ln w="28575">
              <a:noFill/>
            </a:ln>
          </c:spPr>
          <c:xVal>
            <c:numRef>
              <c:f>Лист3!$B$13:$B$19</c:f>
              <c:numCache>
                <c:formatCode>General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xVal>
          <c:yVal>
            <c:numRef>
              <c:f>Лист3!$A$13:$A$19</c:f>
              <c:numCache>
                <c:formatCode>General</c:formatCode>
                <c:ptCount val="7"/>
                <c:pt idx="0">
                  <c:v>1286.8164326470749</c:v>
                </c:pt>
                <c:pt idx="1">
                  <c:v>924.05772051920087</c:v>
                </c:pt>
                <c:pt idx="2">
                  <c:v>514.83905042695937</c:v>
                </c:pt>
                <c:pt idx="3">
                  <c:v>334.22787727853154</c:v>
                </c:pt>
                <c:pt idx="4">
                  <c:v>212.70598109917688</c:v>
                </c:pt>
                <c:pt idx="5">
                  <c:v>95.162267605509484</c:v>
                </c:pt>
                <c:pt idx="6">
                  <c:v>62.817605012449562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73C-4C83-A3A5-26D14431D734}"/>
            </c:ext>
          </c:extLst>
        </c:ser>
        <c:ser>
          <c:idx val="1"/>
          <c:order val="1"/>
          <c:tx>
            <c:v>лин</c:v>
          </c:tx>
          <c:marker>
            <c:symbol val="none"/>
          </c:marker>
          <c:xVal>
            <c:numRef>
              <c:f>Лист3!$B$13:$B$19</c:f>
              <c:numCache>
                <c:formatCode>General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xVal>
          <c:yVal>
            <c:numRef>
              <c:f>Лист3!$E$13:$E$19</c:f>
              <c:numCache>
                <c:formatCode>General</c:formatCode>
                <c:ptCount val="7"/>
                <c:pt idx="0">
                  <c:v>1093.5096111618836</c:v>
                </c:pt>
                <c:pt idx="1">
                  <c:v>892.36959480263204</c:v>
                </c:pt>
                <c:pt idx="2">
                  <c:v>691.22957844338043</c:v>
                </c:pt>
                <c:pt idx="3">
                  <c:v>490.08956208412906</c:v>
                </c:pt>
                <c:pt idx="4">
                  <c:v>288.94954572487768</c:v>
                </c:pt>
                <c:pt idx="5">
                  <c:v>87.809529365626076</c:v>
                </c:pt>
                <c:pt idx="6">
                  <c:v>-113.33048699362553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73C-4C83-A3A5-26D14431D734}"/>
            </c:ext>
          </c:extLst>
        </c:ser>
        <c:ser>
          <c:idx val="2"/>
          <c:order val="2"/>
          <c:tx>
            <c:v>степ</c:v>
          </c:tx>
          <c:marker>
            <c:symbol val="none"/>
          </c:marker>
          <c:xVal>
            <c:numRef>
              <c:f>Лист3!$B$13:$B$19</c:f>
              <c:numCache>
                <c:formatCode>General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xVal>
          <c:yVal>
            <c:numRef>
              <c:f>Лист3!$F$13:$F$19</c:f>
              <c:numCache>
                <c:formatCode>General</c:formatCode>
                <c:ptCount val="7"/>
                <c:pt idx="0">
                  <c:v>1639.7453343301856</c:v>
                </c:pt>
                <c:pt idx="1">
                  <c:v>843.03594735139154</c:v>
                </c:pt>
                <c:pt idx="2">
                  <c:v>468.80420451477806</c:v>
                </c:pt>
                <c:pt idx="3">
                  <c:v>277.34241564585727</c:v>
                </c:pt>
                <c:pt idx="4">
                  <c:v>172.49941892167033</c:v>
                </c:pt>
                <c:pt idx="5">
                  <c:v>111.81900486474477</c:v>
                </c:pt>
                <c:pt idx="6">
                  <c:v>75.045068690870579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73C-4C83-A3A5-26D14431D7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468672"/>
        <c:axId val="215479040"/>
      </c:scatterChart>
      <c:valAx>
        <c:axId val="215468672"/>
        <c:scaling>
          <c:orientation val="minMax"/>
          <c:min val="3.0000000000000016E-2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Интенсивность обслуживания, 1/сек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5479040"/>
        <c:crosses val="autoZero"/>
        <c:crossBetween val="midCat"/>
      </c:valAx>
      <c:valAx>
        <c:axId val="215479040"/>
        <c:scaling>
          <c:orientation val="minMax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Время пребывания, сек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5468672"/>
        <c:crosses val="autoZero"/>
        <c:crossBetween val="midCat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solidFill>
              <a:schemeClr val="bg1"/>
            </a:solidFill>
          </c:spPr>
          <c:invertIfNegative val="0"/>
          <c:val>
            <c:numRef>
              <c:f>Лист4!$E$4:$E$23</c:f>
              <c:numCache>
                <c:formatCode>0.0000</c:formatCode>
                <c:ptCount val="20"/>
                <c:pt idx="0">
                  <c:v>44.570031488471706</c:v>
                </c:pt>
                <c:pt idx="1">
                  <c:v>127.74005365764665</c:v>
                </c:pt>
                <c:pt idx="2">
                  <c:v>147.01608560896915</c:v>
                </c:pt>
                <c:pt idx="3">
                  <c:v>157.38500302817636</c:v>
                </c:pt>
                <c:pt idx="4">
                  <c:v>163.19640952647671</c:v>
                </c:pt>
                <c:pt idx="5">
                  <c:v>192.04985183991883</c:v>
                </c:pt>
                <c:pt idx="6">
                  <c:v>192.08786560932498</c:v>
                </c:pt>
                <c:pt idx="7">
                  <c:v>242.96784083756518</c:v>
                </c:pt>
                <c:pt idx="8">
                  <c:v>254.73184719071122</c:v>
                </c:pt>
                <c:pt idx="9">
                  <c:v>326.36222793471569</c:v>
                </c:pt>
                <c:pt idx="10">
                  <c:v>328.69764234835151</c:v>
                </c:pt>
                <c:pt idx="11">
                  <c:v>335.03000783891741</c:v>
                </c:pt>
                <c:pt idx="12">
                  <c:v>366.26398073987519</c:v>
                </c:pt>
                <c:pt idx="13">
                  <c:v>452.11443070561717</c:v>
                </c:pt>
                <c:pt idx="14">
                  <c:v>478.02501877267059</c:v>
                </c:pt>
                <c:pt idx="15">
                  <c:v>523.95280129347486</c:v>
                </c:pt>
                <c:pt idx="16">
                  <c:v>540.51354839184557</c:v>
                </c:pt>
                <c:pt idx="17">
                  <c:v>567.62584402358402</c:v>
                </c:pt>
                <c:pt idx="18">
                  <c:v>598.02208765954958</c:v>
                </c:pt>
                <c:pt idx="19">
                  <c:v>602.10194380092014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7D-463E-A4A6-8DC9CD75076F}"/>
            </c:ext>
          </c:extLst>
        </c:ser>
        <c:ser>
          <c:idx val="1"/>
          <c:order val="1"/>
          <c:invertIfNegative val="0"/>
          <c:val>
            <c:numRef>
              <c:f>Лист4!$I$4:$I$23</c:f>
              <c:numCache>
                <c:formatCode>0.0000</c:formatCode>
                <c:ptCount val="20"/>
                <c:pt idx="0">
                  <c:v>23.442061460249469</c:v>
                </c:pt>
                <c:pt idx="1">
                  <c:v>12.975352205855927</c:v>
                </c:pt>
                <c:pt idx="2">
                  <c:v>8.0950676075417505E-2</c:v>
                </c:pt>
                <c:pt idx="3">
                  <c:v>7.9580032529709115</c:v>
                </c:pt>
                <c:pt idx="4">
                  <c:v>49.573348740975376</c:v>
                </c:pt>
                <c:pt idx="5">
                  <c:v>36.645268942977566</c:v>
                </c:pt>
                <c:pt idx="6">
                  <c:v>69.750897016375006</c:v>
                </c:pt>
                <c:pt idx="7">
                  <c:v>29.531251497432891</c:v>
                </c:pt>
                <c:pt idx="8">
                  <c:v>22.970680713535728</c:v>
                </c:pt>
                <c:pt idx="9">
                  <c:v>3.7490005793353021</c:v>
                </c:pt>
                <c:pt idx="10">
                  <c:v>20.399667636586457</c:v>
                </c:pt>
                <c:pt idx="11">
                  <c:v>28.892673041902356</c:v>
                </c:pt>
                <c:pt idx="12">
                  <c:v>10.999523027565601</c:v>
                </c:pt>
                <c:pt idx="13">
                  <c:v>20.834209179237689</c:v>
                </c:pt>
                <c:pt idx="14">
                  <c:v>2.7192484261231584</c:v>
                </c:pt>
                <c:pt idx="15">
                  <c:v>6.575824249255902</c:v>
                </c:pt>
                <c:pt idx="16">
                  <c:v>11.765360210965127</c:v>
                </c:pt>
                <c:pt idx="17">
                  <c:v>41.367373678074387</c:v>
                </c:pt>
                <c:pt idx="18">
                  <c:v>24.504230555727531</c:v>
                </c:pt>
                <c:pt idx="19">
                  <c:v>45.877966430389847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77D-463E-A4A6-8DC9CD750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564672"/>
        <c:axId val="215566208"/>
      </c:barChart>
      <c:catAx>
        <c:axId val="2155646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5566208"/>
        <c:crosses val="autoZero"/>
        <c:auto val="1"/>
        <c:lblAlgn val="ctr"/>
        <c:lblOffset val="100"/>
        <c:noMultiLvlLbl val="0"/>
      </c:catAx>
      <c:valAx>
        <c:axId val="215566208"/>
        <c:scaling>
          <c:orientation val="minMax"/>
        </c:scaling>
        <c:delete val="0"/>
        <c:axPos val="b"/>
        <c:majorGridlines/>
        <c:numFmt formatCode="0.0000" sourceLinked="1"/>
        <c:majorTickMark val="out"/>
        <c:minorTickMark val="none"/>
        <c:tickLblPos val="nextTo"/>
        <c:crossAx val="2155646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Лист5!$E$4:$E$23</c:f>
              <c:numCache>
                <c:formatCode>0.0000</c:formatCode>
                <c:ptCount val="20"/>
                <c:pt idx="0">
                  <c:v>25.402573283203868</c:v>
                </c:pt>
                <c:pt idx="1">
                  <c:v>27.873815048473961</c:v>
                </c:pt>
                <c:pt idx="2">
                  <c:v>61.017638422732176</c:v>
                </c:pt>
                <c:pt idx="3">
                  <c:v>69.451192556933137</c:v>
                </c:pt>
                <c:pt idx="4">
                  <c:v>71.177064681420646</c:v>
                </c:pt>
                <c:pt idx="5">
                  <c:v>82.60114035835872</c:v>
                </c:pt>
                <c:pt idx="6">
                  <c:v>84.345838346157947</c:v>
                </c:pt>
                <c:pt idx="7">
                  <c:v>92.794148400294773</c:v>
                </c:pt>
                <c:pt idx="8">
                  <c:v>156.09942206695672</c:v>
                </c:pt>
                <c:pt idx="9">
                  <c:v>188.9476892871175</c:v>
                </c:pt>
                <c:pt idx="10">
                  <c:v>205.24212414558178</c:v>
                </c:pt>
                <c:pt idx="11">
                  <c:v>227.5325061087681</c:v>
                </c:pt>
                <c:pt idx="12">
                  <c:v>230.84340377812393</c:v>
                </c:pt>
                <c:pt idx="13">
                  <c:v>298.54950417393195</c:v>
                </c:pt>
                <c:pt idx="14">
                  <c:v>305.60760162857929</c:v>
                </c:pt>
                <c:pt idx="15">
                  <c:v>328.8435812756357</c:v>
                </c:pt>
                <c:pt idx="16">
                  <c:v>331.77276856658557</c:v>
                </c:pt>
                <c:pt idx="17">
                  <c:v>343.29046787877871</c:v>
                </c:pt>
                <c:pt idx="18">
                  <c:v>345.8248923577143</c:v>
                </c:pt>
                <c:pt idx="19">
                  <c:v>385.81384979709236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26-444F-A96E-FD86DFCAF7D9}"/>
            </c:ext>
          </c:extLst>
        </c:ser>
        <c:ser>
          <c:idx val="1"/>
          <c:order val="1"/>
          <c:invertIfNegative val="0"/>
          <c:val>
            <c:numRef>
              <c:f>Лист5!$I$4:$I$23</c:f>
              <c:numCache>
                <c:formatCode>0.0000</c:formatCode>
                <c:ptCount val="20"/>
                <c:pt idx="0">
                  <c:v>28.002571870310032</c:v>
                </c:pt>
                <c:pt idx="1">
                  <c:v>47.867793496569874</c:v>
                </c:pt>
                <c:pt idx="2">
                  <c:v>24.1442590374335</c:v>
                </c:pt>
                <c:pt idx="3">
                  <c:v>43.659834713244365</c:v>
                </c:pt>
                <c:pt idx="4">
                  <c:v>84.112975284266653</c:v>
                </c:pt>
                <c:pt idx="5">
                  <c:v>84.626950126132471</c:v>
                </c:pt>
                <c:pt idx="6">
                  <c:v>128.05264884017845</c:v>
                </c:pt>
                <c:pt idx="7">
                  <c:v>160.25940845925393</c:v>
                </c:pt>
                <c:pt idx="8">
                  <c:v>102.30706053633855</c:v>
                </c:pt>
                <c:pt idx="9">
                  <c:v>100.70347702775939</c:v>
                </c:pt>
                <c:pt idx="10">
                  <c:v>140.3744280166714</c:v>
                </c:pt>
                <c:pt idx="11">
                  <c:v>126.45798860889792</c:v>
                </c:pt>
                <c:pt idx="12">
                  <c:v>137.17691594792703</c:v>
                </c:pt>
                <c:pt idx="13">
                  <c:v>69.919624805241313</c:v>
                </c:pt>
                <c:pt idx="14">
                  <c:v>68.96647658615808</c:v>
                </c:pt>
                <c:pt idx="15">
                  <c:v>57.570747982558373</c:v>
                </c:pt>
                <c:pt idx="16">
                  <c:v>99.99681346554371</c:v>
                </c:pt>
                <c:pt idx="17">
                  <c:v>116.15981834952925</c:v>
                </c:pt>
                <c:pt idx="18">
                  <c:v>167.71728552880137</c:v>
                </c:pt>
                <c:pt idx="19">
                  <c:v>130.63917836253523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826-444F-A96E-FD86DFCAF7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606784"/>
        <c:axId val="215608320"/>
      </c:barChart>
      <c:catAx>
        <c:axId val="2156067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5608320"/>
        <c:crosses val="autoZero"/>
        <c:auto val="1"/>
        <c:lblAlgn val="ctr"/>
        <c:lblOffset val="100"/>
        <c:noMultiLvlLbl val="0"/>
      </c:catAx>
      <c:valAx>
        <c:axId val="215608320"/>
        <c:scaling>
          <c:orientation val="minMax"/>
        </c:scaling>
        <c:delete val="0"/>
        <c:axPos val="b"/>
        <c:majorGridlines/>
        <c:numFmt formatCode="0.0000" sourceLinked="1"/>
        <c:majorTickMark val="out"/>
        <c:minorTickMark val="none"/>
        <c:tickLblPos val="nextTo"/>
        <c:crossAx val="21560678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Лист7!$F$5:$F$14</c:f>
              <c:numCache>
                <c:formatCode>0.000</c:formatCode>
                <c:ptCount val="10"/>
                <c:pt idx="0">
                  <c:v>59.584355771299165</c:v>
                </c:pt>
                <c:pt idx="1">
                  <c:v>153.98263007419371</c:v>
                </c:pt>
                <c:pt idx="2">
                  <c:v>249.74094118690459</c:v>
                </c:pt>
                <c:pt idx="3">
                  <c:v>261.47891535901766</c:v>
                </c:pt>
                <c:pt idx="4">
                  <c:v>268.24769371374936</c:v>
                </c:pt>
                <c:pt idx="5">
                  <c:v>322.63088380930571</c:v>
                </c:pt>
                <c:pt idx="6">
                  <c:v>405.20765998347656</c:v>
                </c:pt>
                <c:pt idx="7">
                  <c:v>433.72770592799708</c:v>
                </c:pt>
                <c:pt idx="8">
                  <c:v>497.03993723422946</c:v>
                </c:pt>
                <c:pt idx="9">
                  <c:v>613.48792490185735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6D-4F83-8CC7-36676594C4A0}"/>
            </c:ext>
          </c:extLst>
        </c:ser>
        <c:ser>
          <c:idx val="1"/>
          <c:order val="1"/>
          <c:invertIfNegative val="0"/>
          <c:val>
            <c:numRef>
              <c:f>Лист7!$I$5:$I$14</c:f>
              <c:numCache>
                <c:formatCode>0.000</c:formatCode>
                <c:ptCount val="10"/>
                <c:pt idx="0">
                  <c:v>90.205108026158882</c:v>
                </c:pt>
                <c:pt idx="1">
                  <c:v>16.605332549991147</c:v>
                </c:pt>
                <c:pt idx="2">
                  <c:v>18.394206035125819</c:v>
                </c:pt>
                <c:pt idx="3">
                  <c:v>11.476092030091365</c:v>
                </c:pt>
                <c:pt idx="4">
                  <c:v>28.15987256309046</c:v>
                </c:pt>
                <c:pt idx="5">
                  <c:v>23.765047185593119</c:v>
                </c:pt>
                <c:pt idx="6">
                  <c:v>38.355176019906366</c:v>
                </c:pt>
                <c:pt idx="7">
                  <c:v>16.367007553009728</c:v>
                </c:pt>
                <c:pt idx="8">
                  <c:v>87.439184864187155</c:v>
                </c:pt>
                <c:pt idx="9">
                  <c:v>20.641554362897182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6D-4F83-8CC7-36676594C4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161280"/>
        <c:axId val="216888064"/>
      </c:barChart>
      <c:catAx>
        <c:axId val="21616128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6888064"/>
        <c:crosses val="autoZero"/>
        <c:auto val="1"/>
        <c:lblAlgn val="ctr"/>
        <c:lblOffset val="100"/>
        <c:noMultiLvlLbl val="0"/>
      </c:catAx>
      <c:valAx>
        <c:axId val="216888064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616128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Лист8!$F$5:$F$24</c:f>
              <c:numCache>
                <c:formatCode>0.000</c:formatCode>
                <c:ptCount val="20"/>
                <c:pt idx="0">
                  <c:v>9.4040019580826115</c:v>
                </c:pt>
                <c:pt idx="1">
                  <c:v>14.012383677037866</c:v>
                </c:pt>
                <c:pt idx="2">
                  <c:v>65.976517495344638</c:v>
                </c:pt>
                <c:pt idx="3">
                  <c:v>69.025892145123152</c:v>
                </c:pt>
                <c:pt idx="4">
                  <c:v>70.812157764754232</c:v>
                </c:pt>
                <c:pt idx="5">
                  <c:v>124.11617698524222</c:v>
                </c:pt>
                <c:pt idx="6">
                  <c:v>139.17330297885846</c:v>
                </c:pt>
                <c:pt idx="7">
                  <c:v>218.2430869379844</c:v>
                </c:pt>
                <c:pt idx="8">
                  <c:v>233.74792636951634</c:v>
                </c:pt>
                <c:pt idx="9">
                  <c:v>268.02238758983117</c:v>
                </c:pt>
                <c:pt idx="10">
                  <c:v>306.60690108832267</c:v>
                </c:pt>
                <c:pt idx="11">
                  <c:v>322.6247301314512</c:v>
                </c:pt>
                <c:pt idx="12">
                  <c:v>339.49097205672456</c:v>
                </c:pt>
                <c:pt idx="13">
                  <c:v>359.5518004787067</c:v>
                </c:pt>
                <c:pt idx="14">
                  <c:v>369.53950990306561</c:v>
                </c:pt>
                <c:pt idx="15">
                  <c:v>373.97409710723372</c:v>
                </c:pt>
                <c:pt idx="16">
                  <c:v>417.68794832634995</c:v>
                </c:pt>
                <c:pt idx="17">
                  <c:v>446.08357944129989</c:v>
                </c:pt>
                <c:pt idx="18">
                  <c:v>504.47750511767373</c:v>
                </c:pt>
                <c:pt idx="19">
                  <c:v>509.56199981240974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4A-4B6B-A269-278D2987C233}"/>
            </c:ext>
          </c:extLst>
        </c:ser>
        <c:ser>
          <c:idx val="1"/>
          <c:order val="1"/>
          <c:invertIfNegative val="0"/>
          <c:val>
            <c:numRef>
              <c:f>Лист8!$I$5:$I$24</c:f>
              <c:numCache>
                <c:formatCode>0.000</c:formatCode>
                <c:ptCount val="20"/>
                <c:pt idx="0">
                  <c:v>13.560355046550418</c:v>
                </c:pt>
                <c:pt idx="1">
                  <c:v>19.015026097072074</c:v>
                </c:pt>
                <c:pt idx="2">
                  <c:v>15.573745853486571</c:v>
                </c:pt>
                <c:pt idx="3">
                  <c:v>14.303497537034318</c:v>
                </c:pt>
                <c:pt idx="4">
                  <c:v>75.567887172017748</c:v>
                </c:pt>
                <c:pt idx="5">
                  <c:v>49.226702986983895</c:v>
                </c:pt>
                <c:pt idx="6">
                  <c:v>43.443905651411114</c:v>
                </c:pt>
                <c:pt idx="7">
                  <c:v>33.580533940371708</c:v>
                </c:pt>
                <c:pt idx="8">
                  <c:v>30.753188631670525</c:v>
                </c:pt>
                <c:pt idx="9">
                  <c:v>11.842871388127037</c:v>
                </c:pt>
                <c:pt idx="10">
                  <c:v>0.12841272145431049</c:v>
                </c:pt>
                <c:pt idx="11">
                  <c:v>12.045403442364261</c:v>
                </c:pt>
                <c:pt idx="12">
                  <c:v>7.9622584460842063</c:v>
                </c:pt>
                <c:pt idx="13">
                  <c:v>32.587514425408585</c:v>
                </c:pt>
                <c:pt idx="14">
                  <c:v>59.099900314447098</c:v>
                </c:pt>
                <c:pt idx="15">
                  <c:v>66.9019929544109</c:v>
                </c:pt>
                <c:pt idx="16">
                  <c:v>68.995686028451075</c:v>
                </c:pt>
                <c:pt idx="17">
                  <c:v>61.003936401704379</c:v>
                </c:pt>
                <c:pt idx="18">
                  <c:v>39.088596033458487</c:v>
                </c:pt>
                <c:pt idx="19">
                  <c:v>34.863168223666833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4A-4B6B-A269-278D2987C2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6950272"/>
        <c:axId val="216951808"/>
      </c:barChart>
      <c:catAx>
        <c:axId val="216950272"/>
        <c:scaling>
          <c:orientation val="minMax"/>
        </c:scaling>
        <c:delete val="0"/>
        <c:axPos val="l"/>
        <c:majorTickMark val="out"/>
        <c:minorTickMark val="none"/>
        <c:tickLblPos val="nextTo"/>
        <c:crossAx val="216951808"/>
        <c:crosses val="autoZero"/>
        <c:auto val="1"/>
        <c:lblAlgn val="ctr"/>
        <c:lblOffset val="100"/>
        <c:noMultiLvlLbl val="0"/>
      </c:catAx>
      <c:valAx>
        <c:axId val="216951808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69502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Лист8!$H$31:$H$42</c:f>
              <c:strCache>
                <c:ptCount val="12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70</c:v>
                </c:pt>
                <c:pt idx="8">
                  <c:v>80</c:v>
                </c:pt>
                <c:pt idx="9">
                  <c:v>90</c:v>
                </c:pt>
                <c:pt idx="10">
                  <c:v>100</c:v>
                </c:pt>
                <c:pt idx="11">
                  <c:v>Еще</c:v>
                </c:pt>
              </c:strCache>
            </c:strRef>
          </c:cat>
          <c:val>
            <c:numRef>
              <c:f>Лист8!$I$31:$I$42</c:f>
              <c:numCache>
                <c:formatCode>General</c:formatCode>
                <c:ptCount val="12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5-45DF-A8A2-C65FF9E8D7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6974464"/>
        <c:axId val="216976384"/>
      </c:barChart>
      <c:catAx>
        <c:axId val="2169744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layout/>
          <c:overlay val="0"/>
        </c:title>
        <c:numFmt formatCode="General" sourceLinked="0"/>
        <c:majorTickMark val="out"/>
        <c:minorTickMark val="none"/>
        <c:tickLblPos val="nextTo"/>
        <c:crossAx val="216976384"/>
        <c:crosses val="autoZero"/>
        <c:auto val="1"/>
        <c:lblAlgn val="ctr"/>
        <c:lblOffset val="100"/>
        <c:noMultiLvlLbl val="0"/>
      </c:catAx>
      <c:valAx>
        <c:axId val="216976384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21697446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Лист9!$F$16:$F$35</c:f>
              <c:numCache>
                <c:formatCode>0.000</c:formatCode>
                <c:ptCount val="20"/>
                <c:pt idx="0">
                  <c:v>1.2424194424942074</c:v>
                </c:pt>
                <c:pt idx="1">
                  <c:v>12.512136207155645</c:v>
                </c:pt>
                <c:pt idx="2">
                  <c:v>27.584446652280207</c:v>
                </c:pt>
                <c:pt idx="3">
                  <c:v>33.853079657290188</c:v>
                </c:pt>
                <c:pt idx="4">
                  <c:v>43.67201141344664</c:v>
                </c:pt>
                <c:pt idx="5">
                  <c:v>64.14718235219587</c:v>
                </c:pt>
                <c:pt idx="6">
                  <c:v>77.475159466705904</c:v>
                </c:pt>
                <c:pt idx="7">
                  <c:v>97.496752400592342</c:v>
                </c:pt>
                <c:pt idx="8">
                  <c:v>109.59491841683982</c:v>
                </c:pt>
                <c:pt idx="9">
                  <c:v>128.93961739330038</c:v>
                </c:pt>
                <c:pt idx="10">
                  <c:v>178.23598610572699</c:v>
                </c:pt>
                <c:pt idx="11">
                  <c:v>189.55328295605986</c:v>
                </c:pt>
                <c:pt idx="12">
                  <c:v>190.27865793181292</c:v>
                </c:pt>
                <c:pt idx="13">
                  <c:v>196.60658708806315</c:v>
                </c:pt>
                <c:pt idx="14">
                  <c:v>207.87762880770353</c:v>
                </c:pt>
                <c:pt idx="15">
                  <c:v>212.41838910033741</c:v>
                </c:pt>
                <c:pt idx="16">
                  <c:v>225.3074621889053</c:v>
                </c:pt>
                <c:pt idx="17">
                  <c:v>232.75958808870132</c:v>
                </c:pt>
                <c:pt idx="18">
                  <c:v>242.76194101877536</c:v>
                </c:pt>
                <c:pt idx="19">
                  <c:v>245.98253001038651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AA-4829-AC01-2A194F89866F}"/>
            </c:ext>
          </c:extLst>
        </c:ser>
        <c:ser>
          <c:idx val="1"/>
          <c:order val="1"/>
          <c:invertIfNegative val="0"/>
          <c:val>
            <c:numRef>
              <c:f>Лист9!$I$16:$I$35</c:f>
              <c:numCache>
                <c:formatCode>0.000</c:formatCode>
                <c:ptCount val="20"/>
                <c:pt idx="0">
                  <c:v>33.615117774268924</c:v>
                </c:pt>
                <c:pt idx="1">
                  <c:v>76.613787867977308</c:v>
                </c:pt>
                <c:pt idx="2">
                  <c:v>101.59628950988318</c:v>
                </c:pt>
                <c:pt idx="3">
                  <c:v>171.38805576368711</c:v>
                </c:pt>
                <c:pt idx="4">
                  <c:v>164.44329602939177</c:v>
                </c:pt>
                <c:pt idx="5">
                  <c:v>173.69521486783202</c:v>
                </c:pt>
                <c:pt idx="6">
                  <c:v>188.26598149914605</c:v>
                </c:pt>
                <c:pt idx="7">
                  <c:v>195.79736672743809</c:v>
                </c:pt>
                <c:pt idx="8">
                  <c:v>249.93439504218108</c:v>
                </c:pt>
                <c:pt idx="9">
                  <c:v>241.96598412728926</c:v>
                </c:pt>
                <c:pt idx="10">
                  <c:v>197.0439883137943</c:v>
                </c:pt>
                <c:pt idx="11">
                  <c:v>185.97650323707606</c:v>
                </c:pt>
                <c:pt idx="12">
                  <c:v>204.50128784019165</c:v>
                </c:pt>
                <c:pt idx="13">
                  <c:v>222.64051896583609</c:v>
                </c:pt>
                <c:pt idx="14">
                  <c:v>232.27959682550753</c:v>
                </c:pt>
                <c:pt idx="15">
                  <c:v>234.16670883225302</c:v>
                </c:pt>
                <c:pt idx="16">
                  <c:v>280.85288245981178</c:v>
                </c:pt>
                <c:pt idx="17">
                  <c:v>312.52798492565216</c:v>
                </c:pt>
                <c:pt idx="18">
                  <c:v>302.54836797518419</c:v>
                </c:pt>
                <c:pt idx="19">
                  <c:v>308.45461420309846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DAA-4829-AC01-2A194F898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030016"/>
        <c:axId val="217191552"/>
      </c:barChart>
      <c:catAx>
        <c:axId val="2170300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7191552"/>
        <c:crosses val="autoZero"/>
        <c:auto val="1"/>
        <c:lblAlgn val="ctr"/>
        <c:lblOffset val="100"/>
        <c:noMultiLvlLbl val="0"/>
      </c:catAx>
      <c:valAx>
        <c:axId val="21719155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70300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1"/>
          </a:solidFill>
          <a:prstDash val="solid"/>
        </a:ln>
        <a:effectLst/>
      </c:spPr>
    </c:plotArea>
    <c:legend>
      <c:legendPos val="r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Лист9!$E$83:$E$97</c:f>
              <c:strCache>
                <c:ptCount val="15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Еще</c:v>
                </c:pt>
              </c:strCache>
            </c:strRef>
          </c:cat>
          <c:val>
            <c:numRef>
              <c:f>Лист9!$F$83:$F$97</c:f>
              <c:numCache>
                <c:formatCode>General</c:formatCode>
                <c:ptCount val="15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C1-4B86-948F-11C4EAAD1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207168"/>
        <c:axId val="217209088"/>
      </c:barChart>
      <c:catAx>
        <c:axId val="217207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17209088"/>
        <c:crosses val="autoZero"/>
        <c:auto val="1"/>
        <c:lblAlgn val="ctr"/>
        <c:lblOffset val="100"/>
        <c:noMultiLvlLbl val="0"/>
      </c:catAx>
      <c:valAx>
        <c:axId val="21720908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720716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dk1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v>Эксперимент</c:v>
          </c:tx>
          <c:cat>
            <c:numRef>
              <c:f>Лист9!$B$50:$B$56</c:f>
              <c:numCache>
                <c:formatCode>0.000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cat>
          <c:val>
            <c:numRef>
              <c:f>Лист9!$A$50:$A$56</c:f>
              <c:numCache>
                <c:formatCode>0.000</c:formatCode>
                <c:ptCount val="7"/>
                <c:pt idx="0">
                  <c:v>1248.0102755003227</c:v>
                </c:pt>
                <c:pt idx="1">
                  <c:v>843.81742539900222</c:v>
                </c:pt>
                <c:pt idx="2">
                  <c:v>431.10715787506496</c:v>
                </c:pt>
                <c:pt idx="3">
                  <c:v>347.05336875709946</c:v>
                </c:pt>
                <c:pt idx="4">
                  <c:v>205.60414873451637</c:v>
                </c:pt>
                <c:pt idx="5">
                  <c:v>60.791063018320493</c:v>
                </c:pt>
                <c:pt idx="6">
                  <c:v>71.147886718837711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66-4B99-8BCE-3E5183C3BFC9}"/>
            </c:ext>
          </c:extLst>
        </c:ser>
        <c:ser>
          <c:idx val="1"/>
          <c:order val="1"/>
          <c:tx>
            <c:v>Линейная</c:v>
          </c:tx>
          <c:cat>
            <c:numRef>
              <c:f>Лист9!$B$50:$B$56</c:f>
              <c:numCache>
                <c:formatCode>0.000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cat>
          <c:val>
            <c:numRef>
              <c:f>Лист9!$E$50:$E$56</c:f>
              <c:numCache>
                <c:formatCode>0.000</c:formatCode>
                <c:ptCount val="7"/>
                <c:pt idx="0">
                  <c:v>1028.4483573125628</c:v>
                </c:pt>
                <c:pt idx="1">
                  <c:v>838.37182516090684</c:v>
                </c:pt>
                <c:pt idx="2">
                  <c:v>648.2952930092506</c:v>
                </c:pt>
                <c:pt idx="3">
                  <c:v>458.21876085759482</c:v>
                </c:pt>
                <c:pt idx="4">
                  <c:v>268.14222870593858</c:v>
                </c:pt>
                <c:pt idx="5">
                  <c:v>78.065696554283022</c:v>
                </c:pt>
                <c:pt idx="6">
                  <c:v>-112.01083559737299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666-4B99-8BCE-3E5183C3BFC9}"/>
            </c:ext>
          </c:extLst>
        </c:ser>
        <c:ser>
          <c:idx val="2"/>
          <c:order val="2"/>
          <c:tx>
            <c:v>Степенная</c:v>
          </c:tx>
          <c:cat>
            <c:numRef>
              <c:f>Лист9!$B$50:$B$56</c:f>
              <c:numCache>
                <c:formatCode>0.000</c:formatCode>
                <c:ptCount val="7"/>
                <c:pt idx="0">
                  <c:v>2.7999999999999997E-2</c:v>
                </c:pt>
                <c:pt idx="1">
                  <c:v>3.2000000000000001E-2</c:v>
                </c:pt>
                <c:pt idx="2">
                  <c:v>3.6000000000000004E-2</c:v>
                </c:pt>
                <c:pt idx="3">
                  <c:v>0.04</c:v>
                </c:pt>
                <c:pt idx="4">
                  <c:v>4.4000000000000004E-2</c:v>
                </c:pt>
                <c:pt idx="5">
                  <c:v>4.8000000000000001E-2</c:v>
                </c:pt>
                <c:pt idx="6">
                  <c:v>5.2000000000000005E-2</c:v>
                </c:pt>
              </c:numCache>
            </c:numRef>
          </c:cat>
          <c:val>
            <c:numRef>
              <c:f>Лист9!$F$50:$F$56</c:f>
              <c:numCache>
                <c:formatCode>0.000</c:formatCode>
                <c:ptCount val="7"/>
                <c:pt idx="0">
                  <c:v>1527.1172549020357</c:v>
                </c:pt>
                <c:pt idx="1">
                  <c:v>779.76539676978473</c:v>
                </c:pt>
                <c:pt idx="2">
                  <c:v>431.00517005071748</c:v>
                </c:pt>
                <c:pt idx="3">
                  <c:v>253.60478765000423</c:v>
                </c:pt>
                <c:pt idx="4">
                  <c:v>156.96510433030332</c:v>
                </c:pt>
                <c:pt idx="5">
                  <c:v>101.29558290832411</c:v>
                </c:pt>
                <c:pt idx="6">
                  <c:v>67.703617345778824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666-4B99-8BCE-3E5183C3BF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242240"/>
        <c:axId val="217321856"/>
      </c:lineChart>
      <c:catAx>
        <c:axId val="217242240"/>
        <c:scaling>
          <c:orientation val="minMax"/>
        </c:scaling>
        <c:delete val="0"/>
        <c:axPos val="b"/>
        <c:numFmt formatCode="0.000" sourceLinked="1"/>
        <c:majorTickMark val="out"/>
        <c:minorTickMark val="none"/>
        <c:tickLblPos val="nextTo"/>
        <c:crossAx val="217321856"/>
        <c:crosses val="autoZero"/>
        <c:auto val="1"/>
        <c:lblAlgn val="ctr"/>
        <c:lblOffset val="100"/>
        <c:noMultiLvlLbl val="0"/>
      </c:catAx>
      <c:valAx>
        <c:axId val="217321856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1724224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Лист10!$F$16:$F$35</c:f>
              <c:numCache>
                <c:formatCode>0.000</c:formatCode>
                <c:ptCount val="20"/>
                <c:pt idx="0">
                  <c:v>11.003730157406803</c:v>
                </c:pt>
                <c:pt idx="1">
                  <c:v>12.785094417104425</c:v>
                </c:pt>
                <c:pt idx="2">
                  <c:v>14.000297493609031</c:v>
                </c:pt>
                <c:pt idx="3">
                  <c:v>80.703070011259314</c:v>
                </c:pt>
                <c:pt idx="4">
                  <c:v>82.840796139674552</c:v>
                </c:pt>
                <c:pt idx="5">
                  <c:v>93.03035658520119</c:v>
                </c:pt>
                <c:pt idx="6">
                  <c:v>96.933025056918879</c:v>
                </c:pt>
                <c:pt idx="7">
                  <c:v>111.03018406379789</c:v>
                </c:pt>
                <c:pt idx="8">
                  <c:v>151.07481219179908</c:v>
                </c:pt>
                <c:pt idx="9">
                  <c:v>192.64009312756178</c:v>
                </c:pt>
                <c:pt idx="10">
                  <c:v>194.91666232475731</c:v>
                </c:pt>
                <c:pt idx="11">
                  <c:v>229.39736642442477</c:v>
                </c:pt>
                <c:pt idx="12">
                  <c:v>266.28218721690678</c:v>
                </c:pt>
                <c:pt idx="13">
                  <c:v>276.08426064068402</c:v>
                </c:pt>
                <c:pt idx="14">
                  <c:v>297.64357778929661</c:v>
                </c:pt>
                <c:pt idx="15">
                  <c:v>305.4194437061538</c:v>
                </c:pt>
                <c:pt idx="16">
                  <c:v>326.51308073441129</c:v>
                </c:pt>
                <c:pt idx="17">
                  <c:v>331.20640925918872</c:v>
                </c:pt>
                <c:pt idx="18">
                  <c:v>349.17795825261044</c:v>
                </c:pt>
                <c:pt idx="19">
                  <c:v>382.41381400638465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CD-4995-9F69-CCE30ECADC08}"/>
            </c:ext>
          </c:extLst>
        </c:ser>
        <c:ser>
          <c:idx val="1"/>
          <c:order val="1"/>
          <c:invertIfNegative val="0"/>
          <c:val>
            <c:numRef>
              <c:f>Лист10!$I$16:$I$35</c:f>
              <c:numCache>
                <c:formatCode>0.000</c:formatCode>
                <c:ptCount val="20"/>
                <c:pt idx="0">
                  <c:v>2.6359774899643078</c:v>
                </c:pt>
                <c:pt idx="1">
                  <c:v>7.9411497645042068</c:v>
                </c:pt>
                <c:pt idx="2">
                  <c:v>7.4969640096359402</c:v>
                </c:pt>
                <c:pt idx="3">
                  <c:v>12.412458531247211</c:v>
                </c:pt>
                <c:pt idx="4">
                  <c:v>32.927166983941717</c:v>
                </c:pt>
                <c:pt idx="5">
                  <c:v>39.313816107934258</c:v>
                </c:pt>
                <c:pt idx="6">
                  <c:v>38.987129554036372</c:v>
                </c:pt>
                <c:pt idx="7">
                  <c:v>34.829456469236874</c:v>
                </c:pt>
                <c:pt idx="8">
                  <c:v>21.314345772226659</c:v>
                </c:pt>
                <c:pt idx="9">
                  <c:v>9.2713091499452958</c:v>
                </c:pt>
                <c:pt idx="10">
                  <c:v>8.0696463403117207</c:v>
                </c:pt>
                <c:pt idx="11">
                  <c:v>34.460265013365699</c:v>
                </c:pt>
                <c:pt idx="12">
                  <c:v>1.4123006563465879</c:v>
                </c:pt>
                <c:pt idx="13">
                  <c:v>25.662564937496597</c:v>
                </c:pt>
                <c:pt idx="14">
                  <c:v>19.277232993892142</c:v>
                </c:pt>
                <c:pt idx="15">
                  <c:v>14.665444125758711</c:v>
                </c:pt>
                <c:pt idx="16">
                  <c:v>0.54866378908496927</c:v>
                </c:pt>
                <c:pt idx="17">
                  <c:v>4.3816881757483088</c:v>
                </c:pt>
                <c:pt idx="18">
                  <c:v>3.0712038851946204</c:v>
                </c:pt>
                <c:pt idx="19">
                  <c:v>5.1351014482696655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CD-4995-9F69-CCE30ECA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633536"/>
        <c:axId val="217635072"/>
      </c:barChart>
      <c:catAx>
        <c:axId val="217633536"/>
        <c:scaling>
          <c:orientation val="minMax"/>
        </c:scaling>
        <c:delete val="0"/>
        <c:axPos val="l"/>
        <c:majorTickMark val="out"/>
        <c:minorTickMark val="none"/>
        <c:tickLblPos val="nextTo"/>
        <c:crossAx val="217635072"/>
        <c:crosses val="autoZero"/>
        <c:auto val="1"/>
        <c:lblAlgn val="ctr"/>
        <c:lblOffset val="100"/>
        <c:noMultiLvlLbl val="0"/>
      </c:catAx>
      <c:valAx>
        <c:axId val="21763507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763353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Гистограмма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Частота</c:v>
          </c:tx>
          <c:invertIfNegative val="0"/>
          <c:cat>
            <c:strRef>
              <c:f>Лист10!$E$41:$E$55</c:f>
              <c:strCache>
                <c:ptCount val="15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Еще</c:v>
                </c:pt>
              </c:strCache>
            </c:strRef>
          </c:cat>
          <c:val>
            <c:numRef>
              <c:f>Лист10!$F$41:$F$55</c:f>
              <c:numCache>
                <c:formatCode>General</c:formatCode>
                <c:ptCount val="15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02-417F-9E0B-8C3B330B1B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7139840"/>
        <c:axId val="217142016"/>
      </c:barChart>
      <c:catAx>
        <c:axId val="2171398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Карман</a:t>
                </a:r>
              </a:p>
            </c:rich>
          </c:tx>
          <c:overlay val="0"/>
        </c:title>
        <c:numFmt formatCode="General" sourceLinked="0"/>
        <c:majorTickMark val="out"/>
        <c:minorTickMark val="none"/>
        <c:tickLblPos val="nextTo"/>
        <c:crossAx val="217142016"/>
        <c:crosses val="autoZero"/>
        <c:auto val="1"/>
        <c:lblAlgn val="ctr"/>
        <c:lblOffset val="100"/>
        <c:noMultiLvlLbl val="0"/>
      </c:catAx>
      <c:valAx>
        <c:axId val="21714201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Частота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713984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val>
            <c:numRef>
              <c:f>Лист10!$A$62:$A$68</c:f>
              <c:numCache>
                <c:formatCode>0.000</c:formatCode>
                <c:ptCount val="7"/>
                <c:pt idx="0">
                  <c:v>1125.5993362510121</c:v>
                </c:pt>
                <c:pt idx="1">
                  <c:v>843.81742539900222</c:v>
                </c:pt>
                <c:pt idx="2">
                  <c:v>431.10715787506496</c:v>
                </c:pt>
                <c:pt idx="3">
                  <c:v>347.05336875709946</c:v>
                </c:pt>
                <c:pt idx="4">
                  <c:v>205.60414873451637</c:v>
                </c:pt>
                <c:pt idx="5">
                  <c:v>60.791063018320493</c:v>
                </c:pt>
                <c:pt idx="6">
                  <c:v>71.147886718837711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D3-4D33-AAA8-6558D4D12694}"/>
            </c:ext>
          </c:extLst>
        </c:ser>
        <c:ser>
          <c:idx val="1"/>
          <c:order val="1"/>
          <c:val>
            <c:numRef>
              <c:f>Лист10!$E$62:$E$68</c:f>
              <c:numCache>
                <c:formatCode>0.000</c:formatCode>
                <c:ptCount val="7"/>
                <c:pt idx="0">
                  <c:v>971.61470694681157</c:v>
                </c:pt>
                <c:pt idx="1">
                  <c:v>794.65363257186709</c:v>
                </c:pt>
                <c:pt idx="2">
                  <c:v>617.69255819692285</c:v>
                </c:pt>
                <c:pt idx="3">
                  <c:v>440.73148382197905</c:v>
                </c:pt>
                <c:pt idx="4">
                  <c:v>263.77040944703458</c:v>
                </c:pt>
                <c:pt idx="5">
                  <c:v>86.809335072090562</c:v>
                </c:pt>
                <c:pt idx="6">
                  <c:v>-90.151739302853457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D3-4D33-AAA8-6558D4D12694}"/>
            </c:ext>
          </c:extLst>
        </c:ser>
        <c:ser>
          <c:idx val="2"/>
          <c:order val="2"/>
          <c:val>
            <c:numRef>
              <c:f>Лист10!$F$62:$F$68</c:f>
              <c:numCache>
                <c:formatCode>0.000</c:formatCode>
                <c:ptCount val="7"/>
                <c:pt idx="0">
                  <c:v>1446.7353216354402</c:v>
                </c:pt>
                <c:pt idx="1">
                  <c:v>750.35916296631694</c:v>
                </c:pt>
                <c:pt idx="2">
                  <c:v>420.5093142227181</c:v>
                </c:pt>
                <c:pt idx="3">
                  <c:v>250.49955286081286</c:v>
                </c:pt>
                <c:pt idx="4">
                  <c:v>156.78266529218072</c:v>
                </c:pt>
                <c:pt idx="5">
                  <c:v>102.21366549278974</c:v>
                </c:pt>
                <c:pt idx="6">
                  <c:v>68.960368973279259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D3-4D33-AAA8-6558D4D126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7453696"/>
        <c:axId val="217455232"/>
      </c:lineChart>
      <c:catAx>
        <c:axId val="217453696"/>
        <c:scaling>
          <c:orientation val="minMax"/>
        </c:scaling>
        <c:delete val="0"/>
        <c:axPos val="b"/>
        <c:majorTickMark val="out"/>
        <c:minorTickMark val="none"/>
        <c:tickLblPos val="nextTo"/>
        <c:crossAx val="217455232"/>
        <c:crosses val="autoZero"/>
        <c:auto val="1"/>
        <c:lblAlgn val="ctr"/>
        <c:lblOffset val="100"/>
        <c:noMultiLvlLbl val="0"/>
      </c:catAx>
      <c:valAx>
        <c:axId val="217455232"/>
        <c:scaling>
          <c:orientation val="minMax"/>
        </c:scaling>
        <c:delete val="0"/>
        <c:axPos val="l"/>
        <c:majorGridlines/>
        <c:numFmt formatCode="0.000" sourceLinked="1"/>
        <c:majorTickMark val="out"/>
        <c:minorTickMark val="none"/>
        <c:tickLblPos val="nextTo"/>
        <c:crossAx val="21745369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Лист11!$F$7:$F$26</c:f>
              <c:numCache>
                <c:formatCode>0.000</c:formatCode>
                <c:ptCount val="20"/>
                <c:pt idx="0">
                  <c:v>13.978433304065183</c:v>
                </c:pt>
                <c:pt idx="1">
                  <c:v>18.832113218572818</c:v>
                </c:pt>
                <c:pt idx="2">
                  <c:v>32.491141740100545</c:v>
                </c:pt>
                <c:pt idx="3">
                  <c:v>32.52586173478236</c:v>
                </c:pt>
                <c:pt idx="4">
                  <c:v>34.040835114978968</c:v>
                </c:pt>
                <c:pt idx="5">
                  <c:v>46.234472416325019</c:v>
                </c:pt>
                <c:pt idx="6">
                  <c:v>47.607165014668489</c:v>
                </c:pt>
                <c:pt idx="7">
                  <c:v>48.292658524539277</c:v>
                </c:pt>
                <c:pt idx="8">
                  <c:v>51.629752689695628</c:v>
                </c:pt>
                <c:pt idx="9">
                  <c:v>52.712066661318218</c:v>
                </c:pt>
                <c:pt idx="10">
                  <c:v>80.29984181935022</c:v>
                </c:pt>
                <c:pt idx="11">
                  <c:v>80.966282749895839</c:v>
                </c:pt>
                <c:pt idx="12">
                  <c:v>81.66930068929598</c:v>
                </c:pt>
                <c:pt idx="13">
                  <c:v>86.894453528878373</c:v>
                </c:pt>
                <c:pt idx="14">
                  <c:v>112.85748668853498</c:v>
                </c:pt>
                <c:pt idx="15">
                  <c:v>126.23420706413862</c:v>
                </c:pt>
                <c:pt idx="16">
                  <c:v>135.62616262175089</c:v>
                </c:pt>
                <c:pt idx="17">
                  <c:v>145.13940496350867</c:v>
                </c:pt>
                <c:pt idx="18">
                  <c:v>150.81009915801832</c:v>
                </c:pt>
                <c:pt idx="19">
                  <c:v>179.24672226190737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4C-4E5E-BA07-AAE4E0E6B668}"/>
            </c:ext>
          </c:extLst>
        </c:ser>
        <c:ser>
          <c:idx val="1"/>
          <c:order val="1"/>
          <c:invertIfNegative val="0"/>
          <c:val>
            <c:numRef>
              <c:f>Лист11!$I$7:$I$26</c:f>
              <c:numCache>
                <c:formatCode>0.000</c:formatCode>
                <c:ptCount val="20"/>
                <c:pt idx="0">
                  <c:v>10.689390173696902</c:v>
                </c:pt>
                <c:pt idx="1">
                  <c:v>9.5473478408715771</c:v>
                </c:pt>
                <c:pt idx="2">
                  <c:v>10.445139457638852</c:v>
                </c:pt>
                <c:pt idx="3">
                  <c:v>10.436970047125484</c:v>
                </c:pt>
                <c:pt idx="4">
                  <c:v>10.080505722373346</c:v>
                </c:pt>
                <c:pt idx="5">
                  <c:v>9.3245461716175697</c:v>
                </c:pt>
                <c:pt idx="6">
                  <c:v>9.0015596778896949</c:v>
                </c:pt>
                <c:pt idx="7">
                  <c:v>8.8402670873318669</c:v>
                </c:pt>
                <c:pt idx="8">
                  <c:v>8.0550684602362495</c:v>
                </c:pt>
                <c:pt idx="9">
                  <c:v>7.8004063492662326</c:v>
                </c:pt>
                <c:pt idx="10">
                  <c:v>21.096533944377413</c:v>
                </c:pt>
                <c:pt idx="11">
                  <c:v>20.93972431366079</c:v>
                </c:pt>
                <c:pt idx="12">
                  <c:v>20.774308327919584</c:v>
                </c:pt>
                <c:pt idx="13">
                  <c:v>19.544860600959026</c:v>
                </c:pt>
                <c:pt idx="14">
                  <c:v>19.854084180913873</c:v>
                </c:pt>
                <c:pt idx="15">
                  <c:v>16.706620563124773</c:v>
                </c:pt>
                <c:pt idx="16">
                  <c:v>14.496748667215996</c:v>
                </c:pt>
                <c:pt idx="17">
                  <c:v>12.258338704449471</c:v>
                </c:pt>
                <c:pt idx="18">
                  <c:v>10.924057717506031</c:v>
                </c:pt>
                <c:pt idx="19">
                  <c:v>21.745652961797504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4C-4E5E-BA07-AAE4E0E6B6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5685376"/>
        <c:axId val="215691264"/>
      </c:barChart>
      <c:catAx>
        <c:axId val="215685376"/>
        <c:scaling>
          <c:orientation val="minMax"/>
        </c:scaling>
        <c:delete val="0"/>
        <c:axPos val="l"/>
        <c:majorTickMark val="out"/>
        <c:minorTickMark val="none"/>
        <c:tickLblPos val="nextTo"/>
        <c:crossAx val="215691264"/>
        <c:crosses val="autoZero"/>
        <c:auto val="1"/>
        <c:lblAlgn val="ctr"/>
        <c:lblOffset val="100"/>
        <c:noMultiLvlLbl val="0"/>
      </c:catAx>
      <c:valAx>
        <c:axId val="215691264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5685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Лист12!$F$7:$F$26</c:f>
              <c:numCache>
                <c:formatCode>0.000</c:formatCode>
                <c:ptCount val="20"/>
                <c:pt idx="0">
                  <c:v>18.098684429469742</c:v>
                </c:pt>
                <c:pt idx="1">
                  <c:v>19.103020347706249</c:v>
                </c:pt>
                <c:pt idx="2">
                  <c:v>43.277745843407857</c:v>
                </c:pt>
                <c:pt idx="3">
                  <c:v>76.43301466476828</c:v>
                </c:pt>
                <c:pt idx="4">
                  <c:v>77.090450782448926</c:v>
                </c:pt>
                <c:pt idx="5">
                  <c:v>93.83925031003406</c:v>
                </c:pt>
                <c:pt idx="6">
                  <c:v>110.44619769428392</c:v>
                </c:pt>
                <c:pt idx="7">
                  <c:v>114.41201813679463</c:v>
                </c:pt>
                <c:pt idx="8">
                  <c:v>118.63909099490627</c:v>
                </c:pt>
                <c:pt idx="9">
                  <c:v>179.23038873080864</c:v>
                </c:pt>
                <c:pt idx="10">
                  <c:v>183.74294237862904</c:v>
                </c:pt>
                <c:pt idx="11">
                  <c:v>192.48626896336577</c:v>
                </c:pt>
                <c:pt idx="12">
                  <c:v>202.98500419854574</c:v>
                </c:pt>
                <c:pt idx="13">
                  <c:v>203.81231893534886</c:v>
                </c:pt>
                <c:pt idx="14">
                  <c:v>210.19283475784354</c:v>
                </c:pt>
                <c:pt idx="15">
                  <c:v>233.84424557492238</c:v>
                </c:pt>
                <c:pt idx="16">
                  <c:v>236.02269411722838</c:v>
                </c:pt>
                <c:pt idx="17">
                  <c:v>236.94306188271548</c:v>
                </c:pt>
                <c:pt idx="18">
                  <c:v>256.23304947901528</c:v>
                </c:pt>
                <c:pt idx="19">
                  <c:v>275.00014256573019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6CD-46B9-B8D3-99D2C8AD2214}"/>
            </c:ext>
          </c:extLst>
        </c:ser>
        <c:ser>
          <c:idx val="1"/>
          <c:order val="1"/>
          <c:invertIfNegative val="0"/>
          <c:val>
            <c:numRef>
              <c:f>Лист12!$I$7:$I$26</c:f>
              <c:numCache>
                <c:formatCode>0.000</c:formatCode>
                <c:ptCount val="20"/>
                <c:pt idx="0">
                  <c:v>1.1149475508906406</c:v>
                </c:pt>
                <c:pt idx="1">
                  <c:v>2.8451869698468499</c:v>
                </c:pt>
                <c:pt idx="2">
                  <c:v>3.1427218225217572</c:v>
                </c:pt>
                <c:pt idx="3">
                  <c:v>0.52586071596418549</c:v>
                </c:pt>
                <c:pt idx="4">
                  <c:v>0.25037598330162325</c:v>
                </c:pt>
                <c:pt idx="5">
                  <c:v>1.3778975504932873</c:v>
                </c:pt>
                <c:pt idx="6">
                  <c:v>3.616938524288031</c:v>
                </c:pt>
                <c:pt idx="7">
                  <c:v>49.82834401138463</c:v>
                </c:pt>
                <c:pt idx="8">
                  <c:v>76.823776921362935</c:v>
                </c:pt>
                <c:pt idx="9">
                  <c:v>25.958160392661028</c:v>
                </c:pt>
                <c:pt idx="10">
                  <c:v>21.683976076375899</c:v>
                </c:pt>
                <c:pt idx="11">
                  <c:v>14.044405916253254</c:v>
                </c:pt>
                <c:pt idx="12">
                  <c:v>23.984400001134645</c:v>
                </c:pt>
                <c:pt idx="13">
                  <c:v>27.766466303548441</c:v>
                </c:pt>
                <c:pt idx="14">
                  <c:v>27.57398301045572</c:v>
                </c:pt>
                <c:pt idx="15">
                  <c:v>9.1599033314684561</c:v>
                </c:pt>
                <c:pt idx="16">
                  <c:v>18.38918047157577</c:v>
                </c:pt>
                <c:pt idx="17">
                  <c:v>19.989927562785397</c:v>
                </c:pt>
                <c:pt idx="18">
                  <c:v>31.760553769429862</c:v>
                </c:pt>
                <c:pt idx="19">
                  <c:v>71.58182938416229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6CD-46B9-B8D3-99D2C8AD22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810816"/>
        <c:axId val="217812352"/>
      </c:barChart>
      <c:catAx>
        <c:axId val="217810816"/>
        <c:scaling>
          <c:orientation val="minMax"/>
        </c:scaling>
        <c:delete val="0"/>
        <c:axPos val="l"/>
        <c:majorTickMark val="out"/>
        <c:minorTickMark val="none"/>
        <c:tickLblPos val="nextTo"/>
        <c:crossAx val="217812352"/>
        <c:crosses val="autoZero"/>
        <c:auto val="1"/>
        <c:lblAlgn val="ctr"/>
        <c:lblOffset val="100"/>
        <c:noMultiLvlLbl val="0"/>
      </c:catAx>
      <c:valAx>
        <c:axId val="217812352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781081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Лист13!$F$16:$F$35</c:f>
              <c:numCache>
                <c:formatCode>0.000</c:formatCode>
                <c:ptCount val="20"/>
                <c:pt idx="0">
                  <c:v>18.961321393602439</c:v>
                </c:pt>
                <c:pt idx="1">
                  <c:v>24.686834535590485</c:v>
                </c:pt>
                <c:pt idx="2">
                  <c:v>41.251720482223348</c:v>
                </c:pt>
                <c:pt idx="3">
                  <c:v>47.57281739832051</c:v>
                </c:pt>
                <c:pt idx="4">
                  <c:v>78.850148220743463</c:v>
                </c:pt>
                <c:pt idx="5">
                  <c:v>91.394241462101846</c:v>
                </c:pt>
                <c:pt idx="6">
                  <c:v>102.32950146915275</c:v>
                </c:pt>
                <c:pt idx="7">
                  <c:v>135.27397508326601</c:v>
                </c:pt>
                <c:pt idx="8">
                  <c:v>143.94380376738806</c:v>
                </c:pt>
                <c:pt idx="9">
                  <c:v>145.30377777627038</c:v>
                </c:pt>
                <c:pt idx="10">
                  <c:v>147.77530455421137</c:v>
                </c:pt>
                <c:pt idx="11">
                  <c:v>156.176154835067</c:v>
                </c:pt>
                <c:pt idx="12">
                  <c:v>173.70922256314418</c:v>
                </c:pt>
                <c:pt idx="13">
                  <c:v>189.48971977461665</c:v>
                </c:pt>
                <c:pt idx="14">
                  <c:v>191.1695004135569</c:v>
                </c:pt>
                <c:pt idx="15">
                  <c:v>194.23364001405733</c:v>
                </c:pt>
                <c:pt idx="16">
                  <c:v>202.67856036593042</c:v>
                </c:pt>
                <c:pt idx="17">
                  <c:v>202.93818956292327</c:v>
                </c:pt>
                <c:pt idx="18">
                  <c:v>227.30877187517794</c:v>
                </c:pt>
                <c:pt idx="19">
                  <c:v>258.2703110486155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D3-459F-9263-B67236BCEE65}"/>
            </c:ext>
          </c:extLst>
        </c:ser>
        <c:ser>
          <c:idx val="1"/>
          <c:order val="1"/>
          <c:invertIfNegative val="0"/>
          <c:val>
            <c:numRef>
              <c:f>Лист13!$I$16:$I$35</c:f>
              <c:numCache>
                <c:formatCode>0.000</c:formatCode>
                <c:ptCount val="20"/>
                <c:pt idx="0">
                  <c:v>0.63681126424234336</c:v>
                </c:pt>
                <c:pt idx="1">
                  <c:v>5.6984768362068188</c:v>
                </c:pt>
                <c:pt idx="2">
                  <c:v>6.5650190532617785</c:v>
                </c:pt>
                <c:pt idx="3">
                  <c:v>12.774209783170321</c:v>
                </c:pt>
                <c:pt idx="4">
                  <c:v>30.985571739151595</c:v>
                </c:pt>
                <c:pt idx="5">
                  <c:v>29.03034668829568</c:v>
                </c:pt>
                <c:pt idx="6">
                  <c:v>39.220828060793593</c:v>
                </c:pt>
                <c:pt idx="7">
                  <c:v>20.430867285416838</c:v>
                </c:pt>
                <c:pt idx="8">
                  <c:v>30.316676740343183</c:v>
                </c:pt>
                <c:pt idx="9">
                  <c:v>42.043712251925797</c:v>
                </c:pt>
                <c:pt idx="10">
                  <c:v>40.382850532646358</c:v>
                </c:pt>
                <c:pt idx="11">
                  <c:v>39.6291695570456</c:v>
                </c:pt>
                <c:pt idx="12">
                  <c:v>23.697560607922242</c:v>
                </c:pt>
                <c:pt idx="13">
                  <c:v>39.651339347073417</c:v>
                </c:pt>
                <c:pt idx="14">
                  <c:v>43.976216960630552</c:v>
                </c:pt>
                <c:pt idx="15">
                  <c:v>61.236080713069782</c:v>
                </c:pt>
                <c:pt idx="16">
                  <c:v>69.493081954668639</c:v>
                </c:pt>
                <c:pt idx="17">
                  <c:v>87.417069192521495</c:v>
                </c:pt>
                <c:pt idx="18">
                  <c:v>70.479210168540106</c:v>
                </c:pt>
                <c:pt idx="19">
                  <c:v>57.775595205265233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D3-459F-9263-B67236BCEE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973120"/>
        <c:axId val="217974656"/>
      </c:barChart>
      <c:catAx>
        <c:axId val="217973120"/>
        <c:scaling>
          <c:orientation val="minMax"/>
        </c:scaling>
        <c:delete val="0"/>
        <c:axPos val="l"/>
        <c:majorTickMark val="out"/>
        <c:minorTickMark val="none"/>
        <c:tickLblPos val="nextTo"/>
        <c:crossAx val="217974656"/>
        <c:crosses val="autoZero"/>
        <c:auto val="1"/>
        <c:lblAlgn val="ctr"/>
        <c:lblOffset val="100"/>
        <c:noMultiLvlLbl val="0"/>
      </c:catAx>
      <c:valAx>
        <c:axId val="217974656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79731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Лист14!$F$16:$F$35</c:f>
              <c:numCache>
                <c:formatCode>0.000</c:formatCode>
                <c:ptCount val="20"/>
                <c:pt idx="0">
                  <c:v>7.8077002798330755</c:v>
                </c:pt>
                <c:pt idx="1">
                  <c:v>19.821222164320609</c:v>
                </c:pt>
                <c:pt idx="2">
                  <c:v>21.942202471926638</c:v>
                </c:pt>
                <c:pt idx="3">
                  <c:v>32.869452455222238</c:v>
                </c:pt>
                <c:pt idx="4">
                  <c:v>39.50277780685667</c:v>
                </c:pt>
                <c:pt idx="5">
                  <c:v>42.722386915124723</c:v>
                </c:pt>
                <c:pt idx="6">
                  <c:v>74.851605316420432</c:v>
                </c:pt>
                <c:pt idx="7">
                  <c:v>97.816008762184097</c:v>
                </c:pt>
                <c:pt idx="8">
                  <c:v>98.604474456897961</c:v>
                </c:pt>
                <c:pt idx="9">
                  <c:v>111.99632458517821</c:v>
                </c:pt>
                <c:pt idx="10">
                  <c:v>119.35973487725286</c:v>
                </c:pt>
                <c:pt idx="11">
                  <c:v>152.943388392033</c:v>
                </c:pt>
                <c:pt idx="12">
                  <c:v>170.10066847969301</c:v>
                </c:pt>
                <c:pt idx="13">
                  <c:v>179.58747558304759</c:v>
                </c:pt>
                <c:pt idx="14">
                  <c:v>243.72797235349537</c:v>
                </c:pt>
                <c:pt idx="15">
                  <c:v>255.24386327441292</c:v>
                </c:pt>
                <c:pt idx="16">
                  <c:v>268.37573354410182</c:v>
                </c:pt>
                <c:pt idx="17">
                  <c:v>297.96808980829695</c:v>
                </c:pt>
                <c:pt idx="18">
                  <c:v>307.24145024775726</c:v>
                </c:pt>
                <c:pt idx="19">
                  <c:v>317.65554336568442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EF-4AA3-9DB9-9CFA81541A9E}"/>
            </c:ext>
          </c:extLst>
        </c:ser>
        <c:ser>
          <c:idx val="1"/>
          <c:order val="1"/>
          <c:invertIfNegative val="0"/>
          <c:val>
            <c:numRef>
              <c:f>Лист14!$I$16:$I$35</c:f>
              <c:numCache>
                <c:formatCode>0.000</c:formatCode>
                <c:ptCount val="20"/>
                <c:pt idx="0">
                  <c:v>2.7933554545651189</c:v>
                </c:pt>
                <c:pt idx="1">
                  <c:v>2.4471627955997839</c:v>
                </c:pt>
                <c:pt idx="2">
                  <c:v>15.985384177852442</c:v>
                </c:pt>
                <c:pt idx="3">
                  <c:v>16.445510632731306</c:v>
                </c:pt>
                <c:pt idx="4">
                  <c:v>24.658688039175019</c:v>
                </c:pt>
                <c:pt idx="5">
                  <c:v>44.144594208867851</c:v>
                </c:pt>
                <c:pt idx="6">
                  <c:v>22.019294177877185</c:v>
                </c:pt>
                <c:pt idx="7">
                  <c:v>26.092129890724252</c:v>
                </c:pt>
                <c:pt idx="8">
                  <c:v>26.122466556594262</c:v>
                </c:pt>
                <c:pt idx="9">
                  <c:v>26.818169646003511</c:v>
                </c:pt>
                <c:pt idx="10">
                  <c:v>29.584942924106429</c:v>
                </c:pt>
                <c:pt idx="11">
                  <c:v>3.4192489537361723</c:v>
                </c:pt>
                <c:pt idx="12">
                  <c:v>38.011169466638165</c:v>
                </c:pt>
                <c:pt idx="13">
                  <c:v>36.8075750456008</c:v>
                </c:pt>
                <c:pt idx="14">
                  <c:v>7.7626145502757424</c:v>
                </c:pt>
                <c:pt idx="15">
                  <c:v>14.728519665011646</c:v>
                </c:pt>
                <c:pt idx="16">
                  <c:v>19.495200889204455</c:v>
                </c:pt>
                <c:pt idx="17">
                  <c:v>17.364797173081911</c:v>
                </c:pt>
                <c:pt idx="18">
                  <c:v>15.560527579886298</c:v>
                </c:pt>
                <c:pt idx="19">
                  <c:v>9.0504614450094323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EF-4AA3-9DB9-9CFA8154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143360"/>
        <c:axId val="218157440"/>
      </c:barChart>
      <c:catAx>
        <c:axId val="218143360"/>
        <c:scaling>
          <c:orientation val="minMax"/>
        </c:scaling>
        <c:delete val="0"/>
        <c:axPos val="l"/>
        <c:majorTickMark val="out"/>
        <c:minorTickMark val="none"/>
        <c:tickLblPos val="nextTo"/>
        <c:crossAx val="218157440"/>
        <c:crosses val="autoZero"/>
        <c:auto val="1"/>
        <c:lblAlgn val="ctr"/>
        <c:lblOffset val="100"/>
        <c:noMultiLvlLbl val="0"/>
      </c:catAx>
      <c:valAx>
        <c:axId val="218157440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814336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Лист15!$F$16:$F$35</c:f>
              <c:numCache>
                <c:formatCode>0.000</c:formatCode>
                <c:ptCount val="20"/>
                <c:pt idx="0">
                  <c:v>6.0124866107496269</c:v>
                </c:pt>
                <c:pt idx="1">
                  <c:v>21.844575915675307</c:v>
                </c:pt>
                <c:pt idx="2">
                  <c:v>34.197534963536818</c:v>
                </c:pt>
                <c:pt idx="3">
                  <c:v>35.958260445054911</c:v>
                </c:pt>
                <c:pt idx="4">
                  <c:v>72.783742133075549</c:v>
                </c:pt>
                <c:pt idx="5">
                  <c:v>116.77469768505918</c:v>
                </c:pt>
                <c:pt idx="6">
                  <c:v>139.21792742064812</c:v>
                </c:pt>
                <c:pt idx="7">
                  <c:v>210.17451684399299</c:v>
                </c:pt>
                <c:pt idx="8">
                  <c:v>213.78789239390676</c:v>
                </c:pt>
                <c:pt idx="9">
                  <c:v>251.16129184420947</c:v>
                </c:pt>
                <c:pt idx="10">
                  <c:v>269.64393823881005</c:v>
                </c:pt>
                <c:pt idx="11">
                  <c:v>281.47495105049956</c:v>
                </c:pt>
                <c:pt idx="12">
                  <c:v>370.81766523472828</c:v>
                </c:pt>
                <c:pt idx="13">
                  <c:v>433.43456524525561</c:v>
                </c:pt>
                <c:pt idx="14">
                  <c:v>442.55377525341146</c:v>
                </c:pt>
                <c:pt idx="15">
                  <c:v>443.11441964293726</c:v>
                </c:pt>
                <c:pt idx="16">
                  <c:v>472.3481041846394</c:v>
                </c:pt>
                <c:pt idx="17">
                  <c:v>493.64127454881094</c:v>
                </c:pt>
                <c:pt idx="18">
                  <c:v>495.27232099787483</c:v>
                </c:pt>
                <c:pt idx="19">
                  <c:v>513.70954096138064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B3-4C03-9B7E-6F1F7CE6D086}"/>
            </c:ext>
          </c:extLst>
        </c:ser>
        <c:ser>
          <c:idx val="1"/>
          <c:order val="1"/>
          <c:invertIfNegative val="0"/>
          <c:val>
            <c:numRef>
              <c:f>Лист15!$I$16:$I$35</c:f>
              <c:numCache>
                <c:formatCode>0.000</c:formatCode>
                <c:ptCount val="20"/>
                <c:pt idx="0">
                  <c:v>5.7910436281572553</c:v>
                </c:pt>
                <c:pt idx="1">
                  <c:v>5.8122153395787564</c:v>
                </c:pt>
                <c:pt idx="2">
                  <c:v>0.81964138017603005</c:v>
                </c:pt>
                <c:pt idx="3">
                  <c:v>25.213849600711335</c:v>
                </c:pt>
                <c:pt idx="4">
                  <c:v>0.19984632044500472</c:v>
                </c:pt>
                <c:pt idx="5">
                  <c:v>3.4870200235998965</c:v>
                </c:pt>
                <c:pt idx="6">
                  <c:v>7.0211221643132262</c:v>
                </c:pt>
                <c:pt idx="7">
                  <c:v>30.549940194144</c:v>
                </c:pt>
                <c:pt idx="8">
                  <c:v>30.357956232258971</c:v>
                </c:pt>
                <c:pt idx="9">
                  <c:v>1.4426441860105115</c:v>
                </c:pt>
                <c:pt idx="10">
                  <c:v>13.858414244736252</c:v>
                </c:pt>
                <c:pt idx="11">
                  <c:v>18.066537318374913</c:v>
                </c:pt>
                <c:pt idx="12">
                  <c:v>11.348088922404486</c:v>
                </c:pt>
                <c:pt idx="13">
                  <c:v>33.400802329061435</c:v>
                </c:pt>
                <c:pt idx="14">
                  <c:v>24.787901073993737</c:v>
                </c:pt>
                <c:pt idx="15">
                  <c:v>27.252661190600008</c:v>
                </c:pt>
                <c:pt idx="16">
                  <c:v>9.6094923402267227</c:v>
                </c:pt>
                <c:pt idx="17">
                  <c:v>14.620425961284525</c:v>
                </c:pt>
                <c:pt idx="18">
                  <c:v>14.546944900850178</c:v>
                </c:pt>
                <c:pt idx="19">
                  <c:v>5.3456907983926385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B3-4C03-9B7E-6F1F7CE6D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441984"/>
        <c:axId val="218443776"/>
      </c:barChart>
      <c:catAx>
        <c:axId val="21844198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8443776"/>
        <c:crosses val="autoZero"/>
        <c:auto val="1"/>
        <c:lblAlgn val="ctr"/>
        <c:lblOffset val="100"/>
        <c:noMultiLvlLbl val="0"/>
      </c:catAx>
      <c:valAx>
        <c:axId val="218443776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844198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Лист16!$F$16:$F$35</c:f>
              <c:numCache>
                <c:formatCode>0.000</c:formatCode>
                <c:ptCount val="20"/>
                <c:pt idx="0">
                  <c:v>16.961917574105588</c:v>
                </c:pt>
                <c:pt idx="1">
                  <c:v>20.052670836250051</c:v>
                </c:pt>
                <c:pt idx="2">
                  <c:v>43.401025174272732</c:v>
                </c:pt>
                <c:pt idx="3">
                  <c:v>76.708697368755196</c:v>
                </c:pt>
                <c:pt idx="4">
                  <c:v>78.353576417636106</c:v>
                </c:pt>
                <c:pt idx="5">
                  <c:v>82.850598205200427</c:v>
                </c:pt>
                <c:pt idx="6">
                  <c:v>88.685980940895462</c:v>
                </c:pt>
                <c:pt idx="7">
                  <c:v>89.634270614276232</c:v>
                </c:pt>
                <c:pt idx="8">
                  <c:v>110.22624614689946</c:v>
                </c:pt>
                <c:pt idx="9">
                  <c:v>129.66569645172649</c:v>
                </c:pt>
                <c:pt idx="10">
                  <c:v>159.82721786639783</c:v>
                </c:pt>
                <c:pt idx="11">
                  <c:v>192.76423752514739</c:v>
                </c:pt>
                <c:pt idx="12">
                  <c:v>196.95995053704939</c:v>
                </c:pt>
                <c:pt idx="13">
                  <c:v>199.12301226367114</c:v>
                </c:pt>
                <c:pt idx="14">
                  <c:v>226.10675757706812</c:v>
                </c:pt>
                <c:pt idx="15">
                  <c:v>247.52315405324595</c:v>
                </c:pt>
                <c:pt idx="16">
                  <c:v>267.00645846393286</c:v>
                </c:pt>
                <c:pt idx="17">
                  <c:v>295.00798410922653</c:v>
                </c:pt>
                <c:pt idx="18">
                  <c:v>297.42679565696608</c:v>
                </c:pt>
                <c:pt idx="19">
                  <c:v>320.44062456267528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A3-421A-BB49-09E7731D0138}"/>
            </c:ext>
          </c:extLst>
        </c:ser>
        <c:ser>
          <c:idx val="1"/>
          <c:order val="1"/>
          <c:invertIfNegative val="0"/>
          <c:val>
            <c:numRef>
              <c:f>Лист16!$I$16:$I$35</c:f>
              <c:numCache>
                <c:formatCode>0.000</c:formatCode>
                <c:ptCount val="20"/>
                <c:pt idx="0">
                  <c:v>12.439770237122428</c:v>
                </c:pt>
                <c:pt idx="1">
                  <c:v>27.629633610403111</c:v>
                </c:pt>
                <c:pt idx="2">
                  <c:v>7.9685229667545272</c:v>
                </c:pt>
                <c:pt idx="3">
                  <c:v>16.825383153270039</c:v>
                </c:pt>
                <c:pt idx="4">
                  <c:v>25.116595565970769</c:v>
                </c:pt>
                <c:pt idx="5">
                  <c:v>31.428484580615063</c:v>
                </c:pt>
                <c:pt idx="6">
                  <c:v>32.831332856962391</c:v>
                </c:pt>
                <c:pt idx="7">
                  <c:v>46.997944672762941</c:v>
                </c:pt>
                <c:pt idx="8">
                  <c:v>37.273479337787279</c:v>
                </c:pt>
                <c:pt idx="9">
                  <c:v>32.733128716014363</c:v>
                </c:pt>
                <c:pt idx="10">
                  <c:v>10.815220189288027</c:v>
                </c:pt>
                <c:pt idx="11">
                  <c:v>14.907813529770493</c:v>
                </c:pt>
                <c:pt idx="12">
                  <c:v>15.69382195990633</c:v>
                </c:pt>
                <c:pt idx="13">
                  <c:v>22.00902438825338</c:v>
                </c:pt>
                <c:pt idx="14">
                  <c:v>2.3937865530348574</c:v>
                </c:pt>
                <c:pt idx="15">
                  <c:v>9.6023885819333259</c:v>
                </c:pt>
                <c:pt idx="16">
                  <c:v>8.25813780489284E-2</c:v>
                </c:pt>
                <c:pt idx="17">
                  <c:v>75.914874794809634</c:v>
                </c:pt>
                <c:pt idx="18">
                  <c:v>116.67954642027786</c:v>
                </c:pt>
                <c:pt idx="19">
                  <c:v>98.281209177844971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A3-421A-BB49-09E7731D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694400"/>
        <c:axId val="218695936"/>
      </c:barChart>
      <c:catAx>
        <c:axId val="21869440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8695936"/>
        <c:crosses val="autoZero"/>
        <c:auto val="1"/>
        <c:lblAlgn val="ctr"/>
        <c:lblOffset val="100"/>
        <c:noMultiLvlLbl val="0"/>
      </c:catAx>
      <c:valAx>
        <c:axId val="218695936"/>
        <c:scaling>
          <c:orientation val="minMax"/>
        </c:scaling>
        <c:delete val="0"/>
        <c:axPos val="b"/>
        <c:majorGridlines/>
        <c:numFmt formatCode="0.000" sourceLinked="1"/>
        <c:majorTickMark val="out"/>
        <c:minorTickMark val="none"/>
        <c:tickLblPos val="nextTo"/>
        <c:crossAx val="21869440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dk1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Лист19!$F$15:$F$64</c:f>
              <c:numCache>
                <c:formatCode>0.00000</c:formatCode>
                <c:ptCount val="50"/>
                <c:pt idx="0">
                  <c:v>22.03963667679761</c:v>
                </c:pt>
                <c:pt idx="1">
                  <c:v>22.4603987857143</c:v>
                </c:pt>
                <c:pt idx="2">
                  <c:v>91.832474891260119</c:v>
                </c:pt>
                <c:pt idx="3">
                  <c:v>105.90082222505366</c:v>
                </c:pt>
                <c:pt idx="4">
                  <c:v>133.22905908930392</c:v>
                </c:pt>
                <c:pt idx="5">
                  <c:v>133.77315511777601</c:v>
                </c:pt>
                <c:pt idx="6">
                  <c:v>144.20789998995559</c:v>
                </c:pt>
                <c:pt idx="7">
                  <c:v>148.82108021825195</c:v>
                </c:pt>
                <c:pt idx="8">
                  <c:v>173.47307771772208</c:v>
                </c:pt>
                <c:pt idx="9">
                  <c:v>178.35491545394399</c:v>
                </c:pt>
                <c:pt idx="10">
                  <c:v>200.3392560077323</c:v>
                </c:pt>
                <c:pt idx="11">
                  <c:v>224.23150923051085</c:v>
                </c:pt>
                <c:pt idx="12">
                  <c:v>228.50989753952263</c:v>
                </c:pt>
                <c:pt idx="13">
                  <c:v>368.98947619799674</c:v>
                </c:pt>
                <c:pt idx="14">
                  <c:v>380.25216076610479</c:v>
                </c:pt>
                <c:pt idx="15">
                  <c:v>395.55373430801995</c:v>
                </c:pt>
                <c:pt idx="16">
                  <c:v>431.61451711219348</c:v>
                </c:pt>
                <c:pt idx="17">
                  <c:v>452.50102232404163</c:v>
                </c:pt>
                <c:pt idx="18">
                  <c:v>463.6356844839342</c:v>
                </c:pt>
                <c:pt idx="19">
                  <c:v>469.9591520341267</c:v>
                </c:pt>
                <c:pt idx="20">
                  <c:v>470.98029942214976</c:v>
                </c:pt>
                <c:pt idx="21">
                  <c:v>481.55519079236484</c:v>
                </c:pt>
                <c:pt idx="22">
                  <c:v>489.97105784172334</c:v>
                </c:pt>
                <c:pt idx="23">
                  <c:v>498.24040584151959</c:v>
                </c:pt>
                <c:pt idx="24">
                  <c:v>504.96312585383106</c:v>
                </c:pt>
                <c:pt idx="25">
                  <c:v>516.28635166503557</c:v>
                </c:pt>
                <c:pt idx="26">
                  <c:v>524.8095740133017</c:v>
                </c:pt>
                <c:pt idx="27">
                  <c:v>552.94640476390214</c:v>
                </c:pt>
                <c:pt idx="28">
                  <c:v>585.58992368825602</c:v>
                </c:pt>
                <c:pt idx="29">
                  <c:v>657.02094941902658</c:v>
                </c:pt>
                <c:pt idx="30">
                  <c:v>674.35083864701596</c:v>
                </c:pt>
                <c:pt idx="31">
                  <c:v>681.8540535703637</c:v>
                </c:pt>
                <c:pt idx="32">
                  <c:v>716.48055425145799</c:v>
                </c:pt>
                <c:pt idx="33">
                  <c:v>738.4309996213351</c:v>
                </c:pt>
                <c:pt idx="34">
                  <c:v>762.36758467148525</c:v>
                </c:pt>
                <c:pt idx="35">
                  <c:v>846.12147422468183</c:v>
                </c:pt>
                <c:pt idx="36">
                  <c:v>853.16780218626263</c:v>
                </c:pt>
                <c:pt idx="37">
                  <c:v>857.24199075371473</c:v>
                </c:pt>
                <c:pt idx="38">
                  <c:v>859.10856868600365</c:v>
                </c:pt>
                <c:pt idx="39">
                  <c:v>869.00296980471524</c:v>
                </c:pt>
                <c:pt idx="40">
                  <c:v>882.47492077688946</c:v>
                </c:pt>
                <c:pt idx="41">
                  <c:v>913.6295972194747</c:v>
                </c:pt>
                <c:pt idx="42">
                  <c:v>919.08858695749916</c:v>
                </c:pt>
                <c:pt idx="43">
                  <c:v>921.05322728904571</c:v>
                </c:pt>
                <c:pt idx="44">
                  <c:v>923.45017108385377</c:v>
                </c:pt>
                <c:pt idx="45">
                  <c:v>966.3928837648034</c:v>
                </c:pt>
                <c:pt idx="46">
                  <c:v>976.64433447151578</c:v>
                </c:pt>
                <c:pt idx="47">
                  <c:v>990.08757596324119</c:v>
                </c:pt>
                <c:pt idx="48">
                  <c:v>1016.8836158221188</c:v>
                </c:pt>
                <c:pt idx="49">
                  <c:v>1023.3210263875453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DF-4771-A216-0FAA50996EC9}"/>
            </c:ext>
          </c:extLst>
        </c:ser>
        <c:ser>
          <c:idx val="1"/>
          <c:order val="1"/>
          <c:invertIfNegative val="0"/>
          <c:val>
            <c:numRef>
              <c:f>Лист19!$J$15:$J$64</c:f>
              <c:numCache>
                <c:formatCode>0.00000</c:formatCode>
                <c:ptCount val="50"/>
                <c:pt idx="0">
                  <c:v>2.722615434099751E-2</c:v>
                </c:pt>
                <c:pt idx="1">
                  <c:v>36.082625685812701</c:v>
                </c:pt>
                <c:pt idx="2">
                  <c:v>44.989445828754839</c:v>
                </c:pt>
                <c:pt idx="3">
                  <c:v>37.057505168322891</c:v>
                </c:pt>
                <c:pt idx="4">
                  <c:v>40.871547843285271</c:v>
                </c:pt>
                <c:pt idx="5">
                  <c:v>66.285425931439448</c:v>
                </c:pt>
                <c:pt idx="6">
                  <c:v>68.371433542748548</c:v>
                </c:pt>
                <c:pt idx="7">
                  <c:v>184.66312676897451</c:v>
                </c:pt>
                <c:pt idx="8">
                  <c:v>164.69067762744939</c:v>
                </c:pt>
                <c:pt idx="9">
                  <c:v>204.1911209360681</c:v>
                </c:pt>
                <c:pt idx="10">
                  <c:v>189.73748472438544</c:v>
                </c:pt>
                <c:pt idx="11">
                  <c:v>200.65150571942499</c:v>
                </c:pt>
                <c:pt idx="12">
                  <c:v>238.89966877215289</c:v>
                </c:pt>
                <c:pt idx="13">
                  <c:v>104.31147806554907</c:v>
                </c:pt>
                <c:pt idx="14">
                  <c:v>102.17981368601295</c:v>
                </c:pt>
                <c:pt idx="15">
                  <c:v>101.98119121814818</c:v>
                </c:pt>
                <c:pt idx="16">
                  <c:v>92.338878295417942</c:v>
                </c:pt>
                <c:pt idx="17">
                  <c:v>72.24748522150071</c:v>
                </c:pt>
                <c:pt idx="18">
                  <c:v>83.812913592596772</c:v>
                </c:pt>
                <c:pt idx="19">
                  <c:v>91.350836017577365</c:v>
                </c:pt>
                <c:pt idx="20">
                  <c:v>103.46111434193688</c:v>
                </c:pt>
                <c:pt idx="21">
                  <c:v>94.381592535580751</c:v>
                </c:pt>
                <c:pt idx="22">
                  <c:v>88.710619158741792</c:v>
                </c:pt>
                <c:pt idx="23">
                  <c:v>113.74461102476954</c:v>
                </c:pt>
                <c:pt idx="24">
                  <c:v>108.50727166595442</c:v>
                </c:pt>
                <c:pt idx="25">
                  <c:v>108.73485275088819</c:v>
                </c:pt>
                <c:pt idx="26">
                  <c:v>114.10060618946886</c:v>
                </c:pt>
                <c:pt idx="27">
                  <c:v>93.803054392299828</c:v>
                </c:pt>
                <c:pt idx="28">
                  <c:v>85.864014347670491</c:v>
                </c:pt>
                <c:pt idx="29">
                  <c:v>22.578379630767245</c:v>
                </c:pt>
                <c:pt idx="30">
                  <c:v>77.307112115434165</c:v>
                </c:pt>
                <c:pt idx="31">
                  <c:v>74.305538394497489</c:v>
                </c:pt>
                <c:pt idx="32">
                  <c:v>74.732527991245092</c:v>
                </c:pt>
                <c:pt idx="33">
                  <c:v>58.899213889465045</c:v>
                </c:pt>
                <c:pt idx="34">
                  <c:v>45.271055814931174</c:v>
                </c:pt>
                <c:pt idx="35">
                  <c:v>2.5205481259796443</c:v>
                </c:pt>
                <c:pt idx="36">
                  <c:v>11.628424404580642</c:v>
                </c:pt>
                <c:pt idx="37">
                  <c:v>34.021986765590668</c:v>
                </c:pt>
                <c:pt idx="38">
                  <c:v>77.849454220164034</c:v>
                </c:pt>
                <c:pt idx="39">
                  <c:v>88.132006141559941</c:v>
                </c:pt>
                <c:pt idx="40">
                  <c:v>83.21943223408573</c:v>
                </c:pt>
                <c:pt idx="41">
                  <c:v>78.838719969063732</c:v>
                </c:pt>
                <c:pt idx="42">
                  <c:v>74.926358988457309</c:v>
                </c:pt>
                <c:pt idx="43">
                  <c:v>80.879202934527029</c:v>
                </c:pt>
                <c:pt idx="44">
                  <c:v>81.886462029672657</c:v>
                </c:pt>
                <c:pt idx="45">
                  <c:v>49.78810474662157</c:v>
                </c:pt>
                <c:pt idx="46">
                  <c:v>39.700097599702531</c:v>
                </c:pt>
                <c:pt idx="47">
                  <c:v>47.701732729121318</c:v>
                </c:pt>
                <c:pt idx="48">
                  <c:v>46.43153261816019</c:v>
                </c:pt>
                <c:pt idx="49">
                  <c:v>62.077843189924351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DF-4771-A216-0FAA50996E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8795008"/>
        <c:axId val="218813184"/>
      </c:barChart>
      <c:catAx>
        <c:axId val="218795008"/>
        <c:scaling>
          <c:orientation val="minMax"/>
        </c:scaling>
        <c:delete val="0"/>
        <c:axPos val="l"/>
        <c:minorGridlines/>
        <c:majorTickMark val="out"/>
        <c:minorTickMark val="none"/>
        <c:tickLblPos val="nextTo"/>
        <c:crossAx val="218813184"/>
        <c:crosses val="autoZero"/>
        <c:auto val="1"/>
        <c:lblAlgn val="ctr"/>
        <c:lblOffset val="100"/>
        <c:noMultiLvlLbl val="0"/>
      </c:catAx>
      <c:valAx>
        <c:axId val="218813184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2187950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Лист20!$F$15:$F$54</c:f>
              <c:numCache>
                <c:formatCode>0.00000</c:formatCode>
                <c:ptCount val="40"/>
                <c:pt idx="0">
                  <c:v>106.87295153839311</c:v>
                </c:pt>
                <c:pt idx="1">
                  <c:v>124.82102134230607</c:v>
                </c:pt>
                <c:pt idx="2">
                  <c:v>151.25245329412866</c:v>
                </c:pt>
                <c:pt idx="3">
                  <c:v>157.47953481570312</c:v>
                </c:pt>
                <c:pt idx="4">
                  <c:v>182.04525377877937</c:v>
                </c:pt>
                <c:pt idx="5">
                  <c:v>184.11164801594518</c:v>
                </c:pt>
                <c:pt idx="6">
                  <c:v>264.4372739197612</c:v>
                </c:pt>
                <c:pt idx="7">
                  <c:v>277.68848767805832</c:v>
                </c:pt>
                <c:pt idx="8">
                  <c:v>284.29660330292029</c:v>
                </c:pt>
                <c:pt idx="9">
                  <c:v>323.24040652562792</c:v>
                </c:pt>
                <c:pt idx="10">
                  <c:v>361.96836896156879</c:v>
                </c:pt>
                <c:pt idx="11">
                  <c:v>363.00424498548239</c:v>
                </c:pt>
                <c:pt idx="12">
                  <c:v>363.5066589843143</c:v>
                </c:pt>
                <c:pt idx="13">
                  <c:v>426.61441587313504</c:v>
                </c:pt>
                <c:pt idx="14">
                  <c:v>428.25010983101981</c:v>
                </c:pt>
                <c:pt idx="15">
                  <c:v>448.10743602830854</c:v>
                </c:pt>
                <c:pt idx="16">
                  <c:v>478.05307639408647</c:v>
                </c:pt>
                <c:pt idx="17">
                  <c:v>516.14832737850406</c:v>
                </c:pt>
                <c:pt idx="18">
                  <c:v>519.53978988033839</c:v>
                </c:pt>
                <c:pt idx="19">
                  <c:v>520.28369462184003</c:v>
                </c:pt>
                <c:pt idx="20">
                  <c:v>522.78758544524953</c:v>
                </c:pt>
                <c:pt idx="21">
                  <c:v>551.14412740353112</c:v>
                </c:pt>
                <c:pt idx="22">
                  <c:v>628.0837237974813</c:v>
                </c:pt>
                <c:pt idx="23">
                  <c:v>682.08140348804284</c:v>
                </c:pt>
                <c:pt idx="24">
                  <c:v>689.91412742098066</c:v>
                </c:pt>
                <c:pt idx="25">
                  <c:v>704.1678558208439</c:v>
                </c:pt>
                <c:pt idx="26">
                  <c:v>714.1359972975996</c:v>
                </c:pt>
                <c:pt idx="27">
                  <c:v>715.78344408432338</c:v>
                </c:pt>
                <c:pt idx="28">
                  <c:v>722.75280185079839</c:v>
                </c:pt>
                <c:pt idx="29">
                  <c:v>727.75498167538638</c:v>
                </c:pt>
                <c:pt idx="30">
                  <c:v>738.23619233041234</c:v>
                </c:pt>
                <c:pt idx="31">
                  <c:v>747.86278847188476</c:v>
                </c:pt>
                <c:pt idx="32">
                  <c:v>778.88729489449076</c:v>
                </c:pt>
                <c:pt idx="33">
                  <c:v>779.02449643016985</c:v>
                </c:pt>
                <c:pt idx="34">
                  <c:v>785.40645670242543</c:v>
                </c:pt>
                <c:pt idx="35">
                  <c:v>788.12824038970575</c:v>
                </c:pt>
                <c:pt idx="36">
                  <c:v>820.8668876126012</c:v>
                </c:pt>
                <c:pt idx="37">
                  <c:v>833.33261264536395</c:v>
                </c:pt>
                <c:pt idx="38">
                  <c:v>841.57333983483068</c:v>
                </c:pt>
                <c:pt idx="39">
                  <c:v>849.79115096873272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88-4ADE-9CB2-7AE397221AC8}"/>
            </c:ext>
          </c:extLst>
        </c:ser>
        <c:ser>
          <c:idx val="1"/>
          <c:order val="1"/>
          <c:invertIfNegative val="0"/>
          <c:val>
            <c:numRef>
              <c:f>Лист20!$J$15:$J$54</c:f>
              <c:numCache>
                <c:formatCode>0.00000</c:formatCode>
                <c:ptCount val="40"/>
                <c:pt idx="0">
                  <c:v>7.6811162670651072</c:v>
                </c:pt>
                <c:pt idx="1">
                  <c:v>14.853255715145536</c:v>
                </c:pt>
                <c:pt idx="2">
                  <c:v>1.0260119807236379</c:v>
                </c:pt>
                <c:pt idx="3">
                  <c:v>64.939018185423834</c:v>
                </c:pt>
                <c:pt idx="4">
                  <c:v>41.178590158792531</c:v>
                </c:pt>
                <c:pt idx="5">
                  <c:v>40.788966787296118</c:v>
                </c:pt>
                <c:pt idx="6">
                  <c:v>3.5402114967267835</c:v>
                </c:pt>
                <c:pt idx="7">
                  <c:v>31.875962985416948</c:v>
                </c:pt>
                <c:pt idx="8">
                  <c:v>41.098930627982099</c:v>
                </c:pt>
                <c:pt idx="9">
                  <c:v>32.870279465925364</c:v>
                </c:pt>
                <c:pt idx="10">
                  <c:v>19.652369472434202</c:v>
                </c:pt>
                <c:pt idx="11">
                  <c:v>75.207781510244672</c:v>
                </c:pt>
                <c:pt idx="12">
                  <c:v>91.148556806793749</c:v>
                </c:pt>
                <c:pt idx="13">
                  <c:v>41.253018636472348</c:v>
                </c:pt>
                <c:pt idx="14">
                  <c:v>72.215627425385946</c:v>
                </c:pt>
                <c:pt idx="15">
                  <c:v>93.798704496160838</c:v>
                </c:pt>
                <c:pt idx="16">
                  <c:v>99.827964588898794</c:v>
                </c:pt>
                <c:pt idx="17">
                  <c:v>65.807638705280624</c:v>
                </c:pt>
                <c:pt idx="18">
                  <c:v>67.010454323422209</c:v>
                </c:pt>
                <c:pt idx="19">
                  <c:v>118.77494825635142</c:v>
                </c:pt>
                <c:pt idx="20">
                  <c:v>129.88187686617118</c:v>
                </c:pt>
                <c:pt idx="21">
                  <c:v>110.41962464109417</c:v>
                </c:pt>
                <c:pt idx="22">
                  <c:v>44.778663369001379</c:v>
                </c:pt>
                <c:pt idx="23">
                  <c:v>5.6093442114339496</c:v>
                </c:pt>
                <c:pt idx="24">
                  <c:v>68.341661912196969</c:v>
                </c:pt>
                <c:pt idx="25">
                  <c:v>78.124551689330588</c:v>
                </c:pt>
                <c:pt idx="26">
                  <c:v>95.853530868831285</c:v>
                </c:pt>
                <c:pt idx="27">
                  <c:v>97.364593450960228</c:v>
                </c:pt>
                <c:pt idx="28">
                  <c:v>111.83408211360552</c:v>
                </c:pt>
                <c:pt idx="29">
                  <c:v>108.74264003854864</c:v>
                </c:pt>
                <c:pt idx="30">
                  <c:v>107.92643463848901</c:v>
                </c:pt>
                <c:pt idx="31">
                  <c:v>106.335069797203</c:v>
                </c:pt>
                <c:pt idx="32">
                  <c:v>87.210227948509555</c:v>
                </c:pt>
                <c:pt idx="33">
                  <c:v>120.9987354049656</c:v>
                </c:pt>
                <c:pt idx="34">
                  <c:v>160.53157487811029</c:v>
                </c:pt>
                <c:pt idx="35">
                  <c:v>167.36582999745042</c:v>
                </c:pt>
                <c:pt idx="36">
                  <c:v>140.22292884557896</c:v>
                </c:pt>
                <c:pt idx="37">
                  <c:v>128.8153469545465</c:v>
                </c:pt>
                <c:pt idx="38">
                  <c:v>125.22798034213758</c:v>
                </c:pt>
                <c:pt idx="39">
                  <c:v>120.67588690753428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88-4ADE-9CB2-7AE397221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overlap val="100"/>
        <c:axId val="219031040"/>
        <c:axId val="219032576"/>
      </c:barChart>
      <c:catAx>
        <c:axId val="219031040"/>
        <c:scaling>
          <c:orientation val="minMax"/>
        </c:scaling>
        <c:delete val="0"/>
        <c:axPos val="l"/>
        <c:majorGridlines/>
        <c:majorTickMark val="none"/>
        <c:minorTickMark val="none"/>
        <c:tickLblPos val="nextTo"/>
        <c:crossAx val="219032576"/>
        <c:crosses val="autoZero"/>
        <c:auto val="1"/>
        <c:lblAlgn val="ctr"/>
        <c:lblOffset val="100"/>
        <c:noMultiLvlLbl val="0"/>
      </c:catAx>
      <c:valAx>
        <c:axId val="219032576"/>
        <c:scaling>
          <c:orientation val="minMax"/>
        </c:scaling>
        <c:delete val="0"/>
        <c:axPos val="b"/>
        <c:majorGridlines/>
        <c:numFmt formatCode="0.00000" sourceLinked="1"/>
        <c:majorTickMark val="none"/>
        <c:minorTickMark val="none"/>
        <c:tickLblPos val="nextTo"/>
        <c:spPr>
          <a:ln w="9525">
            <a:noFill/>
          </a:ln>
        </c:spPr>
        <c:crossAx val="21903104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Лист21!$F$15:$F$50</c:f>
              <c:numCache>
                <c:formatCode>0.00000</c:formatCode>
                <c:ptCount val="36"/>
                <c:pt idx="0">
                  <c:v>106.66064843417568</c:v>
                </c:pt>
                <c:pt idx="1">
                  <c:v>132.23684425987514</c:v>
                </c:pt>
                <c:pt idx="2">
                  <c:v>181.84184968742363</c:v>
                </c:pt>
                <c:pt idx="3">
                  <c:v>198.58281523732128</c:v>
                </c:pt>
                <c:pt idx="4">
                  <c:v>267.40932324334631</c:v>
                </c:pt>
                <c:pt idx="5">
                  <c:v>302.68286961498632</c:v>
                </c:pt>
                <c:pt idx="6">
                  <c:v>305.98798489772042</c:v>
                </c:pt>
                <c:pt idx="7">
                  <c:v>307.05238509849937</c:v>
                </c:pt>
                <c:pt idx="8">
                  <c:v>323.68813697520585</c:v>
                </c:pt>
                <c:pt idx="9">
                  <c:v>336.16674000446994</c:v>
                </c:pt>
                <c:pt idx="10">
                  <c:v>353.20683479935673</c:v>
                </c:pt>
                <c:pt idx="11">
                  <c:v>368.97743947567341</c:v>
                </c:pt>
                <c:pt idx="12">
                  <c:v>404.44667665426374</c:v>
                </c:pt>
                <c:pt idx="13">
                  <c:v>440.31445264061841</c:v>
                </c:pt>
                <c:pt idx="14">
                  <c:v>456.40867177976463</c:v>
                </c:pt>
                <c:pt idx="15">
                  <c:v>485.34402593069512</c:v>
                </c:pt>
                <c:pt idx="16">
                  <c:v>486.25569005555928</c:v>
                </c:pt>
                <c:pt idx="17">
                  <c:v>487.72855726853669</c:v>
                </c:pt>
                <c:pt idx="18">
                  <c:v>508.20195483694067</c:v>
                </c:pt>
                <c:pt idx="19">
                  <c:v>517.63012518518417</c:v>
                </c:pt>
                <c:pt idx="20">
                  <c:v>579.3937240739109</c:v>
                </c:pt>
                <c:pt idx="21">
                  <c:v>604.83396812262458</c:v>
                </c:pt>
                <c:pt idx="22">
                  <c:v>607.23301658733556</c:v>
                </c:pt>
                <c:pt idx="23">
                  <c:v>639.79122038150422</c:v>
                </c:pt>
                <c:pt idx="24">
                  <c:v>682.50072822271807</c:v>
                </c:pt>
                <c:pt idx="25">
                  <c:v>688.53813722413554</c:v>
                </c:pt>
                <c:pt idx="26">
                  <c:v>705.2261727831534</c:v>
                </c:pt>
                <c:pt idx="27">
                  <c:v>705.49557567711975</c:v>
                </c:pt>
                <c:pt idx="28">
                  <c:v>707.30404301035981</c:v>
                </c:pt>
                <c:pt idx="29">
                  <c:v>712.57564495005261</c:v>
                </c:pt>
                <c:pt idx="30">
                  <c:v>715.39856481679305</c:v>
                </c:pt>
                <c:pt idx="31">
                  <c:v>769.11522378073755</c:v>
                </c:pt>
                <c:pt idx="32">
                  <c:v>774.22109332170589</c:v>
                </c:pt>
                <c:pt idx="33">
                  <c:v>776.93192359660895</c:v>
                </c:pt>
                <c:pt idx="34">
                  <c:v>779.81423243525705</c:v>
                </c:pt>
                <c:pt idx="35">
                  <c:v>796.52115087228231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B0-4198-A7B5-2CBE8CE49023}"/>
            </c:ext>
          </c:extLst>
        </c:ser>
        <c:ser>
          <c:idx val="1"/>
          <c:order val="1"/>
          <c:invertIfNegative val="0"/>
          <c:val>
            <c:numRef>
              <c:f>Лист21!$J$15:$J$50</c:f>
              <c:numCache>
                <c:formatCode>0.00000</c:formatCode>
                <c:ptCount val="36"/>
                <c:pt idx="0">
                  <c:v>101.99158742561714</c:v>
                </c:pt>
                <c:pt idx="1">
                  <c:v>76.817147955132839</c:v>
                </c:pt>
                <c:pt idx="2">
                  <c:v>74.754847303828626</c:v>
                </c:pt>
                <c:pt idx="3">
                  <c:v>81.013921114819681</c:v>
                </c:pt>
                <c:pt idx="4">
                  <c:v>32.036454056533842</c:v>
                </c:pt>
                <c:pt idx="5">
                  <c:v>59.486151379773389</c:v>
                </c:pt>
                <c:pt idx="6">
                  <c:v>70.125847399646204</c:v>
                </c:pt>
                <c:pt idx="7">
                  <c:v>69.858571676194231</c:v>
                </c:pt>
                <c:pt idx="8">
                  <c:v>90.906814464797606</c:v>
                </c:pt>
                <c:pt idx="9">
                  <c:v>84.906237991097726</c:v>
                </c:pt>
                <c:pt idx="10">
                  <c:v>69.313756080934127</c:v>
                </c:pt>
                <c:pt idx="11">
                  <c:v>106.21330881757865</c:v>
                </c:pt>
                <c:pt idx="12">
                  <c:v>99.605836775183604</c:v>
                </c:pt>
                <c:pt idx="13">
                  <c:v>82.092277864557275</c:v>
                </c:pt>
                <c:pt idx="14">
                  <c:v>72.734187060334989</c:v>
                </c:pt>
                <c:pt idx="15">
                  <c:v>52.885899977718964</c:v>
                </c:pt>
                <c:pt idx="16">
                  <c:v>85.148485504877726</c:v>
                </c:pt>
                <c:pt idx="17">
                  <c:v>160.77867710356003</c:v>
                </c:pt>
                <c:pt idx="18">
                  <c:v>230.51881020448207</c:v>
                </c:pt>
                <c:pt idx="19">
                  <c:v>225.11512601210768</c:v>
                </c:pt>
                <c:pt idx="20">
                  <c:v>186.51182250880186</c:v>
                </c:pt>
                <c:pt idx="21">
                  <c:v>163.24703975830005</c:v>
                </c:pt>
                <c:pt idx="22">
                  <c:v>178.30934135819359</c:v>
                </c:pt>
                <c:pt idx="23">
                  <c:v>150.36506685222128</c:v>
                </c:pt>
                <c:pt idx="24">
                  <c:v>161.71420779883238</c:v>
                </c:pt>
                <c:pt idx="25">
                  <c:v>168.80083553106249</c:v>
                </c:pt>
                <c:pt idx="26">
                  <c:v>155.15996222786475</c:v>
                </c:pt>
                <c:pt idx="27">
                  <c:v>194.79395078338814</c:v>
                </c:pt>
                <c:pt idx="28">
                  <c:v>207.57856033018516</c:v>
                </c:pt>
                <c:pt idx="29">
                  <c:v>221.22543632645659</c:v>
                </c:pt>
                <c:pt idx="30">
                  <c:v>221.34674462311432</c:v>
                </c:pt>
                <c:pt idx="31">
                  <c:v>169.66619744198908</c:v>
                </c:pt>
                <c:pt idx="32">
                  <c:v>230.03547789570689</c:v>
                </c:pt>
                <c:pt idx="33">
                  <c:v>232.8640906052658</c:v>
                </c:pt>
                <c:pt idx="34">
                  <c:v>242.0336512020906</c:v>
                </c:pt>
                <c:pt idx="35">
                  <c:v>235.09375872303485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BB0-4198-A7B5-2CBE8CE49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203072"/>
        <c:axId val="219204608"/>
      </c:barChart>
      <c:catAx>
        <c:axId val="219203072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9204608"/>
        <c:crosses val="autoZero"/>
        <c:auto val="1"/>
        <c:lblAlgn val="ctr"/>
        <c:lblOffset val="100"/>
        <c:noMultiLvlLbl val="0"/>
      </c:catAx>
      <c:valAx>
        <c:axId val="219204608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219203072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5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Лист22!$F$15:$F$64</c:f>
              <c:numCache>
                <c:formatCode>0.00000</c:formatCode>
                <c:ptCount val="50"/>
                <c:pt idx="0">
                  <c:v>4.6355546318887235</c:v>
                </c:pt>
                <c:pt idx="1">
                  <c:v>58.567781556121965</c:v>
                </c:pt>
                <c:pt idx="2">
                  <c:v>61.74709345654658</c:v>
                </c:pt>
                <c:pt idx="3">
                  <c:v>62.417968156455245</c:v>
                </c:pt>
                <c:pt idx="4">
                  <c:v>84.621645110094676</c:v>
                </c:pt>
                <c:pt idx="5">
                  <c:v>96.130327073835772</c:v>
                </c:pt>
                <c:pt idx="6">
                  <c:v>105.47499200516006</c:v>
                </c:pt>
                <c:pt idx="7">
                  <c:v>105.503564370033</c:v>
                </c:pt>
                <c:pt idx="8">
                  <c:v>142.2384503197294</c:v>
                </c:pt>
                <c:pt idx="9">
                  <c:v>235.35148032417749</c:v>
                </c:pt>
                <c:pt idx="10">
                  <c:v>257.94563663589253</c:v>
                </c:pt>
                <c:pt idx="11">
                  <c:v>285.68720419770619</c:v>
                </c:pt>
                <c:pt idx="12">
                  <c:v>299.28385018779608</c:v>
                </c:pt>
                <c:pt idx="13">
                  <c:v>310.91191634373121</c:v>
                </c:pt>
                <c:pt idx="14">
                  <c:v>319.90883444792848</c:v>
                </c:pt>
                <c:pt idx="15">
                  <c:v>322.8241440507129</c:v>
                </c:pt>
                <c:pt idx="16">
                  <c:v>350.69397365650963</c:v>
                </c:pt>
                <c:pt idx="17">
                  <c:v>368.63215278614939</c:v>
                </c:pt>
                <c:pt idx="18">
                  <c:v>368.96286692960234</c:v>
                </c:pt>
                <c:pt idx="19">
                  <c:v>370.10491619207198</c:v>
                </c:pt>
                <c:pt idx="20">
                  <c:v>386.66419243445449</c:v>
                </c:pt>
                <c:pt idx="21">
                  <c:v>446.46939237787137</c:v>
                </c:pt>
                <c:pt idx="22">
                  <c:v>472.25670571930112</c:v>
                </c:pt>
                <c:pt idx="23">
                  <c:v>481.13354394849358</c:v>
                </c:pt>
                <c:pt idx="24">
                  <c:v>507.23606463554245</c:v>
                </c:pt>
                <c:pt idx="25">
                  <c:v>512.35763554225286</c:v>
                </c:pt>
                <c:pt idx="26">
                  <c:v>600.18369054059815</c:v>
                </c:pt>
                <c:pt idx="27">
                  <c:v>618.44964450281327</c:v>
                </c:pt>
                <c:pt idx="28">
                  <c:v>625.77612471079726</c:v>
                </c:pt>
                <c:pt idx="29">
                  <c:v>634.29777416478225</c:v>
                </c:pt>
                <c:pt idx="30">
                  <c:v>643.12420007847311</c:v>
                </c:pt>
                <c:pt idx="31">
                  <c:v>672.46731973115436</c:v>
                </c:pt>
                <c:pt idx="32">
                  <c:v>677.99735022200628</c:v>
                </c:pt>
                <c:pt idx="33">
                  <c:v>703.77855067655264</c:v>
                </c:pt>
                <c:pt idx="34">
                  <c:v>705.76024582423747</c:v>
                </c:pt>
                <c:pt idx="35">
                  <c:v>706.33534435695776</c:v>
                </c:pt>
                <c:pt idx="36">
                  <c:v>710.20446421345332</c:v>
                </c:pt>
                <c:pt idx="37">
                  <c:v>740.84114609899098</c:v>
                </c:pt>
                <c:pt idx="38">
                  <c:v>748.08870018219352</c:v>
                </c:pt>
                <c:pt idx="39">
                  <c:v>748.15682172728373</c:v>
                </c:pt>
                <c:pt idx="40">
                  <c:v>775.06354933552916</c:v>
                </c:pt>
                <c:pt idx="41">
                  <c:v>780.22813918612326</c:v>
                </c:pt>
                <c:pt idx="42">
                  <c:v>801.9447082677608</c:v>
                </c:pt>
                <c:pt idx="43">
                  <c:v>830.04612699901452</c:v>
                </c:pt>
                <c:pt idx="44">
                  <c:v>837.88890021585769</c:v>
                </c:pt>
                <c:pt idx="45">
                  <c:v>846.87629819699112</c:v>
                </c:pt>
                <c:pt idx="46">
                  <c:v>849.48038970153016</c:v>
                </c:pt>
                <c:pt idx="47">
                  <c:v>854.5055826311725</c:v>
                </c:pt>
                <c:pt idx="48">
                  <c:v>902.51717281213939</c:v>
                </c:pt>
                <c:pt idx="49">
                  <c:v>916.87142785607864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5F8-4352-AD25-2E39A7B3A7C9}"/>
            </c:ext>
          </c:extLst>
        </c:ser>
        <c:ser>
          <c:idx val="1"/>
          <c:order val="1"/>
          <c:invertIfNegative val="0"/>
          <c:val>
            <c:numRef>
              <c:f>Лист22!$J$15:$J$64</c:f>
              <c:numCache>
                <c:formatCode>0.00000</c:formatCode>
                <c:ptCount val="50"/>
                <c:pt idx="0">
                  <c:v>21.666379804750136</c:v>
                </c:pt>
                <c:pt idx="1">
                  <c:v>2.9607105835548779</c:v>
                </c:pt>
                <c:pt idx="2">
                  <c:v>28.655639961171872</c:v>
                </c:pt>
                <c:pt idx="3">
                  <c:v>141.52486781183137</c:v>
                </c:pt>
                <c:pt idx="4">
                  <c:v>125.02409186519029</c:v>
                </c:pt>
                <c:pt idx="5">
                  <c:v>122.28503244477268</c:v>
                </c:pt>
                <c:pt idx="6">
                  <c:v>113.95619327788873</c:v>
                </c:pt>
                <c:pt idx="7">
                  <c:v>128.19136928300526</c:v>
                </c:pt>
                <c:pt idx="8">
                  <c:v>91.547983605561683</c:v>
                </c:pt>
                <c:pt idx="9">
                  <c:v>7.3811873624920565</c:v>
                </c:pt>
                <c:pt idx="10">
                  <c:v>25.675621778756067</c:v>
                </c:pt>
                <c:pt idx="11">
                  <c:v>11.253833983860432</c:v>
                </c:pt>
                <c:pt idx="12">
                  <c:v>18.038740119200327</c:v>
                </c:pt>
                <c:pt idx="13">
                  <c:v>12.752253427274525</c:v>
                </c:pt>
                <c:pt idx="14">
                  <c:v>13.857531312450305</c:v>
                </c:pt>
                <c:pt idx="15">
                  <c:v>27.186620866484134</c:v>
                </c:pt>
                <c:pt idx="16">
                  <c:v>13.441923805175634</c:v>
                </c:pt>
                <c:pt idx="17">
                  <c:v>13.29106364616365</c:v>
                </c:pt>
                <c:pt idx="18">
                  <c:v>20.285056315183112</c:v>
                </c:pt>
                <c:pt idx="19">
                  <c:v>163.8129380598042</c:v>
                </c:pt>
                <c:pt idx="20">
                  <c:v>172.99868646896783</c:v>
                </c:pt>
                <c:pt idx="21">
                  <c:v>120.52242324825147</c:v>
                </c:pt>
                <c:pt idx="22">
                  <c:v>112.9016984461403</c:v>
                </c:pt>
                <c:pt idx="23">
                  <c:v>122.30801013397883</c:v>
                </c:pt>
                <c:pt idx="24">
                  <c:v>127.58675039662648</c:v>
                </c:pt>
                <c:pt idx="25">
                  <c:v>157.45346051254421</c:v>
                </c:pt>
                <c:pt idx="26">
                  <c:v>91.247808948236639</c:v>
                </c:pt>
                <c:pt idx="27">
                  <c:v>74.559711643788319</c:v>
                </c:pt>
                <c:pt idx="28">
                  <c:v>85.140359589234777</c:v>
                </c:pt>
                <c:pt idx="29">
                  <c:v>95.761057439957767</c:v>
                </c:pt>
                <c:pt idx="30">
                  <c:v>100.42055186560947</c:v>
                </c:pt>
                <c:pt idx="31">
                  <c:v>100.64714260424944</c:v>
                </c:pt>
                <c:pt idx="32">
                  <c:v>98.044956584589045</c:v>
                </c:pt>
                <c:pt idx="33">
                  <c:v>72.602785532931421</c:v>
                </c:pt>
                <c:pt idx="34">
                  <c:v>73.474332138645764</c:v>
                </c:pt>
                <c:pt idx="35">
                  <c:v>82.539447459879625</c:v>
                </c:pt>
                <c:pt idx="36">
                  <c:v>110.67397670484206</c:v>
                </c:pt>
                <c:pt idx="37">
                  <c:v>134.15754645700611</c:v>
                </c:pt>
                <c:pt idx="38">
                  <c:v>143.91963028310863</c:v>
                </c:pt>
                <c:pt idx="39">
                  <c:v>155.1768577901704</c:v>
                </c:pt>
                <c:pt idx="40">
                  <c:v>165.21682335962987</c:v>
                </c:pt>
                <c:pt idx="41">
                  <c:v>170.44205110519988</c:v>
                </c:pt>
                <c:pt idx="42">
                  <c:v>163.31728803018825</c:v>
                </c:pt>
                <c:pt idx="43">
                  <c:v>162.58400135631007</c:v>
                </c:pt>
                <c:pt idx="44">
                  <c:v>161.32488500045019</c:v>
                </c:pt>
                <c:pt idx="45">
                  <c:v>152.43823808702984</c:v>
                </c:pt>
                <c:pt idx="46">
                  <c:v>155.66892148064551</c:v>
                </c:pt>
                <c:pt idx="47">
                  <c:v>179.69234672296261</c:v>
                </c:pt>
                <c:pt idx="48">
                  <c:v>203.43128973850492</c:v>
                </c:pt>
                <c:pt idx="49">
                  <c:v>210.0569775763264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F8-4352-AD25-2E39A7B3A7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7739264"/>
        <c:axId val="217740800"/>
      </c:barChart>
      <c:catAx>
        <c:axId val="217739264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7740800"/>
        <c:crosses val="autoZero"/>
        <c:auto val="1"/>
        <c:lblAlgn val="ctr"/>
        <c:lblOffset val="100"/>
        <c:noMultiLvlLbl val="0"/>
      </c:catAx>
      <c:valAx>
        <c:axId val="217740800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21773926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b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Лист22!$N$31:$N$39</c:f>
              <c:numCache>
                <c:formatCode>General</c:formatCode>
                <c:ptCount val="9"/>
                <c:pt idx="0">
                  <c:v>1</c:v>
                </c:pt>
                <c:pt idx="1">
                  <c:v>12</c:v>
                </c:pt>
                <c:pt idx="2">
                  <c:v>0</c:v>
                </c:pt>
                <c:pt idx="3">
                  <c:v>7</c:v>
                </c:pt>
                <c:pt idx="4">
                  <c:v>8</c:v>
                </c:pt>
                <c:pt idx="5">
                  <c:v>8</c:v>
                </c:pt>
                <c:pt idx="6">
                  <c:v>12</c:v>
                </c:pt>
                <c:pt idx="7">
                  <c:v>2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00-4067-86CA-89A4129C2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18895104"/>
        <c:axId val="218896640"/>
      </c:barChart>
      <c:catAx>
        <c:axId val="218895104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18896640"/>
        <c:crosses val="autoZero"/>
        <c:auto val="1"/>
        <c:lblAlgn val="ctr"/>
        <c:lblOffset val="100"/>
        <c:noMultiLvlLbl val="0"/>
      </c:catAx>
      <c:valAx>
        <c:axId val="2188966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8895104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4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Лист23!$F$15:$F$44</c:f>
              <c:numCache>
                <c:formatCode>0.00000</c:formatCode>
                <c:ptCount val="30"/>
                <c:pt idx="0">
                  <c:v>66.07070209919506</c:v>
                </c:pt>
                <c:pt idx="1">
                  <c:v>84.951162063761132</c:v>
                </c:pt>
                <c:pt idx="2">
                  <c:v>95.629038485830264</c:v>
                </c:pt>
                <c:pt idx="3">
                  <c:v>164.82653611597777</c:v>
                </c:pt>
                <c:pt idx="4">
                  <c:v>174.02462920432825</c:v>
                </c:pt>
                <c:pt idx="5">
                  <c:v>181.03206680344414</c:v>
                </c:pt>
                <c:pt idx="6">
                  <c:v>203.93196952659744</c:v>
                </c:pt>
                <c:pt idx="7">
                  <c:v>258.92967611427554</c:v>
                </c:pt>
                <c:pt idx="8">
                  <c:v>260.02928228059676</c:v>
                </c:pt>
                <c:pt idx="9">
                  <c:v>297.05943881989248</c:v>
                </c:pt>
                <c:pt idx="10">
                  <c:v>319.81496923157681</c:v>
                </c:pt>
                <c:pt idx="11">
                  <c:v>332.00868003561072</c:v>
                </c:pt>
                <c:pt idx="12">
                  <c:v>392.21026408730364</c:v>
                </c:pt>
                <c:pt idx="13">
                  <c:v>395.04552875539292</c:v>
                </c:pt>
                <c:pt idx="14">
                  <c:v>406.63193239518392</c:v>
                </c:pt>
                <c:pt idx="15">
                  <c:v>420.29357130070366</c:v>
                </c:pt>
                <c:pt idx="16">
                  <c:v>429.47949230817619</c:v>
                </c:pt>
                <c:pt idx="17">
                  <c:v>485.57685390383489</c:v>
                </c:pt>
                <c:pt idx="18">
                  <c:v>503.45480443739405</c:v>
                </c:pt>
                <c:pt idx="19">
                  <c:v>518.45395471751374</c:v>
                </c:pt>
                <c:pt idx="20">
                  <c:v>547.09498477379918</c:v>
                </c:pt>
                <c:pt idx="21">
                  <c:v>568.13153839183997</c:v>
                </c:pt>
                <c:pt idx="22">
                  <c:v>595.98781013297958</c:v>
                </c:pt>
                <c:pt idx="23">
                  <c:v>611.81981746095516</c:v>
                </c:pt>
                <c:pt idx="24">
                  <c:v>678.43863027137968</c:v>
                </c:pt>
                <c:pt idx="25">
                  <c:v>709.14085652628319</c:v>
                </c:pt>
                <c:pt idx="26">
                  <c:v>712.19698050944078</c:v>
                </c:pt>
                <c:pt idx="27">
                  <c:v>752.925749660679</c:v>
                </c:pt>
                <c:pt idx="28">
                  <c:v>779.30843272954769</c:v>
                </c:pt>
                <c:pt idx="29">
                  <c:v>830.59826116560691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46-4AD8-99AC-3AD28FC852F3}"/>
            </c:ext>
          </c:extLst>
        </c:ser>
        <c:ser>
          <c:idx val="1"/>
          <c:order val="1"/>
          <c:invertIfNegative val="0"/>
          <c:val>
            <c:numRef>
              <c:f>Лист23!$J$15:$J$44</c:f>
              <c:numCache>
                <c:formatCode>0.00000</c:formatCode>
                <c:ptCount val="30"/>
                <c:pt idx="0">
                  <c:v>33.052570311726086</c:v>
                </c:pt>
                <c:pt idx="1">
                  <c:v>70.290022459372295</c:v>
                </c:pt>
                <c:pt idx="2">
                  <c:v>86.017155943290149</c:v>
                </c:pt>
                <c:pt idx="3">
                  <c:v>38.516303556911623</c:v>
                </c:pt>
                <c:pt idx="4">
                  <c:v>119.37884775233718</c:v>
                </c:pt>
                <c:pt idx="5">
                  <c:v>115.00599546882603</c:v>
                </c:pt>
                <c:pt idx="6">
                  <c:v>112.48458072786619</c:v>
                </c:pt>
                <c:pt idx="7">
                  <c:v>75.094182103194839</c:v>
                </c:pt>
                <c:pt idx="8">
                  <c:v>83.99633227928814</c:v>
                </c:pt>
                <c:pt idx="9">
                  <c:v>53.660111443400581</c:v>
                </c:pt>
                <c:pt idx="10">
                  <c:v>55.50266478828587</c:v>
                </c:pt>
                <c:pt idx="11">
                  <c:v>49.87796471272577</c:v>
                </c:pt>
                <c:pt idx="12">
                  <c:v>36.675862178682792</c:v>
                </c:pt>
                <c:pt idx="13">
                  <c:v>52.790038069381012</c:v>
                </c:pt>
                <c:pt idx="14">
                  <c:v>74.787015536509784</c:v>
                </c:pt>
                <c:pt idx="15">
                  <c:v>76.544878539507749</c:v>
                </c:pt>
                <c:pt idx="16">
                  <c:v>72.434927672281049</c:v>
                </c:pt>
                <c:pt idx="17">
                  <c:v>29.605400767062349</c:v>
                </c:pt>
                <c:pt idx="18">
                  <c:v>19.588637232303881</c:v>
                </c:pt>
                <c:pt idx="19">
                  <c:v>18.091606866426218</c:v>
                </c:pt>
                <c:pt idx="20">
                  <c:v>82.600509382532664</c:v>
                </c:pt>
                <c:pt idx="21">
                  <c:v>96.390507051393115</c:v>
                </c:pt>
                <c:pt idx="22">
                  <c:v>69.007081844414643</c:v>
                </c:pt>
                <c:pt idx="23">
                  <c:v>61.784615196838104</c:v>
                </c:pt>
                <c:pt idx="24">
                  <c:v>1.9028570951352322</c:v>
                </c:pt>
                <c:pt idx="25">
                  <c:v>9.3583368717978601</c:v>
                </c:pt>
                <c:pt idx="26">
                  <c:v>31.16265212682822</c:v>
                </c:pt>
                <c:pt idx="27">
                  <c:v>10.640802579239221</c:v>
                </c:pt>
                <c:pt idx="28">
                  <c:v>9.8084834944188515E-2</c:v>
                </c:pt>
                <c:pt idx="29">
                  <c:v>17.281317064636482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46-4AD8-99AC-3AD28FC852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19692416"/>
        <c:axId val="219714688"/>
      </c:barChart>
      <c:catAx>
        <c:axId val="2196924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219714688"/>
        <c:crosses val="autoZero"/>
        <c:auto val="1"/>
        <c:lblAlgn val="ctr"/>
        <c:lblOffset val="100"/>
        <c:noMultiLvlLbl val="0"/>
      </c:catAx>
      <c:valAx>
        <c:axId val="219714688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21969241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2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6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/>
          <a:lstStyle/>
          <a:p>
            <a:pPr>
              <a:defRPr/>
            </a:pPr>
            <a:r>
              <a:rPr lang="ru-RU"/>
              <a:t>Процесс изменения количества заявок в системе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Лист23!$R$230:$R$629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4</c:v>
                </c:pt>
                <c:pt idx="18">
                  <c:v>5</c:v>
                </c:pt>
                <c:pt idx="19">
                  <c:v>6</c:v>
                </c:pt>
                <c:pt idx="20">
                  <c:v>7</c:v>
                </c:pt>
                <c:pt idx="21">
                  <c:v>8</c:v>
                </c:pt>
                <c:pt idx="22">
                  <c:v>7</c:v>
                </c:pt>
                <c:pt idx="23">
                  <c:v>6</c:v>
                </c:pt>
                <c:pt idx="24">
                  <c:v>5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2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3</c:v>
                </c:pt>
                <c:pt idx="35">
                  <c:v>2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2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2</c:v>
                </c:pt>
                <c:pt idx="44">
                  <c:v>3</c:v>
                </c:pt>
                <c:pt idx="45">
                  <c:v>4</c:v>
                </c:pt>
                <c:pt idx="46">
                  <c:v>3</c:v>
                </c:pt>
                <c:pt idx="47">
                  <c:v>2</c:v>
                </c:pt>
                <c:pt idx="48">
                  <c:v>1</c:v>
                </c:pt>
                <c:pt idx="49">
                  <c:v>0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2</c:v>
                </c:pt>
                <c:pt idx="76">
                  <c:v>3</c:v>
                </c:pt>
                <c:pt idx="77">
                  <c:v>2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2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4</c:v>
                </c:pt>
                <c:pt idx="90">
                  <c:v>3</c:v>
                </c:pt>
                <c:pt idx="91">
                  <c:v>2</c:v>
                </c:pt>
                <c:pt idx="92">
                  <c:v>1</c:v>
                </c:pt>
                <c:pt idx="93">
                  <c:v>0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0</c:v>
                </c:pt>
                <c:pt idx="98">
                  <c:v>1</c:v>
                </c:pt>
                <c:pt idx="99">
                  <c:v>0</c:v>
                </c:pt>
                <c:pt idx="100">
                  <c:v>1</c:v>
                </c:pt>
                <c:pt idx="101">
                  <c:v>2</c:v>
                </c:pt>
                <c:pt idx="102">
                  <c:v>1</c:v>
                </c:pt>
                <c:pt idx="103">
                  <c:v>2</c:v>
                </c:pt>
                <c:pt idx="104">
                  <c:v>3</c:v>
                </c:pt>
                <c:pt idx="105">
                  <c:v>2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2</c:v>
                </c:pt>
                <c:pt idx="112">
                  <c:v>3</c:v>
                </c:pt>
                <c:pt idx="113">
                  <c:v>4</c:v>
                </c:pt>
                <c:pt idx="114">
                  <c:v>5</c:v>
                </c:pt>
                <c:pt idx="115">
                  <c:v>4</c:v>
                </c:pt>
                <c:pt idx="116">
                  <c:v>3</c:v>
                </c:pt>
                <c:pt idx="117">
                  <c:v>2</c:v>
                </c:pt>
                <c:pt idx="118">
                  <c:v>1</c:v>
                </c:pt>
                <c:pt idx="119">
                  <c:v>0</c:v>
                </c:pt>
                <c:pt idx="120">
                  <c:v>1</c:v>
                </c:pt>
                <c:pt idx="121">
                  <c:v>2</c:v>
                </c:pt>
                <c:pt idx="122">
                  <c:v>3</c:v>
                </c:pt>
                <c:pt idx="123">
                  <c:v>4</c:v>
                </c:pt>
                <c:pt idx="124">
                  <c:v>3</c:v>
                </c:pt>
                <c:pt idx="125">
                  <c:v>2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2</c:v>
                </c:pt>
                <c:pt idx="138">
                  <c:v>3</c:v>
                </c:pt>
                <c:pt idx="139">
                  <c:v>2</c:v>
                </c:pt>
                <c:pt idx="140">
                  <c:v>1</c:v>
                </c:pt>
                <c:pt idx="141">
                  <c:v>0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2</c:v>
                </c:pt>
                <c:pt idx="146">
                  <c:v>3</c:v>
                </c:pt>
                <c:pt idx="147">
                  <c:v>4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6</c:v>
                </c:pt>
                <c:pt idx="152">
                  <c:v>7</c:v>
                </c:pt>
                <c:pt idx="153">
                  <c:v>8</c:v>
                </c:pt>
                <c:pt idx="154">
                  <c:v>7</c:v>
                </c:pt>
                <c:pt idx="155">
                  <c:v>6</c:v>
                </c:pt>
                <c:pt idx="156">
                  <c:v>5</c:v>
                </c:pt>
                <c:pt idx="157">
                  <c:v>6</c:v>
                </c:pt>
                <c:pt idx="158">
                  <c:v>7</c:v>
                </c:pt>
                <c:pt idx="159">
                  <c:v>8</c:v>
                </c:pt>
                <c:pt idx="160">
                  <c:v>7</c:v>
                </c:pt>
                <c:pt idx="161">
                  <c:v>6</c:v>
                </c:pt>
                <c:pt idx="162">
                  <c:v>5</c:v>
                </c:pt>
                <c:pt idx="163">
                  <c:v>4</c:v>
                </c:pt>
                <c:pt idx="164">
                  <c:v>3</c:v>
                </c:pt>
                <c:pt idx="165">
                  <c:v>4</c:v>
                </c:pt>
                <c:pt idx="166">
                  <c:v>3</c:v>
                </c:pt>
                <c:pt idx="167">
                  <c:v>2</c:v>
                </c:pt>
                <c:pt idx="168">
                  <c:v>3</c:v>
                </c:pt>
                <c:pt idx="169">
                  <c:v>2</c:v>
                </c:pt>
                <c:pt idx="170">
                  <c:v>1</c:v>
                </c:pt>
                <c:pt idx="171">
                  <c:v>0</c:v>
                </c:pt>
                <c:pt idx="172">
                  <c:v>1</c:v>
                </c:pt>
                <c:pt idx="173">
                  <c:v>2</c:v>
                </c:pt>
                <c:pt idx="174">
                  <c:v>3</c:v>
                </c:pt>
                <c:pt idx="175">
                  <c:v>4</c:v>
                </c:pt>
                <c:pt idx="176">
                  <c:v>3</c:v>
                </c:pt>
                <c:pt idx="177">
                  <c:v>4</c:v>
                </c:pt>
                <c:pt idx="178">
                  <c:v>3</c:v>
                </c:pt>
                <c:pt idx="179">
                  <c:v>4</c:v>
                </c:pt>
                <c:pt idx="180">
                  <c:v>5</c:v>
                </c:pt>
                <c:pt idx="181">
                  <c:v>6</c:v>
                </c:pt>
                <c:pt idx="182">
                  <c:v>5</c:v>
                </c:pt>
                <c:pt idx="183">
                  <c:v>6</c:v>
                </c:pt>
                <c:pt idx="184">
                  <c:v>5</c:v>
                </c:pt>
                <c:pt idx="185">
                  <c:v>4</c:v>
                </c:pt>
                <c:pt idx="186">
                  <c:v>3</c:v>
                </c:pt>
                <c:pt idx="187">
                  <c:v>4</c:v>
                </c:pt>
                <c:pt idx="188">
                  <c:v>3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4</c:v>
                </c:pt>
                <c:pt idx="194">
                  <c:v>3</c:v>
                </c:pt>
                <c:pt idx="195">
                  <c:v>2</c:v>
                </c:pt>
                <c:pt idx="196">
                  <c:v>3</c:v>
                </c:pt>
                <c:pt idx="197">
                  <c:v>2</c:v>
                </c:pt>
                <c:pt idx="198">
                  <c:v>3</c:v>
                </c:pt>
                <c:pt idx="199">
                  <c:v>2</c:v>
                </c:pt>
                <c:pt idx="200">
                  <c:v>1</c:v>
                </c:pt>
                <c:pt idx="201">
                  <c:v>2</c:v>
                </c:pt>
                <c:pt idx="202">
                  <c:v>1</c:v>
                </c:pt>
                <c:pt idx="203">
                  <c:v>0</c:v>
                </c:pt>
                <c:pt idx="204">
                  <c:v>1</c:v>
                </c:pt>
                <c:pt idx="205">
                  <c:v>0</c:v>
                </c:pt>
                <c:pt idx="206">
                  <c:v>1</c:v>
                </c:pt>
                <c:pt idx="207">
                  <c:v>2</c:v>
                </c:pt>
                <c:pt idx="208">
                  <c:v>3</c:v>
                </c:pt>
                <c:pt idx="209">
                  <c:v>2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2</c:v>
                </c:pt>
                <c:pt idx="214">
                  <c:v>3</c:v>
                </c:pt>
                <c:pt idx="215">
                  <c:v>2</c:v>
                </c:pt>
                <c:pt idx="216">
                  <c:v>3</c:v>
                </c:pt>
                <c:pt idx="217">
                  <c:v>4</c:v>
                </c:pt>
                <c:pt idx="218">
                  <c:v>5</c:v>
                </c:pt>
                <c:pt idx="219">
                  <c:v>6</c:v>
                </c:pt>
                <c:pt idx="220">
                  <c:v>5</c:v>
                </c:pt>
                <c:pt idx="221">
                  <c:v>6</c:v>
                </c:pt>
                <c:pt idx="222">
                  <c:v>5</c:v>
                </c:pt>
                <c:pt idx="223">
                  <c:v>4</c:v>
                </c:pt>
                <c:pt idx="224">
                  <c:v>3</c:v>
                </c:pt>
                <c:pt idx="225">
                  <c:v>2</c:v>
                </c:pt>
                <c:pt idx="226">
                  <c:v>3</c:v>
                </c:pt>
                <c:pt idx="227">
                  <c:v>4</c:v>
                </c:pt>
                <c:pt idx="228">
                  <c:v>3</c:v>
                </c:pt>
                <c:pt idx="229">
                  <c:v>2</c:v>
                </c:pt>
                <c:pt idx="230">
                  <c:v>3</c:v>
                </c:pt>
                <c:pt idx="231">
                  <c:v>2</c:v>
                </c:pt>
                <c:pt idx="232">
                  <c:v>3</c:v>
                </c:pt>
                <c:pt idx="233">
                  <c:v>2</c:v>
                </c:pt>
                <c:pt idx="234">
                  <c:v>3</c:v>
                </c:pt>
                <c:pt idx="235">
                  <c:v>4</c:v>
                </c:pt>
                <c:pt idx="236">
                  <c:v>3</c:v>
                </c:pt>
                <c:pt idx="237">
                  <c:v>4</c:v>
                </c:pt>
                <c:pt idx="238">
                  <c:v>3</c:v>
                </c:pt>
                <c:pt idx="239">
                  <c:v>4</c:v>
                </c:pt>
                <c:pt idx="240">
                  <c:v>5</c:v>
                </c:pt>
                <c:pt idx="241">
                  <c:v>6</c:v>
                </c:pt>
                <c:pt idx="242">
                  <c:v>7</c:v>
                </c:pt>
                <c:pt idx="243">
                  <c:v>8</c:v>
                </c:pt>
                <c:pt idx="244">
                  <c:v>9</c:v>
                </c:pt>
                <c:pt idx="245">
                  <c:v>10</c:v>
                </c:pt>
                <c:pt idx="246">
                  <c:v>11</c:v>
                </c:pt>
                <c:pt idx="247">
                  <c:v>10</c:v>
                </c:pt>
                <c:pt idx="248">
                  <c:v>9</c:v>
                </c:pt>
                <c:pt idx="249">
                  <c:v>8</c:v>
                </c:pt>
                <c:pt idx="250">
                  <c:v>7</c:v>
                </c:pt>
                <c:pt idx="251">
                  <c:v>8</c:v>
                </c:pt>
                <c:pt idx="252">
                  <c:v>7</c:v>
                </c:pt>
                <c:pt idx="253">
                  <c:v>6</c:v>
                </c:pt>
                <c:pt idx="254">
                  <c:v>7</c:v>
                </c:pt>
                <c:pt idx="255">
                  <c:v>8</c:v>
                </c:pt>
                <c:pt idx="256">
                  <c:v>7</c:v>
                </c:pt>
                <c:pt idx="257">
                  <c:v>8</c:v>
                </c:pt>
                <c:pt idx="258">
                  <c:v>7</c:v>
                </c:pt>
                <c:pt idx="259">
                  <c:v>6</c:v>
                </c:pt>
                <c:pt idx="260">
                  <c:v>7</c:v>
                </c:pt>
                <c:pt idx="261">
                  <c:v>8</c:v>
                </c:pt>
                <c:pt idx="262">
                  <c:v>9</c:v>
                </c:pt>
                <c:pt idx="263">
                  <c:v>10</c:v>
                </c:pt>
                <c:pt idx="264">
                  <c:v>11</c:v>
                </c:pt>
                <c:pt idx="265">
                  <c:v>12</c:v>
                </c:pt>
                <c:pt idx="266">
                  <c:v>11</c:v>
                </c:pt>
                <c:pt idx="267">
                  <c:v>10</c:v>
                </c:pt>
                <c:pt idx="268">
                  <c:v>11</c:v>
                </c:pt>
                <c:pt idx="269">
                  <c:v>10</c:v>
                </c:pt>
                <c:pt idx="270">
                  <c:v>9</c:v>
                </c:pt>
                <c:pt idx="271">
                  <c:v>10</c:v>
                </c:pt>
                <c:pt idx="272">
                  <c:v>11</c:v>
                </c:pt>
                <c:pt idx="273">
                  <c:v>10</c:v>
                </c:pt>
                <c:pt idx="274">
                  <c:v>9</c:v>
                </c:pt>
                <c:pt idx="275">
                  <c:v>8</c:v>
                </c:pt>
                <c:pt idx="276">
                  <c:v>9</c:v>
                </c:pt>
                <c:pt idx="277">
                  <c:v>10</c:v>
                </c:pt>
                <c:pt idx="278">
                  <c:v>11</c:v>
                </c:pt>
                <c:pt idx="279">
                  <c:v>12</c:v>
                </c:pt>
                <c:pt idx="280">
                  <c:v>11</c:v>
                </c:pt>
                <c:pt idx="281">
                  <c:v>12</c:v>
                </c:pt>
                <c:pt idx="282">
                  <c:v>11</c:v>
                </c:pt>
                <c:pt idx="283">
                  <c:v>10</c:v>
                </c:pt>
                <c:pt idx="284">
                  <c:v>9</c:v>
                </c:pt>
                <c:pt idx="285">
                  <c:v>8</c:v>
                </c:pt>
                <c:pt idx="286">
                  <c:v>7</c:v>
                </c:pt>
                <c:pt idx="287">
                  <c:v>8</c:v>
                </c:pt>
                <c:pt idx="288">
                  <c:v>9</c:v>
                </c:pt>
                <c:pt idx="289">
                  <c:v>8</c:v>
                </c:pt>
                <c:pt idx="290">
                  <c:v>9</c:v>
                </c:pt>
                <c:pt idx="291">
                  <c:v>8</c:v>
                </c:pt>
                <c:pt idx="292">
                  <c:v>9</c:v>
                </c:pt>
                <c:pt idx="293">
                  <c:v>10</c:v>
                </c:pt>
                <c:pt idx="294">
                  <c:v>11</c:v>
                </c:pt>
                <c:pt idx="295">
                  <c:v>12</c:v>
                </c:pt>
                <c:pt idx="296">
                  <c:v>13</c:v>
                </c:pt>
                <c:pt idx="297">
                  <c:v>12</c:v>
                </c:pt>
                <c:pt idx="298">
                  <c:v>13</c:v>
                </c:pt>
                <c:pt idx="299">
                  <c:v>14</c:v>
                </c:pt>
                <c:pt idx="300">
                  <c:v>15</c:v>
                </c:pt>
                <c:pt idx="301">
                  <c:v>14</c:v>
                </c:pt>
                <c:pt idx="302">
                  <c:v>13</c:v>
                </c:pt>
                <c:pt idx="303">
                  <c:v>12</c:v>
                </c:pt>
                <c:pt idx="304">
                  <c:v>13</c:v>
                </c:pt>
                <c:pt idx="305">
                  <c:v>14</c:v>
                </c:pt>
                <c:pt idx="306">
                  <c:v>13</c:v>
                </c:pt>
                <c:pt idx="307">
                  <c:v>14</c:v>
                </c:pt>
                <c:pt idx="308">
                  <c:v>15</c:v>
                </c:pt>
                <c:pt idx="309">
                  <c:v>16</c:v>
                </c:pt>
                <c:pt idx="310">
                  <c:v>15</c:v>
                </c:pt>
                <c:pt idx="311">
                  <c:v>14</c:v>
                </c:pt>
                <c:pt idx="312">
                  <c:v>13</c:v>
                </c:pt>
                <c:pt idx="313">
                  <c:v>14</c:v>
                </c:pt>
                <c:pt idx="314">
                  <c:v>15</c:v>
                </c:pt>
                <c:pt idx="315">
                  <c:v>14</c:v>
                </c:pt>
                <c:pt idx="316">
                  <c:v>15</c:v>
                </c:pt>
                <c:pt idx="317">
                  <c:v>16</c:v>
                </c:pt>
                <c:pt idx="318">
                  <c:v>15</c:v>
                </c:pt>
                <c:pt idx="319">
                  <c:v>16</c:v>
                </c:pt>
                <c:pt idx="320">
                  <c:v>15</c:v>
                </c:pt>
                <c:pt idx="321">
                  <c:v>14</c:v>
                </c:pt>
                <c:pt idx="322">
                  <c:v>15</c:v>
                </c:pt>
                <c:pt idx="323">
                  <c:v>14</c:v>
                </c:pt>
                <c:pt idx="324">
                  <c:v>13</c:v>
                </c:pt>
                <c:pt idx="325">
                  <c:v>14</c:v>
                </c:pt>
                <c:pt idx="326">
                  <c:v>13</c:v>
                </c:pt>
                <c:pt idx="327">
                  <c:v>14</c:v>
                </c:pt>
                <c:pt idx="328">
                  <c:v>15</c:v>
                </c:pt>
                <c:pt idx="329">
                  <c:v>16</c:v>
                </c:pt>
                <c:pt idx="330">
                  <c:v>15</c:v>
                </c:pt>
                <c:pt idx="331">
                  <c:v>14</c:v>
                </c:pt>
                <c:pt idx="332">
                  <c:v>15</c:v>
                </c:pt>
                <c:pt idx="333">
                  <c:v>16</c:v>
                </c:pt>
                <c:pt idx="334">
                  <c:v>15</c:v>
                </c:pt>
                <c:pt idx="335">
                  <c:v>14</c:v>
                </c:pt>
                <c:pt idx="336">
                  <c:v>13</c:v>
                </c:pt>
                <c:pt idx="337">
                  <c:v>14</c:v>
                </c:pt>
                <c:pt idx="338">
                  <c:v>15</c:v>
                </c:pt>
                <c:pt idx="339">
                  <c:v>16</c:v>
                </c:pt>
                <c:pt idx="340">
                  <c:v>17</c:v>
                </c:pt>
                <c:pt idx="341">
                  <c:v>18</c:v>
                </c:pt>
                <c:pt idx="342">
                  <c:v>17</c:v>
                </c:pt>
                <c:pt idx="343">
                  <c:v>16</c:v>
                </c:pt>
                <c:pt idx="344">
                  <c:v>15</c:v>
                </c:pt>
                <c:pt idx="345">
                  <c:v>16</c:v>
                </c:pt>
                <c:pt idx="346">
                  <c:v>15</c:v>
                </c:pt>
                <c:pt idx="347">
                  <c:v>14</c:v>
                </c:pt>
                <c:pt idx="348">
                  <c:v>13</c:v>
                </c:pt>
                <c:pt idx="349">
                  <c:v>14</c:v>
                </c:pt>
                <c:pt idx="350">
                  <c:v>15</c:v>
                </c:pt>
                <c:pt idx="351">
                  <c:v>16</c:v>
                </c:pt>
                <c:pt idx="352">
                  <c:v>15</c:v>
                </c:pt>
                <c:pt idx="353">
                  <c:v>16</c:v>
                </c:pt>
                <c:pt idx="354">
                  <c:v>17</c:v>
                </c:pt>
                <c:pt idx="355">
                  <c:v>16</c:v>
                </c:pt>
                <c:pt idx="356">
                  <c:v>15</c:v>
                </c:pt>
                <c:pt idx="357">
                  <c:v>14</c:v>
                </c:pt>
                <c:pt idx="358">
                  <c:v>15</c:v>
                </c:pt>
                <c:pt idx="359">
                  <c:v>14</c:v>
                </c:pt>
                <c:pt idx="360">
                  <c:v>15</c:v>
                </c:pt>
                <c:pt idx="361">
                  <c:v>16</c:v>
                </c:pt>
                <c:pt idx="362">
                  <c:v>15</c:v>
                </c:pt>
                <c:pt idx="363">
                  <c:v>16</c:v>
                </c:pt>
                <c:pt idx="364">
                  <c:v>17</c:v>
                </c:pt>
                <c:pt idx="365">
                  <c:v>18</c:v>
                </c:pt>
                <c:pt idx="366">
                  <c:v>17</c:v>
                </c:pt>
                <c:pt idx="367">
                  <c:v>18</c:v>
                </c:pt>
                <c:pt idx="368">
                  <c:v>19</c:v>
                </c:pt>
                <c:pt idx="369">
                  <c:v>20</c:v>
                </c:pt>
                <c:pt idx="370">
                  <c:v>21</c:v>
                </c:pt>
                <c:pt idx="371">
                  <c:v>22</c:v>
                </c:pt>
                <c:pt idx="372">
                  <c:v>21</c:v>
                </c:pt>
                <c:pt idx="373">
                  <c:v>20</c:v>
                </c:pt>
                <c:pt idx="374">
                  <c:v>21</c:v>
                </c:pt>
                <c:pt idx="375">
                  <c:v>22</c:v>
                </c:pt>
                <c:pt idx="376">
                  <c:v>21</c:v>
                </c:pt>
                <c:pt idx="377">
                  <c:v>20</c:v>
                </c:pt>
                <c:pt idx="378">
                  <c:v>19</c:v>
                </c:pt>
                <c:pt idx="379">
                  <c:v>18</c:v>
                </c:pt>
                <c:pt idx="380">
                  <c:v>17</c:v>
                </c:pt>
                <c:pt idx="381">
                  <c:v>16</c:v>
                </c:pt>
                <c:pt idx="382">
                  <c:v>15</c:v>
                </c:pt>
                <c:pt idx="383">
                  <c:v>16</c:v>
                </c:pt>
                <c:pt idx="384">
                  <c:v>15</c:v>
                </c:pt>
                <c:pt idx="385">
                  <c:v>14</c:v>
                </c:pt>
                <c:pt idx="386">
                  <c:v>13</c:v>
                </c:pt>
                <c:pt idx="387">
                  <c:v>12</c:v>
                </c:pt>
                <c:pt idx="388">
                  <c:v>11</c:v>
                </c:pt>
                <c:pt idx="389">
                  <c:v>10</c:v>
                </c:pt>
                <c:pt idx="390">
                  <c:v>9</c:v>
                </c:pt>
                <c:pt idx="391">
                  <c:v>8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FD-4668-BD5E-CD72F2D1EC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312320"/>
        <c:axId val="220314240"/>
      </c:lineChart>
      <c:catAx>
        <c:axId val="220312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Последовательность событий возникновения заявок на входе и выходе ситемы</a:t>
                </a:r>
              </a:p>
            </c:rich>
          </c:tx>
          <c:overlay val="0"/>
        </c:title>
        <c:majorTickMark val="out"/>
        <c:minorTickMark val="none"/>
        <c:tickLblPos val="nextTo"/>
        <c:crossAx val="220314240"/>
        <c:crosses val="autoZero"/>
        <c:auto val="1"/>
        <c:lblAlgn val="ctr"/>
        <c:lblOffset val="100"/>
        <c:noMultiLvlLbl val="0"/>
      </c:catAx>
      <c:valAx>
        <c:axId val="2203142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Количество заявок в системе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20312320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Лист23!$P$634:$P$1033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4</c:v>
                </c:pt>
                <c:pt idx="26">
                  <c:v>5</c:v>
                </c:pt>
                <c:pt idx="27">
                  <c:v>6</c:v>
                </c:pt>
                <c:pt idx="28">
                  <c:v>5</c:v>
                </c:pt>
                <c:pt idx="29">
                  <c:v>4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4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6</c:v>
                </c:pt>
                <c:pt idx="38">
                  <c:v>7</c:v>
                </c:pt>
                <c:pt idx="39">
                  <c:v>6</c:v>
                </c:pt>
                <c:pt idx="40">
                  <c:v>7</c:v>
                </c:pt>
                <c:pt idx="41">
                  <c:v>8</c:v>
                </c:pt>
                <c:pt idx="42">
                  <c:v>7</c:v>
                </c:pt>
                <c:pt idx="43">
                  <c:v>8</c:v>
                </c:pt>
                <c:pt idx="44">
                  <c:v>7</c:v>
                </c:pt>
                <c:pt idx="45">
                  <c:v>6</c:v>
                </c:pt>
                <c:pt idx="46">
                  <c:v>7</c:v>
                </c:pt>
                <c:pt idx="47">
                  <c:v>8</c:v>
                </c:pt>
                <c:pt idx="48">
                  <c:v>9</c:v>
                </c:pt>
                <c:pt idx="49">
                  <c:v>10</c:v>
                </c:pt>
                <c:pt idx="50">
                  <c:v>9</c:v>
                </c:pt>
                <c:pt idx="51">
                  <c:v>8</c:v>
                </c:pt>
                <c:pt idx="52">
                  <c:v>9</c:v>
                </c:pt>
                <c:pt idx="53">
                  <c:v>10</c:v>
                </c:pt>
                <c:pt idx="54">
                  <c:v>9</c:v>
                </c:pt>
                <c:pt idx="55">
                  <c:v>10</c:v>
                </c:pt>
                <c:pt idx="56">
                  <c:v>9</c:v>
                </c:pt>
                <c:pt idx="57">
                  <c:v>8</c:v>
                </c:pt>
                <c:pt idx="58">
                  <c:v>7</c:v>
                </c:pt>
                <c:pt idx="59">
                  <c:v>8</c:v>
                </c:pt>
                <c:pt idx="60">
                  <c:v>7</c:v>
                </c:pt>
                <c:pt idx="61">
                  <c:v>6</c:v>
                </c:pt>
                <c:pt idx="62">
                  <c:v>5</c:v>
                </c:pt>
                <c:pt idx="63">
                  <c:v>4</c:v>
                </c:pt>
                <c:pt idx="64">
                  <c:v>5</c:v>
                </c:pt>
                <c:pt idx="65">
                  <c:v>4</c:v>
                </c:pt>
                <c:pt idx="66">
                  <c:v>3</c:v>
                </c:pt>
                <c:pt idx="67">
                  <c:v>4</c:v>
                </c:pt>
                <c:pt idx="68">
                  <c:v>3</c:v>
                </c:pt>
                <c:pt idx="69">
                  <c:v>4</c:v>
                </c:pt>
                <c:pt idx="70">
                  <c:v>3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5</c:v>
                </c:pt>
                <c:pt idx="87">
                  <c:v>4</c:v>
                </c:pt>
                <c:pt idx="88">
                  <c:v>3</c:v>
                </c:pt>
                <c:pt idx="89">
                  <c:v>4</c:v>
                </c:pt>
                <c:pt idx="90">
                  <c:v>3</c:v>
                </c:pt>
                <c:pt idx="91">
                  <c:v>2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1</c:v>
                </c:pt>
                <c:pt idx="101">
                  <c:v>0</c:v>
                </c:pt>
                <c:pt idx="102">
                  <c:v>1</c:v>
                </c:pt>
                <c:pt idx="103">
                  <c:v>0</c:v>
                </c:pt>
                <c:pt idx="104">
                  <c:v>1</c:v>
                </c:pt>
                <c:pt idx="105">
                  <c:v>2</c:v>
                </c:pt>
                <c:pt idx="106">
                  <c:v>1</c:v>
                </c:pt>
                <c:pt idx="107">
                  <c:v>2</c:v>
                </c:pt>
                <c:pt idx="108">
                  <c:v>1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1</c:v>
                </c:pt>
                <c:pt idx="115">
                  <c:v>2</c:v>
                </c:pt>
                <c:pt idx="116">
                  <c:v>1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2</c:v>
                </c:pt>
                <c:pt idx="122">
                  <c:v>1</c:v>
                </c:pt>
                <c:pt idx="123">
                  <c:v>2</c:v>
                </c:pt>
                <c:pt idx="124">
                  <c:v>3</c:v>
                </c:pt>
                <c:pt idx="125">
                  <c:v>4</c:v>
                </c:pt>
                <c:pt idx="126">
                  <c:v>5</c:v>
                </c:pt>
                <c:pt idx="127">
                  <c:v>4</c:v>
                </c:pt>
                <c:pt idx="128">
                  <c:v>3</c:v>
                </c:pt>
                <c:pt idx="129">
                  <c:v>2</c:v>
                </c:pt>
                <c:pt idx="130">
                  <c:v>1</c:v>
                </c:pt>
                <c:pt idx="131">
                  <c:v>2</c:v>
                </c:pt>
                <c:pt idx="132">
                  <c:v>3</c:v>
                </c:pt>
                <c:pt idx="133">
                  <c:v>4</c:v>
                </c:pt>
                <c:pt idx="134">
                  <c:v>3</c:v>
                </c:pt>
                <c:pt idx="135">
                  <c:v>2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0</c:v>
                </c:pt>
                <c:pt idx="140">
                  <c:v>1</c:v>
                </c:pt>
                <c:pt idx="141">
                  <c:v>2</c:v>
                </c:pt>
                <c:pt idx="142">
                  <c:v>3</c:v>
                </c:pt>
                <c:pt idx="143">
                  <c:v>4</c:v>
                </c:pt>
                <c:pt idx="144">
                  <c:v>3</c:v>
                </c:pt>
                <c:pt idx="145">
                  <c:v>4</c:v>
                </c:pt>
                <c:pt idx="146">
                  <c:v>5</c:v>
                </c:pt>
                <c:pt idx="147">
                  <c:v>4</c:v>
                </c:pt>
                <c:pt idx="148">
                  <c:v>3</c:v>
                </c:pt>
                <c:pt idx="149">
                  <c:v>4</c:v>
                </c:pt>
                <c:pt idx="150">
                  <c:v>5</c:v>
                </c:pt>
                <c:pt idx="151">
                  <c:v>4</c:v>
                </c:pt>
                <c:pt idx="152">
                  <c:v>5</c:v>
                </c:pt>
                <c:pt idx="153">
                  <c:v>4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6</c:v>
                </c:pt>
                <c:pt idx="158">
                  <c:v>7</c:v>
                </c:pt>
                <c:pt idx="159">
                  <c:v>8</c:v>
                </c:pt>
                <c:pt idx="160">
                  <c:v>7</c:v>
                </c:pt>
                <c:pt idx="161">
                  <c:v>6</c:v>
                </c:pt>
                <c:pt idx="162">
                  <c:v>7</c:v>
                </c:pt>
                <c:pt idx="163">
                  <c:v>8</c:v>
                </c:pt>
                <c:pt idx="164">
                  <c:v>9</c:v>
                </c:pt>
                <c:pt idx="165">
                  <c:v>10</c:v>
                </c:pt>
                <c:pt idx="166">
                  <c:v>9</c:v>
                </c:pt>
                <c:pt idx="167">
                  <c:v>8</c:v>
                </c:pt>
                <c:pt idx="168">
                  <c:v>9</c:v>
                </c:pt>
                <c:pt idx="169">
                  <c:v>10</c:v>
                </c:pt>
                <c:pt idx="170">
                  <c:v>9</c:v>
                </c:pt>
                <c:pt idx="171">
                  <c:v>10</c:v>
                </c:pt>
                <c:pt idx="172">
                  <c:v>11</c:v>
                </c:pt>
                <c:pt idx="173">
                  <c:v>10</c:v>
                </c:pt>
                <c:pt idx="174">
                  <c:v>9</c:v>
                </c:pt>
                <c:pt idx="175">
                  <c:v>8</c:v>
                </c:pt>
                <c:pt idx="176">
                  <c:v>7</c:v>
                </c:pt>
                <c:pt idx="177">
                  <c:v>8</c:v>
                </c:pt>
                <c:pt idx="178">
                  <c:v>9</c:v>
                </c:pt>
                <c:pt idx="179">
                  <c:v>10</c:v>
                </c:pt>
                <c:pt idx="180">
                  <c:v>11</c:v>
                </c:pt>
                <c:pt idx="181">
                  <c:v>10</c:v>
                </c:pt>
                <c:pt idx="182">
                  <c:v>9</c:v>
                </c:pt>
                <c:pt idx="183">
                  <c:v>8</c:v>
                </c:pt>
                <c:pt idx="184">
                  <c:v>9</c:v>
                </c:pt>
                <c:pt idx="185">
                  <c:v>8</c:v>
                </c:pt>
                <c:pt idx="186">
                  <c:v>9</c:v>
                </c:pt>
                <c:pt idx="187">
                  <c:v>8</c:v>
                </c:pt>
                <c:pt idx="188">
                  <c:v>7</c:v>
                </c:pt>
                <c:pt idx="189">
                  <c:v>6</c:v>
                </c:pt>
                <c:pt idx="190">
                  <c:v>7</c:v>
                </c:pt>
                <c:pt idx="191">
                  <c:v>6</c:v>
                </c:pt>
                <c:pt idx="192">
                  <c:v>7</c:v>
                </c:pt>
                <c:pt idx="193">
                  <c:v>8</c:v>
                </c:pt>
                <c:pt idx="194">
                  <c:v>9</c:v>
                </c:pt>
                <c:pt idx="195">
                  <c:v>8</c:v>
                </c:pt>
                <c:pt idx="196">
                  <c:v>7</c:v>
                </c:pt>
                <c:pt idx="197">
                  <c:v>6</c:v>
                </c:pt>
                <c:pt idx="198">
                  <c:v>7</c:v>
                </c:pt>
                <c:pt idx="199">
                  <c:v>6</c:v>
                </c:pt>
                <c:pt idx="200">
                  <c:v>7</c:v>
                </c:pt>
                <c:pt idx="201">
                  <c:v>8</c:v>
                </c:pt>
                <c:pt idx="202">
                  <c:v>7</c:v>
                </c:pt>
                <c:pt idx="203">
                  <c:v>8</c:v>
                </c:pt>
                <c:pt idx="204">
                  <c:v>7</c:v>
                </c:pt>
                <c:pt idx="205">
                  <c:v>6</c:v>
                </c:pt>
                <c:pt idx="206">
                  <c:v>7</c:v>
                </c:pt>
                <c:pt idx="207">
                  <c:v>6</c:v>
                </c:pt>
                <c:pt idx="208">
                  <c:v>5</c:v>
                </c:pt>
                <c:pt idx="209">
                  <c:v>4</c:v>
                </c:pt>
                <c:pt idx="210">
                  <c:v>3</c:v>
                </c:pt>
                <c:pt idx="211">
                  <c:v>4</c:v>
                </c:pt>
                <c:pt idx="212">
                  <c:v>5</c:v>
                </c:pt>
                <c:pt idx="213">
                  <c:v>6</c:v>
                </c:pt>
                <c:pt idx="214">
                  <c:v>7</c:v>
                </c:pt>
                <c:pt idx="215">
                  <c:v>8</c:v>
                </c:pt>
                <c:pt idx="216">
                  <c:v>9</c:v>
                </c:pt>
                <c:pt idx="217">
                  <c:v>10</c:v>
                </c:pt>
                <c:pt idx="218">
                  <c:v>11</c:v>
                </c:pt>
                <c:pt idx="219">
                  <c:v>10</c:v>
                </c:pt>
                <c:pt idx="220">
                  <c:v>9</c:v>
                </c:pt>
                <c:pt idx="221">
                  <c:v>8</c:v>
                </c:pt>
                <c:pt idx="222">
                  <c:v>7</c:v>
                </c:pt>
                <c:pt idx="223">
                  <c:v>6</c:v>
                </c:pt>
                <c:pt idx="224">
                  <c:v>7</c:v>
                </c:pt>
                <c:pt idx="225">
                  <c:v>6</c:v>
                </c:pt>
                <c:pt idx="226">
                  <c:v>7</c:v>
                </c:pt>
                <c:pt idx="227">
                  <c:v>6</c:v>
                </c:pt>
                <c:pt idx="228">
                  <c:v>5</c:v>
                </c:pt>
                <c:pt idx="229">
                  <c:v>6</c:v>
                </c:pt>
                <c:pt idx="230">
                  <c:v>5</c:v>
                </c:pt>
                <c:pt idx="231">
                  <c:v>6</c:v>
                </c:pt>
                <c:pt idx="232">
                  <c:v>7</c:v>
                </c:pt>
                <c:pt idx="233">
                  <c:v>6</c:v>
                </c:pt>
                <c:pt idx="234">
                  <c:v>7</c:v>
                </c:pt>
                <c:pt idx="235">
                  <c:v>6</c:v>
                </c:pt>
                <c:pt idx="236">
                  <c:v>7</c:v>
                </c:pt>
                <c:pt idx="237">
                  <c:v>8</c:v>
                </c:pt>
                <c:pt idx="238">
                  <c:v>9</c:v>
                </c:pt>
                <c:pt idx="239">
                  <c:v>8</c:v>
                </c:pt>
                <c:pt idx="240">
                  <c:v>9</c:v>
                </c:pt>
                <c:pt idx="241">
                  <c:v>8</c:v>
                </c:pt>
                <c:pt idx="242">
                  <c:v>9</c:v>
                </c:pt>
                <c:pt idx="243">
                  <c:v>10</c:v>
                </c:pt>
                <c:pt idx="244">
                  <c:v>11</c:v>
                </c:pt>
                <c:pt idx="245">
                  <c:v>12</c:v>
                </c:pt>
                <c:pt idx="246">
                  <c:v>11</c:v>
                </c:pt>
                <c:pt idx="247">
                  <c:v>10</c:v>
                </c:pt>
                <c:pt idx="248">
                  <c:v>9</c:v>
                </c:pt>
                <c:pt idx="249">
                  <c:v>8</c:v>
                </c:pt>
                <c:pt idx="250">
                  <c:v>9</c:v>
                </c:pt>
                <c:pt idx="251">
                  <c:v>10</c:v>
                </c:pt>
                <c:pt idx="252">
                  <c:v>9</c:v>
                </c:pt>
                <c:pt idx="253">
                  <c:v>8</c:v>
                </c:pt>
                <c:pt idx="254">
                  <c:v>9</c:v>
                </c:pt>
                <c:pt idx="255">
                  <c:v>8</c:v>
                </c:pt>
                <c:pt idx="256">
                  <c:v>7</c:v>
                </c:pt>
                <c:pt idx="257">
                  <c:v>6</c:v>
                </c:pt>
                <c:pt idx="258">
                  <c:v>5</c:v>
                </c:pt>
                <c:pt idx="259">
                  <c:v>4</c:v>
                </c:pt>
                <c:pt idx="260">
                  <c:v>5</c:v>
                </c:pt>
                <c:pt idx="261">
                  <c:v>6</c:v>
                </c:pt>
                <c:pt idx="262">
                  <c:v>5</c:v>
                </c:pt>
                <c:pt idx="263">
                  <c:v>4</c:v>
                </c:pt>
                <c:pt idx="264">
                  <c:v>3</c:v>
                </c:pt>
                <c:pt idx="265">
                  <c:v>4</c:v>
                </c:pt>
                <c:pt idx="266">
                  <c:v>3</c:v>
                </c:pt>
                <c:pt idx="267">
                  <c:v>2</c:v>
                </c:pt>
                <c:pt idx="268">
                  <c:v>1</c:v>
                </c:pt>
                <c:pt idx="269">
                  <c:v>0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0</c:v>
                </c:pt>
                <c:pt idx="274">
                  <c:v>1</c:v>
                </c:pt>
                <c:pt idx="275">
                  <c:v>0</c:v>
                </c:pt>
                <c:pt idx="276">
                  <c:v>1</c:v>
                </c:pt>
                <c:pt idx="277">
                  <c:v>0</c:v>
                </c:pt>
                <c:pt idx="278">
                  <c:v>1</c:v>
                </c:pt>
                <c:pt idx="279">
                  <c:v>0</c:v>
                </c:pt>
                <c:pt idx="280">
                  <c:v>1</c:v>
                </c:pt>
                <c:pt idx="281">
                  <c:v>2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2</c:v>
                </c:pt>
                <c:pt idx="292">
                  <c:v>3</c:v>
                </c:pt>
                <c:pt idx="293">
                  <c:v>4</c:v>
                </c:pt>
                <c:pt idx="294">
                  <c:v>5</c:v>
                </c:pt>
                <c:pt idx="295">
                  <c:v>4</c:v>
                </c:pt>
                <c:pt idx="296">
                  <c:v>3</c:v>
                </c:pt>
                <c:pt idx="297">
                  <c:v>4</c:v>
                </c:pt>
                <c:pt idx="298">
                  <c:v>5</c:v>
                </c:pt>
                <c:pt idx="299">
                  <c:v>6</c:v>
                </c:pt>
                <c:pt idx="300">
                  <c:v>7</c:v>
                </c:pt>
                <c:pt idx="301">
                  <c:v>6</c:v>
                </c:pt>
                <c:pt idx="302">
                  <c:v>5</c:v>
                </c:pt>
                <c:pt idx="303">
                  <c:v>4</c:v>
                </c:pt>
                <c:pt idx="304">
                  <c:v>3</c:v>
                </c:pt>
                <c:pt idx="305">
                  <c:v>2</c:v>
                </c:pt>
                <c:pt idx="306">
                  <c:v>3</c:v>
                </c:pt>
                <c:pt idx="307">
                  <c:v>2</c:v>
                </c:pt>
                <c:pt idx="308">
                  <c:v>1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3</c:v>
                </c:pt>
                <c:pt idx="315">
                  <c:v>4</c:v>
                </c:pt>
                <c:pt idx="316">
                  <c:v>5</c:v>
                </c:pt>
                <c:pt idx="317">
                  <c:v>4</c:v>
                </c:pt>
                <c:pt idx="318">
                  <c:v>5</c:v>
                </c:pt>
                <c:pt idx="319">
                  <c:v>6</c:v>
                </c:pt>
                <c:pt idx="320">
                  <c:v>7</c:v>
                </c:pt>
                <c:pt idx="321">
                  <c:v>8</c:v>
                </c:pt>
                <c:pt idx="322">
                  <c:v>7</c:v>
                </c:pt>
                <c:pt idx="323">
                  <c:v>6</c:v>
                </c:pt>
                <c:pt idx="324">
                  <c:v>5</c:v>
                </c:pt>
                <c:pt idx="325">
                  <c:v>6</c:v>
                </c:pt>
                <c:pt idx="326">
                  <c:v>5</c:v>
                </c:pt>
                <c:pt idx="327">
                  <c:v>6</c:v>
                </c:pt>
                <c:pt idx="328">
                  <c:v>5</c:v>
                </c:pt>
                <c:pt idx="329">
                  <c:v>4</c:v>
                </c:pt>
                <c:pt idx="330">
                  <c:v>5</c:v>
                </c:pt>
                <c:pt idx="331">
                  <c:v>4</c:v>
                </c:pt>
                <c:pt idx="332">
                  <c:v>3</c:v>
                </c:pt>
                <c:pt idx="333">
                  <c:v>4</c:v>
                </c:pt>
                <c:pt idx="334">
                  <c:v>3</c:v>
                </c:pt>
                <c:pt idx="335">
                  <c:v>4</c:v>
                </c:pt>
                <c:pt idx="336">
                  <c:v>5</c:v>
                </c:pt>
                <c:pt idx="337">
                  <c:v>6</c:v>
                </c:pt>
                <c:pt idx="338">
                  <c:v>7</c:v>
                </c:pt>
                <c:pt idx="339">
                  <c:v>6</c:v>
                </c:pt>
                <c:pt idx="340">
                  <c:v>5</c:v>
                </c:pt>
                <c:pt idx="341">
                  <c:v>4</c:v>
                </c:pt>
                <c:pt idx="342">
                  <c:v>3</c:v>
                </c:pt>
                <c:pt idx="343">
                  <c:v>4</c:v>
                </c:pt>
                <c:pt idx="344">
                  <c:v>3</c:v>
                </c:pt>
                <c:pt idx="345">
                  <c:v>4</c:v>
                </c:pt>
                <c:pt idx="346">
                  <c:v>3</c:v>
                </c:pt>
                <c:pt idx="347">
                  <c:v>2</c:v>
                </c:pt>
                <c:pt idx="348">
                  <c:v>3</c:v>
                </c:pt>
                <c:pt idx="349">
                  <c:v>4</c:v>
                </c:pt>
                <c:pt idx="350">
                  <c:v>3</c:v>
                </c:pt>
                <c:pt idx="351">
                  <c:v>2</c:v>
                </c:pt>
                <c:pt idx="352">
                  <c:v>3</c:v>
                </c:pt>
                <c:pt idx="353">
                  <c:v>4</c:v>
                </c:pt>
                <c:pt idx="354">
                  <c:v>3</c:v>
                </c:pt>
                <c:pt idx="355">
                  <c:v>2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2</c:v>
                </c:pt>
                <c:pt idx="360">
                  <c:v>3</c:v>
                </c:pt>
                <c:pt idx="361">
                  <c:v>2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0</c:v>
                </c:pt>
                <c:pt idx="368">
                  <c:v>1</c:v>
                </c:pt>
                <c:pt idx="369">
                  <c:v>2</c:v>
                </c:pt>
                <c:pt idx="370">
                  <c:v>3</c:v>
                </c:pt>
                <c:pt idx="371">
                  <c:v>2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2</c:v>
                </c:pt>
                <c:pt idx="380">
                  <c:v>1</c:v>
                </c:pt>
                <c:pt idx="381">
                  <c:v>2</c:v>
                </c:pt>
                <c:pt idx="382">
                  <c:v>1</c:v>
                </c:pt>
                <c:pt idx="383">
                  <c:v>2</c:v>
                </c:pt>
                <c:pt idx="384">
                  <c:v>3</c:v>
                </c:pt>
                <c:pt idx="385">
                  <c:v>4</c:v>
                </c:pt>
                <c:pt idx="386">
                  <c:v>5</c:v>
                </c:pt>
                <c:pt idx="387">
                  <c:v>4</c:v>
                </c:pt>
                <c:pt idx="388">
                  <c:v>3</c:v>
                </c:pt>
                <c:pt idx="389">
                  <c:v>4</c:v>
                </c:pt>
                <c:pt idx="390">
                  <c:v>3</c:v>
                </c:pt>
                <c:pt idx="391">
                  <c:v>2</c:v>
                </c:pt>
                <c:pt idx="392">
                  <c:v>3</c:v>
                </c:pt>
                <c:pt idx="393">
                  <c:v>2</c:v>
                </c:pt>
                <c:pt idx="394">
                  <c:v>3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7C-4E23-A1DB-A50895D39ED6}"/>
            </c:ext>
          </c:extLst>
        </c:ser>
        <c:ser>
          <c:idx val="1"/>
          <c:order val="1"/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Лист23!$Q$634:$Q$1033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1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  <c:pt idx="24">
                  <c:v>3</c:v>
                </c:pt>
                <c:pt idx="25">
                  <c:v>2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1</c:v>
                </c:pt>
                <c:pt idx="31">
                  <c:v>0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0</c:v>
                </c:pt>
                <c:pt idx="36">
                  <c:v>1</c:v>
                </c:pt>
                <c:pt idx="37">
                  <c:v>0</c:v>
                </c:pt>
                <c:pt idx="38">
                  <c:v>1</c:v>
                </c:pt>
                <c:pt idx="39">
                  <c:v>0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2</c:v>
                </c:pt>
                <c:pt idx="46">
                  <c:v>1</c:v>
                </c:pt>
                <c:pt idx="47">
                  <c:v>0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2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2</c:v>
                </c:pt>
                <c:pt idx="64">
                  <c:v>3</c:v>
                </c:pt>
                <c:pt idx="65">
                  <c:v>2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2</c:v>
                </c:pt>
                <c:pt idx="82">
                  <c:v>3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2</c:v>
                </c:pt>
                <c:pt idx="90">
                  <c:v>3</c:v>
                </c:pt>
                <c:pt idx="91">
                  <c:v>4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4</c:v>
                </c:pt>
                <c:pt idx="98">
                  <c:v>5</c:v>
                </c:pt>
                <c:pt idx="99">
                  <c:v>6</c:v>
                </c:pt>
                <c:pt idx="100">
                  <c:v>5</c:v>
                </c:pt>
                <c:pt idx="101">
                  <c:v>4</c:v>
                </c:pt>
                <c:pt idx="102">
                  <c:v>3</c:v>
                </c:pt>
                <c:pt idx="103">
                  <c:v>4</c:v>
                </c:pt>
                <c:pt idx="104">
                  <c:v>3</c:v>
                </c:pt>
                <c:pt idx="105">
                  <c:v>2</c:v>
                </c:pt>
                <c:pt idx="106">
                  <c:v>1</c:v>
                </c:pt>
                <c:pt idx="107">
                  <c:v>0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2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0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2</c:v>
                </c:pt>
                <c:pt idx="120">
                  <c:v>3</c:v>
                </c:pt>
                <c:pt idx="121">
                  <c:v>4</c:v>
                </c:pt>
                <c:pt idx="122">
                  <c:v>3</c:v>
                </c:pt>
                <c:pt idx="123">
                  <c:v>4</c:v>
                </c:pt>
                <c:pt idx="124">
                  <c:v>3</c:v>
                </c:pt>
                <c:pt idx="125">
                  <c:v>4</c:v>
                </c:pt>
                <c:pt idx="126">
                  <c:v>5</c:v>
                </c:pt>
                <c:pt idx="127">
                  <c:v>4</c:v>
                </c:pt>
                <c:pt idx="128">
                  <c:v>3</c:v>
                </c:pt>
                <c:pt idx="129">
                  <c:v>4</c:v>
                </c:pt>
                <c:pt idx="130">
                  <c:v>3</c:v>
                </c:pt>
                <c:pt idx="131">
                  <c:v>4</c:v>
                </c:pt>
                <c:pt idx="132">
                  <c:v>5</c:v>
                </c:pt>
                <c:pt idx="133">
                  <c:v>6</c:v>
                </c:pt>
                <c:pt idx="134">
                  <c:v>7</c:v>
                </c:pt>
                <c:pt idx="135">
                  <c:v>6</c:v>
                </c:pt>
                <c:pt idx="136">
                  <c:v>5</c:v>
                </c:pt>
                <c:pt idx="137">
                  <c:v>4</c:v>
                </c:pt>
                <c:pt idx="138">
                  <c:v>5</c:v>
                </c:pt>
                <c:pt idx="139">
                  <c:v>6</c:v>
                </c:pt>
                <c:pt idx="140">
                  <c:v>5</c:v>
                </c:pt>
                <c:pt idx="141">
                  <c:v>4</c:v>
                </c:pt>
                <c:pt idx="142">
                  <c:v>3</c:v>
                </c:pt>
                <c:pt idx="143">
                  <c:v>4</c:v>
                </c:pt>
                <c:pt idx="144">
                  <c:v>5</c:v>
                </c:pt>
                <c:pt idx="145">
                  <c:v>4</c:v>
                </c:pt>
                <c:pt idx="146">
                  <c:v>3</c:v>
                </c:pt>
                <c:pt idx="147">
                  <c:v>4</c:v>
                </c:pt>
                <c:pt idx="148">
                  <c:v>5</c:v>
                </c:pt>
                <c:pt idx="149">
                  <c:v>4</c:v>
                </c:pt>
                <c:pt idx="150">
                  <c:v>5</c:v>
                </c:pt>
                <c:pt idx="151">
                  <c:v>6</c:v>
                </c:pt>
                <c:pt idx="152">
                  <c:v>5</c:v>
                </c:pt>
                <c:pt idx="153">
                  <c:v>4</c:v>
                </c:pt>
                <c:pt idx="154">
                  <c:v>5</c:v>
                </c:pt>
                <c:pt idx="155">
                  <c:v>6</c:v>
                </c:pt>
                <c:pt idx="156">
                  <c:v>7</c:v>
                </c:pt>
                <c:pt idx="157">
                  <c:v>8</c:v>
                </c:pt>
                <c:pt idx="158">
                  <c:v>9</c:v>
                </c:pt>
                <c:pt idx="159">
                  <c:v>10</c:v>
                </c:pt>
                <c:pt idx="160">
                  <c:v>11</c:v>
                </c:pt>
                <c:pt idx="161">
                  <c:v>10</c:v>
                </c:pt>
                <c:pt idx="162">
                  <c:v>9</c:v>
                </c:pt>
                <c:pt idx="163">
                  <c:v>10</c:v>
                </c:pt>
                <c:pt idx="164">
                  <c:v>9</c:v>
                </c:pt>
                <c:pt idx="165">
                  <c:v>10</c:v>
                </c:pt>
                <c:pt idx="166">
                  <c:v>11</c:v>
                </c:pt>
                <c:pt idx="167">
                  <c:v>12</c:v>
                </c:pt>
                <c:pt idx="168">
                  <c:v>13</c:v>
                </c:pt>
                <c:pt idx="169">
                  <c:v>12</c:v>
                </c:pt>
                <c:pt idx="170">
                  <c:v>13</c:v>
                </c:pt>
                <c:pt idx="171">
                  <c:v>14</c:v>
                </c:pt>
                <c:pt idx="172">
                  <c:v>15</c:v>
                </c:pt>
                <c:pt idx="173">
                  <c:v>16</c:v>
                </c:pt>
                <c:pt idx="174">
                  <c:v>15</c:v>
                </c:pt>
                <c:pt idx="175">
                  <c:v>14</c:v>
                </c:pt>
                <c:pt idx="176">
                  <c:v>13</c:v>
                </c:pt>
                <c:pt idx="177">
                  <c:v>14</c:v>
                </c:pt>
                <c:pt idx="178">
                  <c:v>15</c:v>
                </c:pt>
                <c:pt idx="179">
                  <c:v>14</c:v>
                </c:pt>
                <c:pt idx="180">
                  <c:v>13</c:v>
                </c:pt>
                <c:pt idx="181">
                  <c:v>14</c:v>
                </c:pt>
                <c:pt idx="182">
                  <c:v>13</c:v>
                </c:pt>
                <c:pt idx="183">
                  <c:v>12</c:v>
                </c:pt>
                <c:pt idx="184">
                  <c:v>13</c:v>
                </c:pt>
                <c:pt idx="185">
                  <c:v>14</c:v>
                </c:pt>
                <c:pt idx="186">
                  <c:v>15</c:v>
                </c:pt>
                <c:pt idx="187">
                  <c:v>14</c:v>
                </c:pt>
                <c:pt idx="188">
                  <c:v>13</c:v>
                </c:pt>
                <c:pt idx="189">
                  <c:v>14</c:v>
                </c:pt>
                <c:pt idx="190">
                  <c:v>15</c:v>
                </c:pt>
                <c:pt idx="191">
                  <c:v>16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14</c:v>
                </c:pt>
                <c:pt idx="196">
                  <c:v>13</c:v>
                </c:pt>
                <c:pt idx="197">
                  <c:v>14</c:v>
                </c:pt>
                <c:pt idx="198">
                  <c:v>13</c:v>
                </c:pt>
                <c:pt idx="199">
                  <c:v>12</c:v>
                </c:pt>
                <c:pt idx="200">
                  <c:v>11</c:v>
                </c:pt>
                <c:pt idx="201">
                  <c:v>10</c:v>
                </c:pt>
                <c:pt idx="202">
                  <c:v>9</c:v>
                </c:pt>
                <c:pt idx="203">
                  <c:v>10</c:v>
                </c:pt>
                <c:pt idx="204">
                  <c:v>9</c:v>
                </c:pt>
                <c:pt idx="205">
                  <c:v>8</c:v>
                </c:pt>
                <c:pt idx="206">
                  <c:v>9</c:v>
                </c:pt>
                <c:pt idx="207">
                  <c:v>10</c:v>
                </c:pt>
                <c:pt idx="208">
                  <c:v>11</c:v>
                </c:pt>
                <c:pt idx="209">
                  <c:v>12</c:v>
                </c:pt>
                <c:pt idx="210">
                  <c:v>11</c:v>
                </c:pt>
                <c:pt idx="211">
                  <c:v>12</c:v>
                </c:pt>
                <c:pt idx="212">
                  <c:v>11</c:v>
                </c:pt>
                <c:pt idx="213">
                  <c:v>12</c:v>
                </c:pt>
                <c:pt idx="214">
                  <c:v>11</c:v>
                </c:pt>
                <c:pt idx="215">
                  <c:v>10</c:v>
                </c:pt>
                <c:pt idx="216">
                  <c:v>11</c:v>
                </c:pt>
                <c:pt idx="217">
                  <c:v>12</c:v>
                </c:pt>
                <c:pt idx="218">
                  <c:v>11</c:v>
                </c:pt>
                <c:pt idx="219">
                  <c:v>12</c:v>
                </c:pt>
                <c:pt idx="220">
                  <c:v>11</c:v>
                </c:pt>
                <c:pt idx="221">
                  <c:v>10</c:v>
                </c:pt>
                <c:pt idx="222">
                  <c:v>11</c:v>
                </c:pt>
                <c:pt idx="223">
                  <c:v>10</c:v>
                </c:pt>
                <c:pt idx="224">
                  <c:v>11</c:v>
                </c:pt>
                <c:pt idx="225">
                  <c:v>10</c:v>
                </c:pt>
                <c:pt idx="226">
                  <c:v>11</c:v>
                </c:pt>
                <c:pt idx="227">
                  <c:v>10</c:v>
                </c:pt>
                <c:pt idx="228">
                  <c:v>11</c:v>
                </c:pt>
                <c:pt idx="229">
                  <c:v>12</c:v>
                </c:pt>
                <c:pt idx="230">
                  <c:v>13</c:v>
                </c:pt>
                <c:pt idx="231">
                  <c:v>12</c:v>
                </c:pt>
                <c:pt idx="232">
                  <c:v>13</c:v>
                </c:pt>
                <c:pt idx="233">
                  <c:v>12</c:v>
                </c:pt>
                <c:pt idx="234">
                  <c:v>11</c:v>
                </c:pt>
                <c:pt idx="235">
                  <c:v>10</c:v>
                </c:pt>
                <c:pt idx="236">
                  <c:v>9</c:v>
                </c:pt>
                <c:pt idx="237">
                  <c:v>8</c:v>
                </c:pt>
                <c:pt idx="238">
                  <c:v>9</c:v>
                </c:pt>
                <c:pt idx="239">
                  <c:v>10</c:v>
                </c:pt>
                <c:pt idx="240">
                  <c:v>9</c:v>
                </c:pt>
                <c:pt idx="241">
                  <c:v>10</c:v>
                </c:pt>
                <c:pt idx="242">
                  <c:v>11</c:v>
                </c:pt>
                <c:pt idx="243">
                  <c:v>10</c:v>
                </c:pt>
                <c:pt idx="244">
                  <c:v>11</c:v>
                </c:pt>
                <c:pt idx="245">
                  <c:v>10</c:v>
                </c:pt>
                <c:pt idx="246">
                  <c:v>11</c:v>
                </c:pt>
                <c:pt idx="247">
                  <c:v>12</c:v>
                </c:pt>
                <c:pt idx="248">
                  <c:v>11</c:v>
                </c:pt>
                <c:pt idx="249">
                  <c:v>10</c:v>
                </c:pt>
                <c:pt idx="250">
                  <c:v>9</c:v>
                </c:pt>
                <c:pt idx="251">
                  <c:v>10</c:v>
                </c:pt>
                <c:pt idx="252">
                  <c:v>11</c:v>
                </c:pt>
                <c:pt idx="253">
                  <c:v>10</c:v>
                </c:pt>
                <c:pt idx="254">
                  <c:v>11</c:v>
                </c:pt>
                <c:pt idx="255">
                  <c:v>12</c:v>
                </c:pt>
                <c:pt idx="256">
                  <c:v>11</c:v>
                </c:pt>
                <c:pt idx="257">
                  <c:v>10</c:v>
                </c:pt>
                <c:pt idx="258">
                  <c:v>9</c:v>
                </c:pt>
                <c:pt idx="259">
                  <c:v>10</c:v>
                </c:pt>
                <c:pt idx="260">
                  <c:v>11</c:v>
                </c:pt>
                <c:pt idx="261">
                  <c:v>12</c:v>
                </c:pt>
                <c:pt idx="262">
                  <c:v>11</c:v>
                </c:pt>
                <c:pt idx="263">
                  <c:v>12</c:v>
                </c:pt>
                <c:pt idx="264">
                  <c:v>11</c:v>
                </c:pt>
                <c:pt idx="265">
                  <c:v>10</c:v>
                </c:pt>
                <c:pt idx="266">
                  <c:v>9</c:v>
                </c:pt>
                <c:pt idx="267">
                  <c:v>8</c:v>
                </c:pt>
                <c:pt idx="268">
                  <c:v>7</c:v>
                </c:pt>
                <c:pt idx="269">
                  <c:v>8</c:v>
                </c:pt>
                <c:pt idx="270">
                  <c:v>9</c:v>
                </c:pt>
                <c:pt idx="271">
                  <c:v>8</c:v>
                </c:pt>
                <c:pt idx="272">
                  <c:v>9</c:v>
                </c:pt>
                <c:pt idx="273">
                  <c:v>8</c:v>
                </c:pt>
                <c:pt idx="274">
                  <c:v>7</c:v>
                </c:pt>
                <c:pt idx="275">
                  <c:v>8</c:v>
                </c:pt>
                <c:pt idx="276">
                  <c:v>9</c:v>
                </c:pt>
                <c:pt idx="277">
                  <c:v>10</c:v>
                </c:pt>
                <c:pt idx="278">
                  <c:v>11</c:v>
                </c:pt>
                <c:pt idx="279">
                  <c:v>10</c:v>
                </c:pt>
                <c:pt idx="280">
                  <c:v>9</c:v>
                </c:pt>
                <c:pt idx="281">
                  <c:v>10</c:v>
                </c:pt>
                <c:pt idx="282">
                  <c:v>9</c:v>
                </c:pt>
                <c:pt idx="283">
                  <c:v>10</c:v>
                </c:pt>
                <c:pt idx="284">
                  <c:v>11</c:v>
                </c:pt>
                <c:pt idx="285">
                  <c:v>12</c:v>
                </c:pt>
                <c:pt idx="286">
                  <c:v>11</c:v>
                </c:pt>
                <c:pt idx="287">
                  <c:v>12</c:v>
                </c:pt>
                <c:pt idx="288">
                  <c:v>11</c:v>
                </c:pt>
                <c:pt idx="289">
                  <c:v>10</c:v>
                </c:pt>
                <c:pt idx="290">
                  <c:v>11</c:v>
                </c:pt>
                <c:pt idx="291">
                  <c:v>12</c:v>
                </c:pt>
                <c:pt idx="292">
                  <c:v>13</c:v>
                </c:pt>
                <c:pt idx="293">
                  <c:v>12</c:v>
                </c:pt>
                <c:pt idx="294">
                  <c:v>13</c:v>
                </c:pt>
                <c:pt idx="295">
                  <c:v>14</c:v>
                </c:pt>
                <c:pt idx="296">
                  <c:v>13</c:v>
                </c:pt>
                <c:pt idx="297">
                  <c:v>14</c:v>
                </c:pt>
                <c:pt idx="298">
                  <c:v>15</c:v>
                </c:pt>
                <c:pt idx="299">
                  <c:v>16</c:v>
                </c:pt>
                <c:pt idx="300">
                  <c:v>17</c:v>
                </c:pt>
                <c:pt idx="301">
                  <c:v>16</c:v>
                </c:pt>
                <c:pt idx="302">
                  <c:v>15</c:v>
                </c:pt>
                <c:pt idx="303">
                  <c:v>16</c:v>
                </c:pt>
                <c:pt idx="304">
                  <c:v>15</c:v>
                </c:pt>
                <c:pt idx="305">
                  <c:v>14</c:v>
                </c:pt>
                <c:pt idx="306">
                  <c:v>13</c:v>
                </c:pt>
                <c:pt idx="307">
                  <c:v>12</c:v>
                </c:pt>
                <c:pt idx="308">
                  <c:v>13</c:v>
                </c:pt>
                <c:pt idx="309">
                  <c:v>14</c:v>
                </c:pt>
                <c:pt idx="310">
                  <c:v>13</c:v>
                </c:pt>
                <c:pt idx="311">
                  <c:v>12</c:v>
                </c:pt>
                <c:pt idx="312">
                  <c:v>13</c:v>
                </c:pt>
                <c:pt idx="313">
                  <c:v>12</c:v>
                </c:pt>
                <c:pt idx="314">
                  <c:v>13</c:v>
                </c:pt>
                <c:pt idx="315">
                  <c:v>12</c:v>
                </c:pt>
                <c:pt idx="316">
                  <c:v>13</c:v>
                </c:pt>
                <c:pt idx="317">
                  <c:v>12</c:v>
                </c:pt>
                <c:pt idx="318">
                  <c:v>13</c:v>
                </c:pt>
                <c:pt idx="319">
                  <c:v>12</c:v>
                </c:pt>
                <c:pt idx="320">
                  <c:v>13</c:v>
                </c:pt>
                <c:pt idx="321">
                  <c:v>14</c:v>
                </c:pt>
                <c:pt idx="322">
                  <c:v>15</c:v>
                </c:pt>
                <c:pt idx="323">
                  <c:v>14</c:v>
                </c:pt>
                <c:pt idx="324">
                  <c:v>13</c:v>
                </c:pt>
                <c:pt idx="325">
                  <c:v>14</c:v>
                </c:pt>
                <c:pt idx="326">
                  <c:v>15</c:v>
                </c:pt>
                <c:pt idx="327">
                  <c:v>14</c:v>
                </c:pt>
                <c:pt idx="328">
                  <c:v>15</c:v>
                </c:pt>
                <c:pt idx="329">
                  <c:v>14</c:v>
                </c:pt>
                <c:pt idx="330">
                  <c:v>13</c:v>
                </c:pt>
                <c:pt idx="331">
                  <c:v>14</c:v>
                </c:pt>
                <c:pt idx="332">
                  <c:v>13</c:v>
                </c:pt>
                <c:pt idx="333">
                  <c:v>14</c:v>
                </c:pt>
                <c:pt idx="334">
                  <c:v>15</c:v>
                </c:pt>
                <c:pt idx="335">
                  <c:v>16</c:v>
                </c:pt>
                <c:pt idx="336">
                  <c:v>17</c:v>
                </c:pt>
                <c:pt idx="337">
                  <c:v>16</c:v>
                </c:pt>
                <c:pt idx="338">
                  <c:v>17</c:v>
                </c:pt>
                <c:pt idx="339">
                  <c:v>16</c:v>
                </c:pt>
                <c:pt idx="340">
                  <c:v>17</c:v>
                </c:pt>
                <c:pt idx="341">
                  <c:v>18</c:v>
                </c:pt>
                <c:pt idx="342">
                  <c:v>17</c:v>
                </c:pt>
                <c:pt idx="343">
                  <c:v>16</c:v>
                </c:pt>
                <c:pt idx="344">
                  <c:v>17</c:v>
                </c:pt>
                <c:pt idx="345">
                  <c:v>16</c:v>
                </c:pt>
                <c:pt idx="346">
                  <c:v>15</c:v>
                </c:pt>
                <c:pt idx="347">
                  <c:v>16</c:v>
                </c:pt>
                <c:pt idx="348">
                  <c:v>15</c:v>
                </c:pt>
                <c:pt idx="349">
                  <c:v>16</c:v>
                </c:pt>
                <c:pt idx="350">
                  <c:v>15</c:v>
                </c:pt>
                <c:pt idx="351">
                  <c:v>14</c:v>
                </c:pt>
                <c:pt idx="352">
                  <c:v>15</c:v>
                </c:pt>
                <c:pt idx="353">
                  <c:v>16</c:v>
                </c:pt>
                <c:pt idx="354">
                  <c:v>17</c:v>
                </c:pt>
                <c:pt idx="355">
                  <c:v>18</c:v>
                </c:pt>
                <c:pt idx="356">
                  <c:v>17</c:v>
                </c:pt>
                <c:pt idx="357">
                  <c:v>18</c:v>
                </c:pt>
                <c:pt idx="358">
                  <c:v>19</c:v>
                </c:pt>
                <c:pt idx="359">
                  <c:v>20</c:v>
                </c:pt>
                <c:pt idx="360">
                  <c:v>19</c:v>
                </c:pt>
                <c:pt idx="361">
                  <c:v>18</c:v>
                </c:pt>
                <c:pt idx="362">
                  <c:v>17</c:v>
                </c:pt>
                <c:pt idx="363">
                  <c:v>18</c:v>
                </c:pt>
                <c:pt idx="364">
                  <c:v>17</c:v>
                </c:pt>
                <c:pt idx="365">
                  <c:v>18</c:v>
                </c:pt>
                <c:pt idx="366">
                  <c:v>17</c:v>
                </c:pt>
                <c:pt idx="367">
                  <c:v>16</c:v>
                </c:pt>
                <c:pt idx="368">
                  <c:v>15</c:v>
                </c:pt>
                <c:pt idx="369">
                  <c:v>14</c:v>
                </c:pt>
                <c:pt idx="370">
                  <c:v>15</c:v>
                </c:pt>
                <c:pt idx="371">
                  <c:v>14</c:v>
                </c:pt>
                <c:pt idx="372">
                  <c:v>13</c:v>
                </c:pt>
                <c:pt idx="373">
                  <c:v>14</c:v>
                </c:pt>
                <c:pt idx="374">
                  <c:v>13</c:v>
                </c:pt>
                <c:pt idx="375">
                  <c:v>14</c:v>
                </c:pt>
                <c:pt idx="376">
                  <c:v>13</c:v>
                </c:pt>
                <c:pt idx="377">
                  <c:v>14</c:v>
                </c:pt>
                <c:pt idx="378">
                  <c:v>13</c:v>
                </c:pt>
                <c:pt idx="379">
                  <c:v>12</c:v>
                </c:pt>
                <c:pt idx="380">
                  <c:v>11</c:v>
                </c:pt>
                <c:pt idx="381">
                  <c:v>12</c:v>
                </c:pt>
                <c:pt idx="382">
                  <c:v>11</c:v>
                </c:pt>
                <c:pt idx="383">
                  <c:v>10</c:v>
                </c:pt>
                <c:pt idx="384">
                  <c:v>11</c:v>
                </c:pt>
                <c:pt idx="385">
                  <c:v>12</c:v>
                </c:pt>
                <c:pt idx="386">
                  <c:v>13</c:v>
                </c:pt>
                <c:pt idx="387">
                  <c:v>12</c:v>
                </c:pt>
                <c:pt idx="388">
                  <c:v>11</c:v>
                </c:pt>
                <c:pt idx="389">
                  <c:v>10</c:v>
                </c:pt>
                <c:pt idx="390">
                  <c:v>9</c:v>
                </c:pt>
                <c:pt idx="391">
                  <c:v>8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7C-4E23-A1DB-A50895D39ED6}"/>
            </c:ext>
          </c:extLst>
        </c:ser>
        <c:ser>
          <c:idx val="2"/>
          <c:order val="2"/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Лист23!$R$634:$R$1033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3</c:v>
                </c:pt>
                <c:pt idx="13">
                  <c:v>4</c:v>
                </c:pt>
                <c:pt idx="14">
                  <c:v>3</c:v>
                </c:pt>
                <c:pt idx="15">
                  <c:v>2</c:v>
                </c:pt>
                <c:pt idx="16">
                  <c:v>3</c:v>
                </c:pt>
                <c:pt idx="17">
                  <c:v>4</c:v>
                </c:pt>
                <c:pt idx="18">
                  <c:v>3</c:v>
                </c:pt>
                <c:pt idx="19">
                  <c:v>4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2</c:v>
                </c:pt>
                <c:pt idx="24">
                  <c:v>1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2</c:v>
                </c:pt>
                <c:pt idx="30">
                  <c:v>3</c:v>
                </c:pt>
                <c:pt idx="31">
                  <c:v>4</c:v>
                </c:pt>
                <c:pt idx="32">
                  <c:v>3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5</c:v>
                </c:pt>
                <c:pt idx="37">
                  <c:v>4</c:v>
                </c:pt>
                <c:pt idx="38">
                  <c:v>3</c:v>
                </c:pt>
                <c:pt idx="39">
                  <c:v>4</c:v>
                </c:pt>
                <c:pt idx="40">
                  <c:v>5</c:v>
                </c:pt>
                <c:pt idx="41">
                  <c:v>6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8</c:v>
                </c:pt>
                <c:pt idx="46">
                  <c:v>9</c:v>
                </c:pt>
                <c:pt idx="47">
                  <c:v>10</c:v>
                </c:pt>
                <c:pt idx="48">
                  <c:v>9</c:v>
                </c:pt>
                <c:pt idx="49">
                  <c:v>10</c:v>
                </c:pt>
                <c:pt idx="50">
                  <c:v>11</c:v>
                </c:pt>
                <c:pt idx="51">
                  <c:v>10</c:v>
                </c:pt>
                <c:pt idx="52">
                  <c:v>9</c:v>
                </c:pt>
                <c:pt idx="53">
                  <c:v>8</c:v>
                </c:pt>
                <c:pt idx="54">
                  <c:v>9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12</c:v>
                </c:pt>
                <c:pt idx="60">
                  <c:v>11</c:v>
                </c:pt>
                <c:pt idx="61">
                  <c:v>10</c:v>
                </c:pt>
                <c:pt idx="62">
                  <c:v>11</c:v>
                </c:pt>
                <c:pt idx="63">
                  <c:v>10</c:v>
                </c:pt>
                <c:pt idx="64">
                  <c:v>9</c:v>
                </c:pt>
                <c:pt idx="65">
                  <c:v>8</c:v>
                </c:pt>
                <c:pt idx="66">
                  <c:v>9</c:v>
                </c:pt>
                <c:pt idx="67">
                  <c:v>8</c:v>
                </c:pt>
                <c:pt idx="68">
                  <c:v>9</c:v>
                </c:pt>
                <c:pt idx="69">
                  <c:v>8</c:v>
                </c:pt>
                <c:pt idx="70">
                  <c:v>7</c:v>
                </c:pt>
                <c:pt idx="71">
                  <c:v>6</c:v>
                </c:pt>
                <c:pt idx="72">
                  <c:v>7</c:v>
                </c:pt>
                <c:pt idx="73">
                  <c:v>6</c:v>
                </c:pt>
                <c:pt idx="74">
                  <c:v>5</c:v>
                </c:pt>
                <c:pt idx="75">
                  <c:v>6</c:v>
                </c:pt>
                <c:pt idx="76">
                  <c:v>7</c:v>
                </c:pt>
                <c:pt idx="77">
                  <c:v>8</c:v>
                </c:pt>
                <c:pt idx="78">
                  <c:v>9</c:v>
                </c:pt>
                <c:pt idx="79">
                  <c:v>10</c:v>
                </c:pt>
                <c:pt idx="80">
                  <c:v>9</c:v>
                </c:pt>
                <c:pt idx="81">
                  <c:v>8</c:v>
                </c:pt>
                <c:pt idx="82">
                  <c:v>7</c:v>
                </c:pt>
                <c:pt idx="83">
                  <c:v>8</c:v>
                </c:pt>
                <c:pt idx="84">
                  <c:v>9</c:v>
                </c:pt>
                <c:pt idx="85">
                  <c:v>10</c:v>
                </c:pt>
                <c:pt idx="86">
                  <c:v>9</c:v>
                </c:pt>
                <c:pt idx="87">
                  <c:v>8</c:v>
                </c:pt>
                <c:pt idx="88">
                  <c:v>9</c:v>
                </c:pt>
                <c:pt idx="89">
                  <c:v>10</c:v>
                </c:pt>
                <c:pt idx="90">
                  <c:v>11</c:v>
                </c:pt>
                <c:pt idx="91">
                  <c:v>10</c:v>
                </c:pt>
                <c:pt idx="92">
                  <c:v>9</c:v>
                </c:pt>
                <c:pt idx="93">
                  <c:v>8</c:v>
                </c:pt>
                <c:pt idx="94">
                  <c:v>9</c:v>
                </c:pt>
                <c:pt idx="95">
                  <c:v>10</c:v>
                </c:pt>
                <c:pt idx="96">
                  <c:v>11</c:v>
                </c:pt>
                <c:pt idx="97">
                  <c:v>12</c:v>
                </c:pt>
                <c:pt idx="98">
                  <c:v>11</c:v>
                </c:pt>
                <c:pt idx="99">
                  <c:v>10</c:v>
                </c:pt>
                <c:pt idx="100">
                  <c:v>11</c:v>
                </c:pt>
                <c:pt idx="101">
                  <c:v>10</c:v>
                </c:pt>
                <c:pt idx="102">
                  <c:v>9</c:v>
                </c:pt>
                <c:pt idx="103">
                  <c:v>10</c:v>
                </c:pt>
                <c:pt idx="104">
                  <c:v>11</c:v>
                </c:pt>
                <c:pt idx="105">
                  <c:v>12</c:v>
                </c:pt>
                <c:pt idx="106">
                  <c:v>13</c:v>
                </c:pt>
                <c:pt idx="107">
                  <c:v>12</c:v>
                </c:pt>
                <c:pt idx="108">
                  <c:v>11</c:v>
                </c:pt>
                <c:pt idx="109">
                  <c:v>10</c:v>
                </c:pt>
                <c:pt idx="110">
                  <c:v>9</c:v>
                </c:pt>
                <c:pt idx="111">
                  <c:v>10</c:v>
                </c:pt>
                <c:pt idx="112">
                  <c:v>9</c:v>
                </c:pt>
                <c:pt idx="113">
                  <c:v>10</c:v>
                </c:pt>
                <c:pt idx="114">
                  <c:v>11</c:v>
                </c:pt>
                <c:pt idx="115">
                  <c:v>10</c:v>
                </c:pt>
                <c:pt idx="116">
                  <c:v>11</c:v>
                </c:pt>
                <c:pt idx="117">
                  <c:v>12</c:v>
                </c:pt>
                <c:pt idx="118">
                  <c:v>11</c:v>
                </c:pt>
                <c:pt idx="119">
                  <c:v>10</c:v>
                </c:pt>
                <c:pt idx="120">
                  <c:v>11</c:v>
                </c:pt>
                <c:pt idx="121">
                  <c:v>10</c:v>
                </c:pt>
                <c:pt idx="122">
                  <c:v>9</c:v>
                </c:pt>
                <c:pt idx="123">
                  <c:v>8</c:v>
                </c:pt>
                <c:pt idx="124">
                  <c:v>9</c:v>
                </c:pt>
                <c:pt idx="125">
                  <c:v>10</c:v>
                </c:pt>
                <c:pt idx="126">
                  <c:v>11</c:v>
                </c:pt>
                <c:pt idx="127">
                  <c:v>10</c:v>
                </c:pt>
                <c:pt idx="128">
                  <c:v>9</c:v>
                </c:pt>
                <c:pt idx="129">
                  <c:v>8</c:v>
                </c:pt>
                <c:pt idx="130">
                  <c:v>9</c:v>
                </c:pt>
                <c:pt idx="131">
                  <c:v>10</c:v>
                </c:pt>
                <c:pt idx="132">
                  <c:v>11</c:v>
                </c:pt>
                <c:pt idx="133">
                  <c:v>10</c:v>
                </c:pt>
                <c:pt idx="134">
                  <c:v>9</c:v>
                </c:pt>
                <c:pt idx="135">
                  <c:v>8</c:v>
                </c:pt>
                <c:pt idx="136">
                  <c:v>7</c:v>
                </c:pt>
                <c:pt idx="137">
                  <c:v>6</c:v>
                </c:pt>
                <c:pt idx="138">
                  <c:v>5</c:v>
                </c:pt>
                <c:pt idx="139">
                  <c:v>6</c:v>
                </c:pt>
                <c:pt idx="140">
                  <c:v>7</c:v>
                </c:pt>
                <c:pt idx="141">
                  <c:v>6</c:v>
                </c:pt>
                <c:pt idx="142">
                  <c:v>7</c:v>
                </c:pt>
                <c:pt idx="143">
                  <c:v>6</c:v>
                </c:pt>
                <c:pt idx="144">
                  <c:v>7</c:v>
                </c:pt>
                <c:pt idx="145">
                  <c:v>8</c:v>
                </c:pt>
                <c:pt idx="146">
                  <c:v>9</c:v>
                </c:pt>
                <c:pt idx="147">
                  <c:v>8</c:v>
                </c:pt>
                <c:pt idx="148">
                  <c:v>7</c:v>
                </c:pt>
                <c:pt idx="149">
                  <c:v>6</c:v>
                </c:pt>
                <c:pt idx="150">
                  <c:v>7</c:v>
                </c:pt>
                <c:pt idx="151">
                  <c:v>6</c:v>
                </c:pt>
                <c:pt idx="152">
                  <c:v>5</c:v>
                </c:pt>
                <c:pt idx="153">
                  <c:v>6</c:v>
                </c:pt>
                <c:pt idx="154">
                  <c:v>5</c:v>
                </c:pt>
                <c:pt idx="155">
                  <c:v>4</c:v>
                </c:pt>
                <c:pt idx="156">
                  <c:v>5</c:v>
                </c:pt>
                <c:pt idx="157">
                  <c:v>6</c:v>
                </c:pt>
                <c:pt idx="158">
                  <c:v>5</c:v>
                </c:pt>
                <c:pt idx="159">
                  <c:v>4</c:v>
                </c:pt>
                <c:pt idx="160">
                  <c:v>3</c:v>
                </c:pt>
                <c:pt idx="161">
                  <c:v>4</c:v>
                </c:pt>
                <c:pt idx="162">
                  <c:v>3</c:v>
                </c:pt>
                <c:pt idx="163">
                  <c:v>4</c:v>
                </c:pt>
                <c:pt idx="164">
                  <c:v>5</c:v>
                </c:pt>
                <c:pt idx="165">
                  <c:v>4</c:v>
                </c:pt>
                <c:pt idx="166">
                  <c:v>3</c:v>
                </c:pt>
                <c:pt idx="167">
                  <c:v>2</c:v>
                </c:pt>
                <c:pt idx="168">
                  <c:v>1</c:v>
                </c:pt>
                <c:pt idx="169">
                  <c:v>2</c:v>
                </c:pt>
                <c:pt idx="170">
                  <c:v>1</c:v>
                </c:pt>
                <c:pt idx="171">
                  <c:v>2</c:v>
                </c:pt>
                <c:pt idx="172">
                  <c:v>1</c:v>
                </c:pt>
                <c:pt idx="173">
                  <c:v>2</c:v>
                </c:pt>
                <c:pt idx="174">
                  <c:v>1</c:v>
                </c:pt>
                <c:pt idx="175">
                  <c:v>0</c:v>
                </c:pt>
                <c:pt idx="176">
                  <c:v>1</c:v>
                </c:pt>
                <c:pt idx="177">
                  <c:v>2</c:v>
                </c:pt>
                <c:pt idx="178">
                  <c:v>1</c:v>
                </c:pt>
                <c:pt idx="179">
                  <c:v>0</c:v>
                </c:pt>
                <c:pt idx="180">
                  <c:v>1</c:v>
                </c:pt>
                <c:pt idx="181">
                  <c:v>0</c:v>
                </c:pt>
                <c:pt idx="182">
                  <c:v>1</c:v>
                </c:pt>
                <c:pt idx="183">
                  <c:v>0</c:v>
                </c:pt>
                <c:pt idx="184">
                  <c:v>1</c:v>
                </c:pt>
                <c:pt idx="185">
                  <c:v>0</c:v>
                </c:pt>
                <c:pt idx="186">
                  <c:v>1</c:v>
                </c:pt>
                <c:pt idx="187">
                  <c:v>0</c:v>
                </c:pt>
                <c:pt idx="188">
                  <c:v>1</c:v>
                </c:pt>
                <c:pt idx="189">
                  <c:v>2</c:v>
                </c:pt>
                <c:pt idx="190">
                  <c:v>3</c:v>
                </c:pt>
                <c:pt idx="191">
                  <c:v>4</c:v>
                </c:pt>
                <c:pt idx="192">
                  <c:v>3</c:v>
                </c:pt>
                <c:pt idx="193">
                  <c:v>2</c:v>
                </c:pt>
                <c:pt idx="194">
                  <c:v>1</c:v>
                </c:pt>
                <c:pt idx="195">
                  <c:v>0</c:v>
                </c:pt>
                <c:pt idx="196">
                  <c:v>1</c:v>
                </c:pt>
                <c:pt idx="197">
                  <c:v>2</c:v>
                </c:pt>
                <c:pt idx="198">
                  <c:v>1</c:v>
                </c:pt>
                <c:pt idx="199">
                  <c:v>0</c:v>
                </c:pt>
                <c:pt idx="200">
                  <c:v>1</c:v>
                </c:pt>
                <c:pt idx="201">
                  <c:v>2</c:v>
                </c:pt>
                <c:pt idx="202">
                  <c:v>3</c:v>
                </c:pt>
                <c:pt idx="203">
                  <c:v>4</c:v>
                </c:pt>
                <c:pt idx="204">
                  <c:v>5</c:v>
                </c:pt>
                <c:pt idx="205">
                  <c:v>6</c:v>
                </c:pt>
                <c:pt idx="206">
                  <c:v>5</c:v>
                </c:pt>
                <c:pt idx="207">
                  <c:v>6</c:v>
                </c:pt>
                <c:pt idx="208">
                  <c:v>7</c:v>
                </c:pt>
                <c:pt idx="209">
                  <c:v>8</c:v>
                </c:pt>
                <c:pt idx="210">
                  <c:v>7</c:v>
                </c:pt>
                <c:pt idx="211">
                  <c:v>8</c:v>
                </c:pt>
                <c:pt idx="212">
                  <c:v>7</c:v>
                </c:pt>
                <c:pt idx="213">
                  <c:v>6</c:v>
                </c:pt>
                <c:pt idx="214">
                  <c:v>5</c:v>
                </c:pt>
                <c:pt idx="215">
                  <c:v>4</c:v>
                </c:pt>
                <c:pt idx="216">
                  <c:v>3</c:v>
                </c:pt>
                <c:pt idx="217">
                  <c:v>4</c:v>
                </c:pt>
                <c:pt idx="218">
                  <c:v>5</c:v>
                </c:pt>
                <c:pt idx="219">
                  <c:v>4</c:v>
                </c:pt>
                <c:pt idx="220">
                  <c:v>3</c:v>
                </c:pt>
                <c:pt idx="221">
                  <c:v>4</c:v>
                </c:pt>
                <c:pt idx="222">
                  <c:v>3</c:v>
                </c:pt>
                <c:pt idx="223">
                  <c:v>2</c:v>
                </c:pt>
                <c:pt idx="224">
                  <c:v>3</c:v>
                </c:pt>
                <c:pt idx="225">
                  <c:v>2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2</c:v>
                </c:pt>
                <c:pt idx="230">
                  <c:v>3</c:v>
                </c:pt>
                <c:pt idx="231">
                  <c:v>2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0</c:v>
                </c:pt>
                <c:pt idx="236">
                  <c:v>1</c:v>
                </c:pt>
                <c:pt idx="237">
                  <c:v>0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0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2</c:v>
                </c:pt>
                <c:pt idx="246">
                  <c:v>3</c:v>
                </c:pt>
                <c:pt idx="247">
                  <c:v>2</c:v>
                </c:pt>
                <c:pt idx="248">
                  <c:v>3</c:v>
                </c:pt>
                <c:pt idx="249">
                  <c:v>2</c:v>
                </c:pt>
                <c:pt idx="250">
                  <c:v>1</c:v>
                </c:pt>
                <c:pt idx="251">
                  <c:v>2</c:v>
                </c:pt>
                <c:pt idx="252">
                  <c:v>3</c:v>
                </c:pt>
                <c:pt idx="253">
                  <c:v>4</c:v>
                </c:pt>
                <c:pt idx="254">
                  <c:v>5</c:v>
                </c:pt>
                <c:pt idx="255">
                  <c:v>4</c:v>
                </c:pt>
                <c:pt idx="256">
                  <c:v>3</c:v>
                </c:pt>
                <c:pt idx="257">
                  <c:v>4</c:v>
                </c:pt>
                <c:pt idx="258">
                  <c:v>3</c:v>
                </c:pt>
                <c:pt idx="259">
                  <c:v>2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0</c:v>
                </c:pt>
                <c:pt idx="266">
                  <c:v>1</c:v>
                </c:pt>
                <c:pt idx="267">
                  <c:v>0</c:v>
                </c:pt>
                <c:pt idx="268">
                  <c:v>1</c:v>
                </c:pt>
                <c:pt idx="269">
                  <c:v>2</c:v>
                </c:pt>
                <c:pt idx="270">
                  <c:v>1</c:v>
                </c:pt>
                <c:pt idx="271">
                  <c:v>2</c:v>
                </c:pt>
                <c:pt idx="272">
                  <c:v>1</c:v>
                </c:pt>
                <c:pt idx="273">
                  <c:v>2</c:v>
                </c:pt>
                <c:pt idx="274">
                  <c:v>3</c:v>
                </c:pt>
                <c:pt idx="275">
                  <c:v>4</c:v>
                </c:pt>
                <c:pt idx="276">
                  <c:v>3</c:v>
                </c:pt>
                <c:pt idx="277">
                  <c:v>4</c:v>
                </c:pt>
                <c:pt idx="278">
                  <c:v>3</c:v>
                </c:pt>
                <c:pt idx="279">
                  <c:v>2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2</c:v>
                </c:pt>
                <c:pt idx="284">
                  <c:v>1</c:v>
                </c:pt>
                <c:pt idx="285">
                  <c:v>2</c:v>
                </c:pt>
                <c:pt idx="286">
                  <c:v>3</c:v>
                </c:pt>
                <c:pt idx="287">
                  <c:v>2</c:v>
                </c:pt>
                <c:pt idx="288">
                  <c:v>3</c:v>
                </c:pt>
                <c:pt idx="289">
                  <c:v>4</c:v>
                </c:pt>
                <c:pt idx="290">
                  <c:v>5</c:v>
                </c:pt>
                <c:pt idx="291">
                  <c:v>4</c:v>
                </c:pt>
                <c:pt idx="292">
                  <c:v>3</c:v>
                </c:pt>
                <c:pt idx="293">
                  <c:v>2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2</c:v>
                </c:pt>
                <c:pt idx="298">
                  <c:v>3</c:v>
                </c:pt>
                <c:pt idx="299">
                  <c:v>2</c:v>
                </c:pt>
                <c:pt idx="300">
                  <c:v>3</c:v>
                </c:pt>
                <c:pt idx="301">
                  <c:v>4</c:v>
                </c:pt>
                <c:pt idx="302">
                  <c:v>5</c:v>
                </c:pt>
                <c:pt idx="303">
                  <c:v>4</c:v>
                </c:pt>
                <c:pt idx="304">
                  <c:v>3</c:v>
                </c:pt>
                <c:pt idx="305">
                  <c:v>4</c:v>
                </c:pt>
                <c:pt idx="306">
                  <c:v>3</c:v>
                </c:pt>
                <c:pt idx="307">
                  <c:v>4</c:v>
                </c:pt>
                <c:pt idx="308">
                  <c:v>3</c:v>
                </c:pt>
                <c:pt idx="309">
                  <c:v>2</c:v>
                </c:pt>
                <c:pt idx="310">
                  <c:v>1</c:v>
                </c:pt>
                <c:pt idx="311">
                  <c:v>2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0</c:v>
                </c:pt>
                <c:pt idx="316">
                  <c:v>1</c:v>
                </c:pt>
                <c:pt idx="317">
                  <c:v>0</c:v>
                </c:pt>
                <c:pt idx="318">
                  <c:v>1</c:v>
                </c:pt>
                <c:pt idx="319">
                  <c:v>2</c:v>
                </c:pt>
                <c:pt idx="320">
                  <c:v>1</c:v>
                </c:pt>
                <c:pt idx="321">
                  <c:v>0</c:v>
                </c:pt>
                <c:pt idx="322">
                  <c:v>1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3</c:v>
                </c:pt>
                <c:pt idx="327">
                  <c:v>4</c:v>
                </c:pt>
                <c:pt idx="328">
                  <c:v>5</c:v>
                </c:pt>
                <c:pt idx="329">
                  <c:v>6</c:v>
                </c:pt>
                <c:pt idx="330">
                  <c:v>7</c:v>
                </c:pt>
                <c:pt idx="331">
                  <c:v>6</c:v>
                </c:pt>
                <c:pt idx="332">
                  <c:v>5</c:v>
                </c:pt>
                <c:pt idx="333">
                  <c:v>4</c:v>
                </c:pt>
                <c:pt idx="334">
                  <c:v>3</c:v>
                </c:pt>
                <c:pt idx="335">
                  <c:v>2</c:v>
                </c:pt>
                <c:pt idx="336">
                  <c:v>3</c:v>
                </c:pt>
                <c:pt idx="337">
                  <c:v>2</c:v>
                </c:pt>
                <c:pt idx="338">
                  <c:v>3</c:v>
                </c:pt>
                <c:pt idx="339">
                  <c:v>4</c:v>
                </c:pt>
                <c:pt idx="340">
                  <c:v>5</c:v>
                </c:pt>
                <c:pt idx="341">
                  <c:v>4</c:v>
                </c:pt>
                <c:pt idx="342">
                  <c:v>3</c:v>
                </c:pt>
                <c:pt idx="343">
                  <c:v>2</c:v>
                </c:pt>
                <c:pt idx="344">
                  <c:v>1</c:v>
                </c:pt>
                <c:pt idx="345">
                  <c:v>2</c:v>
                </c:pt>
                <c:pt idx="346">
                  <c:v>3</c:v>
                </c:pt>
                <c:pt idx="347">
                  <c:v>4</c:v>
                </c:pt>
                <c:pt idx="348">
                  <c:v>3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2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0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0</c:v>
                </c:pt>
                <c:pt idx="364">
                  <c:v>1</c:v>
                </c:pt>
                <c:pt idx="365">
                  <c:v>2</c:v>
                </c:pt>
                <c:pt idx="366">
                  <c:v>1</c:v>
                </c:pt>
                <c:pt idx="367">
                  <c:v>2</c:v>
                </c:pt>
                <c:pt idx="368">
                  <c:v>1</c:v>
                </c:pt>
                <c:pt idx="369">
                  <c:v>0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2</c:v>
                </c:pt>
                <c:pt idx="374">
                  <c:v>3</c:v>
                </c:pt>
                <c:pt idx="375">
                  <c:v>2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0</c:v>
                </c:pt>
                <c:pt idx="384">
                  <c:v>1</c:v>
                </c:pt>
                <c:pt idx="385">
                  <c:v>0</c:v>
                </c:pt>
                <c:pt idx="386">
                  <c:v>1</c:v>
                </c:pt>
                <c:pt idx="387">
                  <c:v>0</c:v>
                </c:pt>
                <c:pt idx="388">
                  <c:v>1</c:v>
                </c:pt>
                <c:pt idx="389">
                  <c:v>2</c:v>
                </c:pt>
                <c:pt idx="390">
                  <c:v>1</c:v>
                </c:pt>
                <c:pt idx="391">
                  <c:v>0</c:v>
                </c:pt>
                <c:pt idx="392">
                  <c:v>1</c:v>
                </c:pt>
                <c:pt idx="393">
                  <c:v>2</c:v>
                </c:pt>
                <c:pt idx="394">
                  <c:v>3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07C-4E23-A1DB-A50895D39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9832320"/>
        <c:axId val="219833856"/>
      </c:lineChart>
      <c:catAx>
        <c:axId val="219832320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19833856"/>
        <c:crosses val="autoZero"/>
        <c:auto val="1"/>
        <c:lblAlgn val="ctr"/>
        <c:lblOffset val="100"/>
        <c:noMultiLvlLbl val="0"/>
      </c:catAx>
      <c:valAx>
        <c:axId val="219833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32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Лист23!$B$634:$B$1033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6</c:v>
                </c:pt>
                <c:pt idx="26">
                  <c:v>5</c:v>
                </c:pt>
                <c:pt idx="27">
                  <c:v>4</c:v>
                </c:pt>
                <c:pt idx="28">
                  <c:v>3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5</c:v>
                </c:pt>
                <c:pt idx="35">
                  <c:v>6</c:v>
                </c:pt>
                <c:pt idx="36">
                  <c:v>5</c:v>
                </c:pt>
                <c:pt idx="37">
                  <c:v>6</c:v>
                </c:pt>
                <c:pt idx="38">
                  <c:v>5</c:v>
                </c:pt>
                <c:pt idx="39">
                  <c:v>6</c:v>
                </c:pt>
                <c:pt idx="40">
                  <c:v>7</c:v>
                </c:pt>
                <c:pt idx="41">
                  <c:v>6</c:v>
                </c:pt>
                <c:pt idx="42">
                  <c:v>7</c:v>
                </c:pt>
                <c:pt idx="43">
                  <c:v>6</c:v>
                </c:pt>
                <c:pt idx="44">
                  <c:v>7</c:v>
                </c:pt>
                <c:pt idx="45">
                  <c:v>8</c:v>
                </c:pt>
                <c:pt idx="46">
                  <c:v>9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</c:v>
                </c:pt>
                <c:pt idx="51">
                  <c:v>4</c:v>
                </c:pt>
                <c:pt idx="52">
                  <c:v>3</c:v>
                </c:pt>
                <c:pt idx="53">
                  <c:v>4</c:v>
                </c:pt>
                <c:pt idx="54">
                  <c:v>3</c:v>
                </c:pt>
                <c:pt idx="55">
                  <c:v>2</c:v>
                </c:pt>
                <c:pt idx="56">
                  <c:v>1</c:v>
                </c:pt>
                <c:pt idx="57">
                  <c:v>0</c:v>
                </c:pt>
                <c:pt idx="58">
                  <c:v>1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0</c:v>
                </c:pt>
                <c:pt idx="70">
                  <c:v>1</c:v>
                </c:pt>
                <c:pt idx="71">
                  <c:v>0</c:v>
                </c:pt>
                <c:pt idx="72">
                  <c:v>1</c:v>
                </c:pt>
                <c:pt idx="73">
                  <c:v>0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1</c:v>
                </c:pt>
                <c:pt idx="79">
                  <c:v>0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2</c:v>
                </c:pt>
                <c:pt idx="86">
                  <c:v>1</c:v>
                </c:pt>
                <c:pt idx="87">
                  <c:v>0</c:v>
                </c:pt>
                <c:pt idx="88">
                  <c:v>1</c:v>
                </c:pt>
                <c:pt idx="89">
                  <c:v>2</c:v>
                </c:pt>
                <c:pt idx="90">
                  <c:v>3</c:v>
                </c:pt>
                <c:pt idx="91">
                  <c:v>4</c:v>
                </c:pt>
                <c:pt idx="92">
                  <c:v>3</c:v>
                </c:pt>
                <c:pt idx="93">
                  <c:v>2</c:v>
                </c:pt>
                <c:pt idx="94">
                  <c:v>3</c:v>
                </c:pt>
                <c:pt idx="95">
                  <c:v>2</c:v>
                </c:pt>
                <c:pt idx="96">
                  <c:v>3</c:v>
                </c:pt>
                <c:pt idx="97">
                  <c:v>4</c:v>
                </c:pt>
                <c:pt idx="98">
                  <c:v>3</c:v>
                </c:pt>
                <c:pt idx="99">
                  <c:v>4</c:v>
                </c:pt>
                <c:pt idx="100">
                  <c:v>5</c:v>
                </c:pt>
                <c:pt idx="101">
                  <c:v>4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6</c:v>
                </c:pt>
                <c:pt idx="106">
                  <c:v>5</c:v>
                </c:pt>
                <c:pt idx="107">
                  <c:v>4</c:v>
                </c:pt>
                <c:pt idx="108">
                  <c:v>3</c:v>
                </c:pt>
                <c:pt idx="109">
                  <c:v>2</c:v>
                </c:pt>
                <c:pt idx="110">
                  <c:v>1</c:v>
                </c:pt>
                <c:pt idx="111">
                  <c:v>2</c:v>
                </c:pt>
                <c:pt idx="112">
                  <c:v>3</c:v>
                </c:pt>
                <c:pt idx="113">
                  <c:v>2</c:v>
                </c:pt>
                <c:pt idx="114">
                  <c:v>3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8</c:v>
                </c:pt>
                <c:pt idx="120">
                  <c:v>9</c:v>
                </c:pt>
                <c:pt idx="121">
                  <c:v>10</c:v>
                </c:pt>
                <c:pt idx="122">
                  <c:v>11</c:v>
                </c:pt>
                <c:pt idx="123">
                  <c:v>10</c:v>
                </c:pt>
                <c:pt idx="124">
                  <c:v>11</c:v>
                </c:pt>
                <c:pt idx="125">
                  <c:v>12</c:v>
                </c:pt>
                <c:pt idx="126">
                  <c:v>11</c:v>
                </c:pt>
                <c:pt idx="127">
                  <c:v>10</c:v>
                </c:pt>
                <c:pt idx="128">
                  <c:v>11</c:v>
                </c:pt>
                <c:pt idx="129">
                  <c:v>10</c:v>
                </c:pt>
                <c:pt idx="130">
                  <c:v>11</c:v>
                </c:pt>
                <c:pt idx="131">
                  <c:v>12</c:v>
                </c:pt>
                <c:pt idx="132">
                  <c:v>11</c:v>
                </c:pt>
                <c:pt idx="133">
                  <c:v>12</c:v>
                </c:pt>
                <c:pt idx="134">
                  <c:v>13</c:v>
                </c:pt>
                <c:pt idx="135">
                  <c:v>14</c:v>
                </c:pt>
                <c:pt idx="136">
                  <c:v>15</c:v>
                </c:pt>
                <c:pt idx="137">
                  <c:v>16</c:v>
                </c:pt>
                <c:pt idx="138">
                  <c:v>17</c:v>
                </c:pt>
                <c:pt idx="139">
                  <c:v>18</c:v>
                </c:pt>
                <c:pt idx="140">
                  <c:v>17</c:v>
                </c:pt>
                <c:pt idx="141">
                  <c:v>16</c:v>
                </c:pt>
                <c:pt idx="142">
                  <c:v>17</c:v>
                </c:pt>
                <c:pt idx="143">
                  <c:v>16</c:v>
                </c:pt>
                <c:pt idx="144">
                  <c:v>17</c:v>
                </c:pt>
                <c:pt idx="145">
                  <c:v>18</c:v>
                </c:pt>
                <c:pt idx="146">
                  <c:v>19</c:v>
                </c:pt>
                <c:pt idx="147">
                  <c:v>18</c:v>
                </c:pt>
                <c:pt idx="148">
                  <c:v>17</c:v>
                </c:pt>
                <c:pt idx="149">
                  <c:v>16</c:v>
                </c:pt>
                <c:pt idx="150">
                  <c:v>17</c:v>
                </c:pt>
                <c:pt idx="151">
                  <c:v>18</c:v>
                </c:pt>
                <c:pt idx="152">
                  <c:v>17</c:v>
                </c:pt>
                <c:pt idx="153">
                  <c:v>16</c:v>
                </c:pt>
                <c:pt idx="154">
                  <c:v>17</c:v>
                </c:pt>
                <c:pt idx="155">
                  <c:v>18</c:v>
                </c:pt>
                <c:pt idx="156">
                  <c:v>19</c:v>
                </c:pt>
                <c:pt idx="157">
                  <c:v>20</c:v>
                </c:pt>
                <c:pt idx="158">
                  <c:v>21</c:v>
                </c:pt>
                <c:pt idx="159">
                  <c:v>20</c:v>
                </c:pt>
                <c:pt idx="160">
                  <c:v>19</c:v>
                </c:pt>
                <c:pt idx="161">
                  <c:v>18</c:v>
                </c:pt>
                <c:pt idx="162">
                  <c:v>19</c:v>
                </c:pt>
                <c:pt idx="163">
                  <c:v>18</c:v>
                </c:pt>
                <c:pt idx="164">
                  <c:v>17</c:v>
                </c:pt>
                <c:pt idx="165">
                  <c:v>16</c:v>
                </c:pt>
                <c:pt idx="166">
                  <c:v>17</c:v>
                </c:pt>
                <c:pt idx="167">
                  <c:v>18</c:v>
                </c:pt>
                <c:pt idx="168">
                  <c:v>19</c:v>
                </c:pt>
                <c:pt idx="169">
                  <c:v>20</c:v>
                </c:pt>
                <c:pt idx="170">
                  <c:v>19</c:v>
                </c:pt>
                <c:pt idx="171">
                  <c:v>20</c:v>
                </c:pt>
                <c:pt idx="172">
                  <c:v>19</c:v>
                </c:pt>
                <c:pt idx="173">
                  <c:v>20</c:v>
                </c:pt>
                <c:pt idx="174">
                  <c:v>19</c:v>
                </c:pt>
                <c:pt idx="175">
                  <c:v>20</c:v>
                </c:pt>
                <c:pt idx="176">
                  <c:v>21</c:v>
                </c:pt>
                <c:pt idx="177">
                  <c:v>20</c:v>
                </c:pt>
                <c:pt idx="178">
                  <c:v>19</c:v>
                </c:pt>
                <c:pt idx="179">
                  <c:v>18</c:v>
                </c:pt>
                <c:pt idx="180">
                  <c:v>19</c:v>
                </c:pt>
                <c:pt idx="181">
                  <c:v>20</c:v>
                </c:pt>
                <c:pt idx="182">
                  <c:v>19</c:v>
                </c:pt>
                <c:pt idx="183">
                  <c:v>18</c:v>
                </c:pt>
                <c:pt idx="184">
                  <c:v>19</c:v>
                </c:pt>
                <c:pt idx="185">
                  <c:v>18</c:v>
                </c:pt>
                <c:pt idx="186">
                  <c:v>19</c:v>
                </c:pt>
                <c:pt idx="187">
                  <c:v>18</c:v>
                </c:pt>
                <c:pt idx="188">
                  <c:v>17</c:v>
                </c:pt>
                <c:pt idx="189">
                  <c:v>16</c:v>
                </c:pt>
                <c:pt idx="190">
                  <c:v>17</c:v>
                </c:pt>
                <c:pt idx="191">
                  <c:v>16</c:v>
                </c:pt>
                <c:pt idx="192">
                  <c:v>15</c:v>
                </c:pt>
                <c:pt idx="193">
                  <c:v>14</c:v>
                </c:pt>
                <c:pt idx="194">
                  <c:v>13</c:v>
                </c:pt>
                <c:pt idx="195">
                  <c:v>14</c:v>
                </c:pt>
                <c:pt idx="196">
                  <c:v>15</c:v>
                </c:pt>
                <c:pt idx="197">
                  <c:v>14</c:v>
                </c:pt>
                <c:pt idx="198">
                  <c:v>13</c:v>
                </c:pt>
                <c:pt idx="199">
                  <c:v>12</c:v>
                </c:pt>
                <c:pt idx="200">
                  <c:v>13</c:v>
                </c:pt>
                <c:pt idx="201">
                  <c:v>14</c:v>
                </c:pt>
                <c:pt idx="202">
                  <c:v>15</c:v>
                </c:pt>
                <c:pt idx="203">
                  <c:v>14</c:v>
                </c:pt>
                <c:pt idx="204">
                  <c:v>15</c:v>
                </c:pt>
                <c:pt idx="205">
                  <c:v>16</c:v>
                </c:pt>
                <c:pt idx="206">
                  <c:v>15</c:v>
                </c:pt>
                <c:pt idx="207">
                  <c:v>16</c:v>
                </c:pt>
                <c:pt idx="208">
                  <c:v>15</c:v>
                </c:pt>
                <c:pt idx="209">
                  <c:v>14</c:v>
                </c:pt>
                <c:pt idx="210">
                  <c:v>15</c:v>
                </c:pt>
                <c:pt idx="211">
                  <c:v>16</c:v>
                </c:pt>
                <c:pt idx="212">
                  <c:v>15</c:v>
                </c:pt>
                <c:pt idx="213">
                  <c:v>16</c:v>
                </c:pt>
                <c:pt idx="214">
                  <c:v>17</c:v>
                </c:pt>
                <c:pt idx="215">
                  <c:v>16</c:v>
                </c:pt>
                <c:pt idx="216">
                  <c:v>15</c:v>
                </c:pt>
                <c:pt idx="217">
                  <c:v>14</c:v>
                </c:pt>
                <c:pt idx="218">
                  <c:v>13</c:v>
                </c:pt>
                <c:pt idx="219">
                  <c:v>14</c:v>
                </c:pt>
                <c:pt idx="220">
                  <c:v>13</c:v>
                </c:pt>
                <c:pt idx="221">
                  <c:v>14</c:v>
                </c:pt>
                <c:pt idx="222">
                  <c:v>13</c:v>
                </c:pt>
                <c:pt idx="223">
                  <c:v>12</c:v>
                </c:pt>
                <c:pt idx="224">
                  <c:v>13</c:v>
                </c:pt>
                <c:pt idx="225">
                  <c:v>12</c:v>
                </c:pt>
                <c:pt idx="226">
                  <c:v>11</c:v>
                </c:pt>
                <c:pt idx="227">
                  <c:v>12</c:v>
                </c:pt>
                <c:pt idx="228">
                  <c:v>11</c:v>
                </c:pt>
                <c:pt idx="229">
                  <c:v>12</c:v>
                </c:pt>
                <c:pt idx="230">
                  <c:v>11</c:v>
                </c:pt>
                <c:pt idx="231">
                  <c:v>10</c:v>
                </c:pt>
                <c:pt idx="232">
                  <c:v>11</c:v>
                </c:pt>
                <c:pt idx="233">
                  <c:v>10</c:v>
                </c:pt>
                <c:pt idx="234">
                  <c:v>11</c:v>
                </c:pt>
                <c:pt idx="235">
                  <c:v>10</c:v>
                </c:pt>
                <c:pt idx="236">
                  <c:v>11</c:v>
                </c:pt>
                <c:pt idx="237">
                  <c:v>12</c:v>
                </c:pt>
                <c:pt idx="238">
                  <c:v>13</c:v>
                </c:pt>
                <c:pt idx="239">
                  <c:v>12</c:v>
                </c:pt>
                <c:pt idx="240">
                  <c:v>11</c:v>
                </c:pt>
                <c:pt idx="241">
                  <c:v>12</c:v>
                </c:pt>
                <c:pt idx="242">
                  <c:v>13</c:v>
                </c:pt>
                <c:pt idx="243">
                  <c:v>14</c:v>
                </c:pt>
                <c:pt idx="244">
                  <c:v>13</c:v>
                </c:pt>
                <c:pt idx="245">
                  <c:v>14</c:v>
                </c:pt>
                <c:pt idx="246">
                  <c:v>15</c:v>
                </c:pt>
                <c:pt idx="247">
                  <c:v>16</c:v>
                </c:pt>
                <c:pt idx="248">
                  <c:v>17</c:v>
                </c:pt>
                <c:pt idx="249">
                  <c:v>16</c:v>
                </c:pt>
                <c:pt idx="250">
                  <c:v>17</c:v>
                </c:pt>
                <c:pt idx="251">
                  <c:v>18</c:v>
                </c:pt>
                <c:pt idx="252">
                  <c:v>17</c:v>
                </c:pt>
                <c:pt idx="253">
                  <c:v>16</c:v>
                </c:pt>
                <c:pt idx="254">
                  <c:v>15</c:v>
                </c:pt>
                <c:pt idx="255">
                  <c:v>16</c:v>
                </c:pt>
                <c:pt idx="256">
                  <c:v>17</c:v>
                </c:pt>
                <c:pt idx="257">
                  <c:v>16</c:v>
                </c:pt>
                <c:pt idx="258">
                  <c:v>15</c:v>
                </c:pt>
                <c:pt idx="259">
                  <c:v>14</c:v>
                </c:pt>
                <c:pt idx="260">
                  <c:v>15</c:v>
                </c:pt>
                <c:pt idx="261">
                  <c:v>16</c:v>
                </c:pt>
                <c:pt idx="262">
                  <c:v>15</c:v>
                </c:pt>
                <c:pt idx="263">
                  <c:v>16</c:v>
                </c:pt>
                <c:pt idx="264">
                  <c:v>17</c:v>
                </c:pt>
                <c:pt idx="265">
                  <c:v>18</c:v>
                </c:pt>
                <c:pt idx="266">
                  <c:v>17</c:v>
                </c:pt>
                <c:pt idx="267">
                  <c:v>18</c:v>
                </c:pt>
                <c:pt idx="268">
                  <c:v>17</c:v>
                </c:pt>
                <c:pt idx="269">
                  <c:v>16</c:v>
                </c:pt>
                <c:pt idx="270">
                  <c:v>17</c:v>
                </c:pt>
                <c:pt idx="271">
                  <c:v>18</c:v>
                </c:pt>
                <c:pt idx="272">
                  <c:v>19</c:v>
                </c:pt>
                <c:pt idx="273">
                  <c:v>20</c:v>
                </c:pt>
                <c:pt idx="274">
                  <c:v>21</c:v>
                </c:pt>
                <c:pt idx="275">
                  <c:v>20</c:v>
                </c:pt>
                <c:pt idx="276">
                  <c:v>21</c:v>
                </c:pt>
                <c:pt idx="277">
                  <c:v>22</c:v>
                </c:pt>
                <c:pt idx="278">
                  <c:v>23</c:v>
                </c:pt>
                <c:pt idx="279">
                  <c:v>24</c:v>
                </c:pt>
                <c:pt idx="280">
                  <c:v>23</c:v>
                </c:pt>
                <c:pt idx="281">
                  <c:v>24</c:v>
                </c:pt>
                <c:pt idx="282">
                  <c:v>25</c:v>
                </c:pt>
                <c:pt idx="283">
                  <c:v>26</c:v>
                </c:pt>
                <c:pt idx="284">
                  <c:v>27</c:v>
                </c:pt>
                <c:pt idx="285">
                  <c:v>28</c:v>
                </c:pt>
                <c:pt idx="286">
                  <c:v>27</c:v>
                </c:pt>
                <c:pt idx="287">
                  <c:v>28</c:v>
                </c:pt>
                <c:pt idx="288">
                  <c:v>29</c:v>
                </c:pt>
                <c:pt idx="289">
                  <c:v>30</c:v>
                </c:pt>
                <c:pt idx="290">
                  <c:v>31</c:v>
                </c:pt>
                <c:pt idx="291">
                  <c:v>32</c:v>
                </c:pt>
                <c:pt idx="292">
                  <c:v>33</c:v>
                </c:pt>
                <c:pt idx="293">
                  <c:v>34</c:v>
                </c:pt>
                <c:pt idx="294">
                  <c:v>33</c:v>
                </c:pt>
                <c:pt idx="295">
                  <c:v>32</c:v>
                </c:pt>
                <c:pt idx="296">
                  <c:v>31</c:v>
                </c:pt>
                <c:pt idx="297">
                  <c:v>32</c:v>
                </c:pt>
                <c:pt idx="298">
                  <c:v>33</c:v>
                </c:pt>
                <c:pt idx="299">
                  <c:v>34</c:v>
                </c:pt>
                <c:pt idx="300">
                  <c:v>33</c:v>
                </c:pt>
                <c:pt idx="301">
                  <c:v>34</c:v>
                </c:pt>
                <c:pt idx="302">
                  <c:v>33</c:v>
                </c:pt>
                <c:pt idx="303">
                  <c:v>34</c:v>
                </c:pt>
                <c:pt idx="304">
                  <c:v>35</c:v>
                </c:pt>
                <c:pt idx="305">
                  <c:v>36</c:v>
                </c:pt>
                <c:pt idx="306">
                  <c:v>37</c:v>
                </c:pt>
                <c:pt idx="307">
                  <c:v>38</c:v>
                </c:pt>
                <c:pt idx="308">
                  <c:v>37</c:v>
                </c:pt>
                <c:pt idx="309">
                  <c:v>38</c:v>
                </c:pt>
                <c:pt idx="310">
                  <c:v>37</c:v>
                </c:pt>
                <c:pt idx="311">
                  <c:v>38</c:v>
                </c:pt>
                <c:pt idx="312">
                  <c:v>39</c:v>
                </c:pt>
                <c:pt idx="313">
                  <c:v>38</c:v>
                </c:pt>
                <c:pt idx="314">
                  <c:v>39</c:v>
                </c:pt>
                <c:pt idx="315">
                  <c:v>38</c:v>
                </c:pt>
                <c:pt idx="316">
                  <c:v>39</c:v>
                </c:pt>
                <c:pt idx="317">
                  <c:v>38</c:v>
                </c:pt>
                <c:pt idx="318">
                  <c:v>39</c:v>
                </c:pt>
                <c:pt idx="319">
                  <c:v>40</c:v>
                </c:pt>
                <c:pt idx="320">
                  <c:v>39</c:v>
                </c:pt>
                <c:pt idx="321">
                  <c:v>40</c:v>
                </c:pt>
                <c:pt idx="322">
                  <c:v>39</c:v>
                </c:pt>
                <c:pt idx="323">
                  <c:v>40</c:v>
                </c:pt>
                <c:pt idx="324">
                  <c:v>39</c:v>
                </c:pt>
                <c:pt idx="325">
                  <c:v>38</c:v>
                </c:pt>
                <c:pt idx="326">
                  <c:v>37</c:v>
                </c:pt>
                <c:pt idx="327">
                  <c:v>38</c:v>
                </c:pt>
                <c:pt idx="328">
                  <c:v>37</c:v>
                </c:pt>
                <c:pt idx="329">
                  <c:v>38</c:v>
                </c:pt>
                <c:pt idx="330">
                  <c:v>39</c:v>
                </c:pt>
                <c:pt idx="331">
                  <c:v>38</c:v>
                </c:pt>
                <c:pt idx="332">
                  <c:v>37</c:v>
                </c:pt>
                <c:pt idx="333">
                  <c:v>38</c:v>
                </c:pt>
                <c:pt idx="334">
                  <c:v>37</c:v>
                </c:pt>
                <c:pt idx="335">
                  <c:v>38</c:v>
                </c:pt>
                <c:pt idx="336">
                  <c:v>39</c:v>
                </c:pt>
                <c:pt idx="337">
                  <c:v>40</c:v>
                </c:pt>
                <c:pt idx="338">
                  <c:v>41</c:v>
                </c:pt>
                <c:pt idx="339">
                  <c:v>42</c:v>
                </c:pt>
                <c:pt idx="340">
                  <c:v>41</c:v>
                </c:pt>
                <c:pt idx="341">
                  <c:v>42</c:v>
                </c:pt>
                <c:pt idx="342">
                  <c:v>41</c:v>
                </c:pt>
                <c:pt idx="343">
                  <c:v>42</c:v>
                </c:pt>
                <c:pt idx="344">
                  <c:v>41</c:v>
                </c:pt>
                <c:pt idx="345">
                  <c:v>42</c:v>
                </c:pt>
                <c:pt idx="346">
                  <c:v>43</c:v>
                </c:pt>
                <c:pt idx="347">
                  <c:v>44</c:v>
                </c:pt>
                <c:pt idx="348">
                  <c:v>45</c:v>
                </c:pt>
                <c:pt idx="349">
                  <c:v>46</c:v>
                </c:pt>
                <c:pt idx="350">
                  <c:v>45</c:v>
                </c:pt>
                <c:pt idx="351">
                  <c:v>44</c:v>
                </c:pt>
                <c:pt idx="352">
                  <c:v>43</c:v>
                </c:pt>
                <c:pt idx="353">
                  <c:v>42</c:v>
                </c:pt>
                <c:pt idx="354">
                  <c:v>43</c:v>
                </c:pt>
                <c:pt idx="355">
                  <c:v>44</c:v>
                </c:pt>
                <c:pt idx="356">
                  <c:v>43</c:v>
                </c:pt>
                <c:pt idx="357">
                  <c:v>42</c:v>
                </c:pt>
                <c:pt idx="358">
                  <c:v>41</c:v>
                </c:pt>
                <c:pt idx="359">
                  <c:v>40</c:v>
                </c:pt>
                <c:pt idx="360">
                  <c:v>39</c:v>
                </c:pt>
                <c:pt idx="361">
                  <c:v>38</c:v>
                </c:pt>
                <c:pt idx="362">
                  <c:v>37</c:v>
                </c:pt>
                <c:pt idx="363">
                  <c:v>36</c:v>
                </c:pt>
                <c:pt idx="364">
                  <c:v>35</c:v>
                </c:pt>
                <c:pt idx="365">
                  <c:v>34</c:v>
                </c:pt>
                <c:pt idx="366">
                  <c:v>33</c:v>
                </c:pt>
                <c:pt idx="367">
                  <c:v>32</c:v>
                </c:pt>
                <c:pt idx="368">
                  <c:v>31</c:v>
                </c:pt>
                <c:pt idx="369">
                  <c:v>30</c:v>
                </c:pt>
                <c:pt idx="370">
                  <c:v>29</c:v>
                </c:pt>
                <c:pt idx="371">
                  <c:v>28</c:v>
                </c:pt>
                <c:pt idx="372">
                  <c:v>27</c:v>
                </c:pt>
                <c:pt idx="373">
                  <c:v>26</c:v>
                </c:pt>
                <c:pt idx="374">
                  <c:v>25</c:v>
                </c:pt>
                <c:pt idx="375">
                  <c:v>24</c:v>
                </c:pt>
                <c:pt idx="376">
                  <c:v>23</c:v>
                </c:pt>
                <c:pt idx="377">
                  <c:v>22</c:v>
                </c:pt>
                <c:pt idx="378">
                  <c:v>21</c:v>
                </c:pt>
                <c:pt idx="379">
                  <c:v>20</c:v>
                </c:pt>
                <c:pt idx="380">
                  <c:v>19</c:v>
                </c:pt>
                <c:pt idx="381">
                  <c:v>18</c:v>
                </c:pt>
                <c:pt idx="382">
                  <c:v>17</c:v>
                </c:pt>
                <c:pt idx="383">
                  <c:v>16</c:v>
                </c:pt>
                <c:pt idx="384">
                  <c:v>15</c:v>
                </c:pt>
                <c:pt idx="385">
                  <c:v>14</c:v>
                </c:pt>
                <c:pt idx="386">
                  <c:v>13</c:v>
                </c:pt>
                <c:pt idx="387">
                  <c:v>12</c:v>
                </c:pt>
                <c:pt idx="388">
                  <c:v>11</c:v>
                </c:pt>
                <c:pt idx="389">
                  <c:v>10</c:v>
                </c:pt>
                <c:pt idx="390">
                  <c:v>9</c:v>
                </c:pt>
                <c:pt idx="391">
                  <c:v>8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94-4CC9-BE87-6240254FF041}"/>
            </c:ext>
          </c:extLst>
        </c:ser>
        <c:ser>
          <c:idx val="1"/>
          <c:order val="1"/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Лист23!$C$634:$C$1033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2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3</c:v>
                </c:pt>
                <c:pt idx="29">
                  <c:v>4</c:v>
                </c:pt>
                <c:pt idx="30">
                  <c:v>5</c:v>
                </c:pt>
                <c:pt idx="31">
                  <c:v>4</c:v>
                </c:pt>
                <c:pt idx="32">
                  <c:v>3</c:v>
                </c:pt>
                <c:pt idx="33">
                  <c:v>4</c:v>
                </c:pt>
                <c:pt idx="34">
                  <c:v>3</c:v>
                </c:pt>
                <c:pt idx="35">
                  <c:v>4</c:v>
                </c:pt>
                <c:pt idx="36">
                  <c:v>5</c:v>
                </c:pt>
                <c:pt idx="37">
                  <c:v>4</c:v>
                </c:pt>
                <c:pt idx="38">
                  <c:v>5</c:v>
                </c:pt>
                <c:pt idx="39">
                  <c:v>6</c:v>
                </c:pt>
                <c:pt idx="40">
                  <c:v>5</c:v>
                </c:pt>
                <c:pt idx="41">
                  <c:v>6</c:v>
                </c:pt>
                <c:pt idx="42">
                  <c:v>5</c:v>
                </c:pt>
                <c:pt idx="43">
                  <c:v>4</c:v>
                </c:pt>
                <c:pt idx="44">
                  <c:v>3</c:v>
                </c:pt>
                <c:pt idx="45">
                  <c:v>2</c:v>
                </c:pt>
                <c:pt idx="46">
                  <c:v>1</c:v>
                </c:pt>
                <c:pt idx="47">
                  <c:v>2</c:v>
                </c:pt>
                <c:pt idx="48">
                  <c:v>1</c:v>
                </c:pt>
                <c:pt idx="49">
                  <c:v>2</c:v>
                </c:pt>
                <c:pt idx="50">
                  <c:v>1</c:v>
                </c:pt>
                <c:pt idx="51">
                  <c:v>0</c:v>
                </c:pt>
                <c:pt idx="52">
                  <c:v>1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3</c:v>
                </c:pt>
                <c:pt idx="57">
                  <c:v>2</c:v>
                </c:pt>
                <c:pt idx="58">
                  <c:v>1</c:v>
                </c:pt>
                <c:pt idx="59">
                  <c:v>2</c:v>
                </c:pt>
                <c:pt idx="60">
                  <c:v>3</c:v>
                </c:pt>
                <c:pt idx="61">
                  <c:v>2</c:v>
                </c:pt>
                <c:pt idx="62">
                  <c:v>1</c:v>
                </c:pt>
                <c:pt idx="63">
                  <c:v>2</c:v>
                </c:pt>
                <c:pt idx="64">
                  <c:v>1</c:v>
                </c:pt>
                <c:pt idx="65">
                  <c:v>0</c:v>
                </c:pt>
                <c:pt idx="66">
                  <c:v>1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3</c:v>
                </c:pt>
                <c:pt idx="73">
                  <c:v>2</c:v>
                </c:pt>
                <c:pt idx="74">
                  <c:v>3</c:v>
                </c:pt>
                <c:pt idx="75">
                  <c:v>2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2</c:v>
                </c:pt>
                <c:pt idx="80">
                  <c:v>1</c:v>
                </c:pt>
                <c:pt idx="81">
                  <c:v>0</c:v>
                </c:pt>
                <c:pt idx="82">
                  <c:v>1</c:v>
                </c:pt>
                <c:pt idx="83">
                  <c:v>2</c:v>
                </c:pt>
                <c:pt idx="84">
                  <c:v>3</c:v>
                </c:pt>
                <c:pt idx="85">
                  <c:v>4</c:v>
                </c:pt>
                <c:pt idx="86">
                  <c:v>3</c:v>
                </c:pt>
                <c:pt idx="87">
                  <c:v>2</c:v>
                </c:pt>
                <c:pt idx="88">
                  <c:v>3</c:v>
                </c:pt>
                <c:pt idx="89">
                  <c:v>2</c:v>
                </c:pt>
                <c:pt idx="90">
                  <c:v>1</c:v>
                </c:pt>
                <c:pt idx="91">
                  <c:v>0</c:v>
                </c:pt>
                <c:pt idx="92">
                  <c:v>1</c:v>
                </c:pt>
                <c:pt idx="93">
                  <c:v>2</c:v>
                </c:pt>
                <c:pt idx="94">
                  <c:v>1</c:v>
                </c:pt>
                <c:pt idx="95">
                  <c:v>2</c:v>
                </c:pt>
                <c:pt idx="96">
                  <c:v>3</c:v>
                </c:pt>
                <c:pt idx="97">
                  <c:v>2</c:v>
                </c:pt>
                <c:pt idx="98">
                  <c:v>3</c:v>
                </c:pt>
                <c:pt idx="99">
                  <c:v>4</c:v>
                </c:pt>
                <c:pt idx="100">
                  <c:v>5</c:v>
                </c:pt>
                <c:pt idx="101">
                  <c:v>6</c:v>
                </c:pt>
                <c:pt idx="102">
                  <c:v>7</c:v>
                </c:pt>
                <c:pt idx="103">
                  <c:v>8</c:v>
                </c:pt>
                <c:pt idx="104">
                  <c:v>9</c:v>
                </c:pt>
                <c:pt idx="105">
                  <c:v>10</c:v>
                </c:pt>
                <c:pt idx="106">
                  <c:v>9</c:v>
                </c:pt>
                <c:pt idx="107">
                  <c:v>10</c:v>
                </c:pt>
                <c:pt idx="108">
                  <c:v>11</c:v>
                </c:pt>
                <c:pt idx="109">
                  <c:v>10</c:v>
                </c:pt>
                <c:pt idx="110">
                  <c:v>11</c:v>
                </c:pt>
                <c:pt idx="111">
                  <c:v>12</c:v>
                </c:pt>
                <c:pt idx="112">
                  <c:v>13</c:v>
                </c:pt>
                <c:pt idx="113">
                  <c:v>14</c:v>
                </c:pt>
                <c:pt idx="114">
                  <c:v>15</c:v>
                </c:pt>
                <c:pt idx="115">
                  <c:v>16</c:v>
                </c:pt>
                <c:pt idx="116">
                  <c:v>15</c:v>
                </c:pt>
                <c:pt idx="117">
                  <c:v>16</c:v>
                </c:pt>
                <c:pt idx="118">
                  <c:v>15</c:v>
                </c:pt>
                <c:pt idx="119">
                  <c:v>14</c:v>
                </c:pt>
                <c:pt idx="120">
                  <c:v>13</c:v>
                </c:pt>
                <c:pt idx="121">
                  <c:v>12</c:v>
                </c:pt>
                <c:pt idx="122">
                  <c:v>13</c:v>
                </c:pt>
                <c:pt idx="123">
                  <c:v>14</c:v>
                </c:pt>
                <c:pt idx="124">
                  <c:v>15</c:v>
                </c:pt>
                <c:pt idx="125">
                  <c:v>14</c:v>
                </c:pt>
                <c:pt idx="126">
                  <c:v>15</c:v>
                </c:pt>
                <c:pt idx="127">
                  <c:v>14</c:v>
                </c:pt>
                <c:pt idx="128">
                  <c:v>15</c:v>
                </c:pt>
                <c:pt idx="129">
                  <c:v>16</c:v>
                </c:pt>
                <c:pt idx="130">
                  <c:v>17</c:v>
                </c:pt>
                <c:pt idx="131">
                  <c:v>18</c:v>
                </c:pt>
                <c:pt idx="132">
                  <c:v>19</c:v>
                </c:pt>
                <c:pt idx="133">
                  <c:v>20</c:v>
                </c:pt>
                <c:pt idx="134">
                  <c:v>21</c:v>
                </c:pt>
                <c:pt idx="135">
                  <c:v>22</c:v>
                </c:pt>
                <c:pt idx="136">
                  <c:v>23</c:v>
                </c:pt>
                <c:pt idx="137">
                  <c:v>24</c:v>
                </c:pt>
                <c:pt idx="138">
                  <c:v>25</c:v>
                </c:pt>
                <c:pt idx="139">
                  <c:v>24</c:v>
                </c:pt>
                <c:pt idx="140">
                  <c:v>23</c:v>
                </c:pt>
                <c:pt idx="141">
                  <c:v>22</c:v>
                </c:pt>
                <c:pt idx="142">
                  <c:v>23</c:v>
                </c:pt>
                <c:pt idx="143">
                  <c:v>24</c:v>
                </c:pt>
                <c:pt idx="144">
                  <c:v>23</c:v>
                </c:pt>
                <c:pt idx="145">
                  <c:v>22</c:v>
                </c:pt>
                <c:pt idx="146">
                  <c:v>21</c:v>
                </c:pt>
                <c:pt idx="147">
                  <c:v>22</c:v>
                </c:pt>
                <c:pt idx="148">
                  <c:v>21</c:v>
                </c:pt>
                <c:pt idx="149">
                  <c:v>20</c:v>
                </c:pt>
                <c:pt idx="150">
                  <c:v>21</c:v>
                </c:pt>
                <c:pt idx="151">
                  <c:v>22</c:v>
                </c:pt>
                <c:pt idx="152">
                  <c:v>23</c:v>
                </c:pt>
                <c:pt idx="153">
                  <c:v>22</c:v>
                </c:pt>
                <c:pt idx="154">
                  <c:v>21</c:v>
                </c:pt>
                <c:pt idx="155">
                  <c:v>20</c:v>
                </c:pt>
                <c:pt idx="156">
                  <c:v>19</c:v>
                </c:pt>
                <c:pt idx="157">
                  <c:v>20</c:v>
                </c:pt>
                <c:pt idx="158">
                  <c:v>21</c:v>
                </c:pt>
                <c:pt idx="159">
                  <c:v>22</c:v>
                </c:pt>
                <c:pt idx="160">
                  <c:v>21</c:v>
                </c:pt>
                <c:pt idx="161">
                  <c:v>22</c:v>
                </c:pt>
                <c:pt idx="162">
                  <c:v>21</c:v>
                </c:pt>
                <c:pt idx="163">
                  <c:v>20</c:v>
                </c:pt>
                <c:pt idx="164">
                  <c:v>19</c:v>
                </c:pt>
                <c:pt idx="165">
                  <c:v>18</c:v>
                </c:pt>
                <c:pt idx="166">
                  <c:v>17</c:v>
                </c:pt>
                <c:pt idx="167">
                  <c:v>18</c:v>
                </c:pt>
                <c:pt idx="168">
                  <c:v>17</c:v>
                </c:pt>
                <c:pt idx="169">
                  <c:v>16</c:v>
                </c:pt>
                <c:pt idx="170">
                  <c:v>17</c:v>
                </c:pt>
                <c:pt idx="171">
                  <c:v>18</c:v>
                </c:pt>
                <c:pt idx="172">
                  <c:v>19</c:v>
                </c:pt>
                <c:pt idx="173">
                  <c:v>20</c:v>
                </c:pt>
                <c:pt idx="174">
                  <c:v>19</c:v>
                </c:pt>
                <c:pt idx="175">
                  <c:v>18</c:v>
                </c:pt>
                <c:pt idx="176">
                  <c:v>17</c:v>
                </c:pt>
                <c:pt idx="177">
                  <c:v>16</c:v>
                </c:pt>
                <c:pt idx="178">
                  <c:v>17</c:v>
                </c:pt>
                <c:pt idx="179">
                  <c:v>18</c:v>
                </c:pt>
                <c:pt idx="180">
                  <c:v>19</c:v>
                </c:pt>
                <c:pt idx="181">
                  <c:v>18</c:v>
                </c:pt>
                <c:pt idx="182">
                  <c:v>19</c:v>
                </c:pt>
                <c:pt idx="183">
                  <c:v>18</c:v>
                </c:pt>
                <c:pt idx="184">
                  <c:v>17</c:v>
                </c:pt>
                <c:pt idx="185">
                  <c:v>16</c:v>
                </c:pt>
                <c:pt idx="186">
                  <c:v>17</c:v>
                </c:pt>
                <c:pt idx="187">
                  <c:v>18</c:v>
                </c:pt>
                <c:pt idx="188">
                  <c:v>17</c:v>
                </c:pt>
                <c:pt idx="189">
                  <c:v>16</c:v>
                </c:pt>
                <c:pt idx="190">
                  <c:v>17</c:v>
                </c:pt>
                <c:pt idx="191">
                  <c:v>16</c:v>
                </c:pt>
                <c:pt idx="192">
                  <c:v>17</c:v>
                </c:pt>
                <c:pt idx="193">
                  <c:v>16</c:v>
                </c:pt>
                <c:pt idx="194">
                  <c:v>15</c:v>
                </c:pt>
                <c:pt idx="195">
                  <c:v>16</c:v>
                </c:pt>
                <c:pt idx="196">
                  <c:v>17</c:v>
                </c:pt>
                <c:pt idx="197">
                  <c:v>16</c:v>
                </c:pt>
                <c:pt idx="198">
                  <c:v>15</c:v>
                </c:pt>
                <c:pt idx="199">
                  <c:v>16</c:v>
                </c:pt>
                <c:pt idx="200">
                  <c:v>17</c:v>
                </c:pt>
                <c:pt idx="201">
                  <c:v>18</c:v>
                </c:pt>
                <c:pt idx="202">
                  <c:v>19</c:v>
                </c:pt>
                <c:pt idx="203">
                  <c:v>20</c:v>
                </c:pt>
                <c:pt idx="204">
                  <c:v>19</c:v>
                </c:pt>
                <c:pt idx="205">
                  <c:v>18</c:v>
                </c:pt>
                <c:pt idx="206">
                  <c:v>19</c:v>
                </c:pt>
                <c:pt idx="207">
                  <c:v>18</c:v>
                </c:pt>
                <c:pt idx="208">
                  <c:v>19</c:v>
                </c:pt>
                <c:pt idx="209">
                  <c:v>18</c:v>
                </c:pt>
                <c:pt idx="210">
                  <c:v>17</c:v>
                </c:pt>
                <c:pt idx="211">
                  <c:v>16</c:v>
                </c:pt>
                <c:pt idx="212">
                  <c:v>17</c:v>
                </c:pt>
                <c:pt idx="213">
                  <c:v>16</c:v>
                </c:pt>
                <c:pt idx="214">
                  <c:v>15</c:v>
                </c:pt>
                <c:pt idx="215">
                  <c:v>14</c:v>
                </c:pt>
                <c:pt idx="216">
                  <c:v>15</c:v>
                </c:pt>
                <c:pt idx="217">
                  <c:v>16</c:v>
                </c:pt>
                <c:pt idx="218">
                  <c:v>15</c:v>
                </c:pt>
                <c:pt idx="219">
                  <c:v>16</c:v>
                </c:pt>
                <c:pt idx="220">
                  <c:v>17</c:v>
                </c:pt>
                <c:pt idx="221">
                  <c:v>18</c:v>
                </c:pt>
                <c:pt idx="222">
                  <c:v>17</c:v>
                </c:pt>
                <c:pt idx="223">
                  <c:v>18</c:v>
                </c:pt>
                <c:pt idx="224">
                  <c:v>19</c:v>
                </c:pt>
                <c:pt idx="225">
                  <c:v>18</c:v>
                </c:pt>
                <c:pt idx="226">
                  <c:v>17</c:v>
                </c:pt>
                <c:pt idx="227">
                  <c:v>18</c:v>
                </c:pt>
                <c:pt idx="228">
                  <c:v>19</c:v>
                </c:pt>
                <c:pt idx="229">
                  <c:v>20</c:v>
                </c:pt>
                <c:pt idx="230">
                  <c:v>19</c:v>
                </c:pt>
                <c:pt idx="231">
                  <c:v>18</c:v>
                </c:pt>
                <c:pt idx="232">
                  <c:v>19</c:v>
                </c:pt>
                <c:pt idx="233">
                  <c:v>18</c:v>
                </c:pt>
                <c:pt idx="234">
                  <c:v>17</c:v>
                </c:pt>
                <c:pt idx="235">
                  <c:v>18</c:v>
                </c:pt>
                <c:pt idx="236">
                  <c:v>19</c:v>
                </c:pt>
                <c:pt idx="237">
                  <c:v>18</c:v>
                </c:pt>
                <c:pt idx="238">
                  <c:v>17</c:v>
                </c:pt>
                <c:pt idx="239">
                  <c:v>16</c:v>
                </c:pt>
                <c:pt idx="240">
                  <c:v>17</c:v>
                </c:pt>
                <c:pt idx="241">
                  <c:v>16</c:v>
                </c:pt>
                <c:pt idx="242">
                  <c:v>17</c:v>
                </c:pt>
                <c:pt idx="243">
                  <c:v>18</c:v>
                </c:pt>
                <c:pt idx="244">
                  <c:v>17</c:v>
                </c:pt>
                <c:pt idx="245">
                  <c:v>18</c:v>
                </c:pt>
                <c:pt idx="246">
                  <c:v>17</c:v>
                </c:pt>
                <c:pt idx="247">
                  <c:v>16</c:v>
                </c:pt>
                <c:pt idx="248">
                  <c:v>15</c:v>
                </c:pt>
                <c:pt idx="249">
                  <c:v>16</c:v>
                </c:pt>
                <c:pt idx="250">
                  <c:v>15</c:v>
                </c:pt>
                <c:pt idx="251">
                  <c:v>16</c:v>
                </c:pt>
                <c:pt idx="252">
                  <c:v>17</c:v>
                </c:pt>
                <c:pt idx="253">
                  <c:v>18</c:v>
                </c:pt>
                <c:pt idx="254">
                  <c:v>17</c:v>
                </c:pt>
                <c:pt idx="255">
                  <c:v>18</c:v>
                </c:pt>
                <c:pt idx="256">
                  <c:v>19</c:v>
                </c:pt>
                <c:pt idx="257">
                  <c:v>18</c:v>
                </c:pt>
                <c:pt idx="258">
                  <c:v>17</c:v>
                </c:pt>
                <c:pt idx="259">
                  <c:v>16</c:v>
                </c:pt>
                <c:pt idx="260">
                  <c:v>15</c:v>
                </c:pt>
                <c:pt idx="261">
                  <c:v>16</c:v>
                </c:pt>
                <c:pt idx="262">
                  <c:v>17</c:v>
                </c:pt>
                <c:pt idx="263">
                  <c:v>16</c:v>
                </c:pt>
                <c:pt idx="264">
                  <c:v>17</c:v>
                </c:pt>
                <c:pt idx="265">
                  <c:v>16</c:v>
                </c:pt>
                <c:pt idx="266">
                  <c:v>15</c:v>
                </c:pt>
                <c:pt idx="267">
                  <c:v>14</c:v>
                </c:pt>
                <c:pt idx="268">
                  <c:v>15</c:v>
                </c:pt>
                <c:pt idx="269">
                  <c:v>16</c:v>
                </c:pt>
                <c:pt idx="270">
                  <c:v>15</c:v>
                </c:pt>
                <c:pt idx="271">
                  <c:v>14</c:v>
                </c:pt>
                <c:pt idx="272">
                  <c:v>13</c:v>
                </c:pt>
                <c:pt idx="273">
                  <c:v>12</c:v>
                </c:pt>
                <c:pt idx="274">
                  <c:v>13</c:v>
                </c:pt>
                <c:pt idx="275">
                  <c:v>14</c:v>
                </c:pt>
                <c:pt idx="276">
                  <c:v>13</c:v>
                </c:pt>
                <c:pt idx="277">
                  <c:v>14</c:v>
                </c:pt>
                <c:pt idx="278">
                  <c:v>13</c:v>
                </c:pt>
                <c:pt idx="279">
                  <c:v>12</c:v>
                </c:pt>
                <c:pt idx="280">
                  <c:v>13</c:v>
                </c:pt>
                <c:pt idx="281">
                  <c:v>12</c:v>
                </c:pt>
                <c:pt idx="282">
                  <c:v>11</c:v>
                </c:pt>
                <c:pt idx="283">
                  <c:v>10</c:v>
                </c:pt>
                <c:pt idx="284">
                  <c:v>9</c:v>
                </c:pt>
                <c:pt idx="285">
                  <c:v>10</c:v>
                </c:pt>
                <c:pt idx="286">
                  <c:v>11</c:v>
                </c:pt>
                <c:pt idx="287">
                  <c:v>10</c:v>
                </c:pt>
                <c:pt idx="288">
                  <c:v>9</c:v>
                </c:pt>
                <c:pt idx="289">
                  <c:v>10</c:v>
                </c:pt>
                <c:pt idx="290">
                  <c:v>11</c:v>
                </c:pt>
                <c:pt idx="291">
                  <c:v>12</c:v>
                </c:pt>
                <c:pt idx="292">
                  <c:v>13</c:v>
                </c:pt>
                <c:pt idx="293">
                  <c:v>14</c:v>
                </c:pt>
                <c:pt idx="294">
                  <c:v>15</c:v>
                </c:pt>
                <c:pt idx="295">
                  <c:v>16</c:v>
                </c:pt>
                <c:pt idx="296">
                  <c:v>15</c:v>
                </c:pt>
                <c:pt idx="297">
                  <c:v>16</c:v>
                </c:pt>
                <c:pt idx="298">
                  <c:v>17</c:v>
                </c:pt>
                <c:pt idx="299">
                  <c:v>18</c:v>
                </c:pt>
                <c:pt idx="300">
                  <c:v>19</c:v>
                </c:pt>
                <c:pt idx="301">
                  <c:v>20</c:v>
                </c:pt>
                <c:pt idx="302">
                  <c:v>19</c:v>
                </c:pt>
                <c:pt idx="303">
                  <c:v>18</c:v>
                </c:pt>
                <c:pt idx="304">
                  <c:v>17</c:v>
                </c:pt>
                <c:pt idx="305">
                  <c:v>16</c:v>
                </c:pt>
                <c:pt idx="306">
                  <c:v>15</c:v>
                </c:pt>
                <c:pt idx="307">
                  <c:v>16</c:v>
                </c:pt>
                <c:pt idx="308">
                  <c:v>17</c:v>
                </c:pt>
                <c:pt idx="309">
                  <c:v>16</c:v>
                </c:pt>
                <c:pt idx="310">
                  <c:v>17</c:v>
                </c:pt>
                <c:pt idx="311">
                  <c:v>18</c:v>
                </c:pt>
                <c:pt idx="312">
                  <c:v>17</c:v>
                </c:pt>
                <c:pt idx="313">
                  <c:v>18</c:v>
                </c:pt>
                <c:pt idx="314">
                  <c:v>19</c:v>
                </c:pt>
                <c:pt idx="315">
                  <c:v>18</c:v>
                </c:pt>
                <c:pt idx="316">
                  <c:v>17</c:v>
                </c:pt>
                <c:pt idx="317">
                  <c:v>16</c:v>
                </c:pt>
                <c:pt idx="318">
                  <c:v>17</c:v>
                </c:pt>
                <c:pt idx="319">
                  <c:v>18</c:v>
                </c:pt>
                <c:pt idx="320">
                  <c:v>17</c:v>
                </c:pt>
                <c:pt idx="321">
                  <c:v>18</c:v>
                </c:pt>
                <c:pt idx="322">
                  <c:v>17</c:v>
                </c:pt>
                <c:pt idx="323">
                  <c:v>18</c:v>
                </c:pt>
                <c:pt idx="324">
                  <c:v>17</c:v>
                </c:pt>
                <c:pt idx="325">
                  <c:v>16</c:v>
                </c:pt>
                <c:pt idx="326">
                  <c:v>15</c:v>
                </c:pt>
                <c:pt idx="327">
                  <c:v>14</c:v>
                </c:pt>
                <c:pt idx="328">
                  <c:v>15</c:v>
                </c:pt>
                <c:pt idx="329">
                  <c:v>14</c:v>
                </c:pt>
                <c:pt idx="330">
                  <c:v>15</c:v>
                </c:pt>
                <c:pt idx="331">
                  <c:v>14</c:v>
                </c:pt>
                <c:pt idx="332">
                  <c:v>15</c:v>
                </c:pt>
                <c:pt idx="333">
                  <c:v>16</c:v>
                </c:pt>
                <c:pt idx="334">
                  <c:v>15</c:v>
                </c:pt>
                <c:pt idx="335">
                  <c:v>16</c:v>
                </c:pt>
                <c:pt idx="336">
                  <c:v>17</c:v>
                </c:pt>
                <c:pt idx="337">
                  <c:v>18</c:v>
                </c:pt>
                <c:pt idx="338">
                  <c:v>17</c:v>
                </c:pt>
                <c:pt idx="339">
                  <c:v>18</c:v>
                </c:pt>
                <c:pt idx="340">
                  <c:v>19</c:v>
                </c:pt>
                <c:pt idx="341">
                  <c:v>20</c:v>
                </c:pt>
                <c:pt idx="342">
                  <c:v>19</c:v>
                </c:pt>
                <c:pt idx="343">
                  <c:v>18</c:v>
                </c:pt>
                <c:pt idx="344">
                  <c:v>19</c:v>
                </c:pt>
                <c:pt idx="345">
                  <c:v>20</c:v>
                </c:pt>
                <c:pt idx="346">
                  <c:v>21</c:v>
                </c:pt>
                <c:pt idx="347">
                  <c:v>20</c:v>
                </c:pt>
                <c:pt idx="348">
                  <c:v>19</c:v>
                </c:pt>
                <c:pt idx="349">
                  <c:v>20</c:v>
                </c:pt>
                <c:pt idx="350">
                  <c:v>19</c:v>
                </c:pt>
                <c:pt idx="351">
                  <c:v>20</c:v>
                </c:pt>
                <c:pt idx="352">
                  <c:v>21</c:v>
                </c:pt>
                <c:pt idx="353">
                  <c:v>20</c:v>
                </c:pt>
                <c:pt idx="354">
                  <c:v>19</c:v>
                </c:pt>
                <c:pt idx="355">
                  <c:v>18</c:v>
                </c:pt>
                <c:pt idx="356">
                  <c:v>19</c:v>
                </c:pt>
                <c:pt idx="357">
                  <c:v>20</c:v>
                </c:pt>
                <c:pt idx="358">
                  <c:v>21</c:v>
                </c:pt>
                <c:pt idx="359">
                  <c:v>20</c:v>
                </c:pt>
                <c:pt idx="360">
                  <c:v>19</c:v>
                </c:pt>
                <c:pt idx="361">
                  <c:v>20</c:v>
                </c:pt>
                <c:pt idx="362">
                  <c:v>21</c:v>
                </c:pt>
                <c:pt idx="363">
                  <c:v>22</c:v>
                </c:pt>
                <c:pt idx="364">
                  <c:v>21</c:v>
                </c:pt>
                <c:pt idx="365">
                  <c:v>22</c:v>
                </c:pt>
                <c:pt idx="366">
                  <c:v>23</c:v>
                </c:pt>
                <c:pt idx="367">
                  <c:v>22</c:v>
                </c:pt>
                <c:pt idx="368">
                  <c:v>21</c:v>
                </c:pt>
                <c:pt idx="369">
                  <c:v>22</c:v>
                </c:pt>
                <c:pt idx="370">
                  <c:v>21</c:v>
                </c:pt>
                <c:pt idx="371">
                  <c:v>20</c:v>
                </c:pt>
                <c:pt idx="372">
                  <c:v>21</c:v>
                </c:pt>
                <c:pt idx="373">
                  <c:v>22</c:v>
                </c:pt>
                <c:pt idx="374">
                  <c:v>21</c:v>
                </c:pt>
                <c:pt idx="375">
                  <c:v>22</c:v>
                </c:pt>
                <c:pt idx="376">
                  <c:v>21</c:v>
                </c:pt>
                <c:pt idx="377">
                  <c:v>20</c:v>
                </c:pt>
                <c:pt idx="378">
                  <c:v>19</c:v>
                </c:pt>
                <c:pt idx="379">
                  <c:v>20</c:v>
                </c:pt>
                <c:pt idx="380">
                  <c:v>19</c:v>
                </c:pt>
                <c:pt idx="381">
                  <c:v>18</c:v>
                </c:pt>
                <c:pt idx="382">
                  <c:v>17</c:v>
                </c:pt>
                <c:pt idx="383">
                  <c:v>16</c:v>
                </c:pt>
                <c:pt idx="384">
                  <c:v>15</c:v>
                </c:pt>
                <c:pt idx="385">
                  <c:v>14</c:v>
                </c:pt>
                <c:pt idx="386">
                  <c:v>13</c:v>
                </c:pt>
                <c:pt idx="387">
                  <c:v>12</c:v>
                </c:pt>
                <c:pt idx="388">
                  <c:v>11</c:v>
                </c:pt>
                <c:pt idx="389">
                  <c:v>10</c:v>
                </c:pt>
                <c:pt idx="390">
                  <c:v>9</c:v>
                </c:pt>
                <c:pt idx="391">
                  <c:v>8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694-4CC9-BE87-6240254FF041}"/>
            </c:ext>
          </c:extLst>
        </c:ser>
        <c:ser>
          <c:idx val="2"/>
          <c:order val="2"/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Лист23!$D$634:$D$1033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4</c:v>
                </c:pt>
                <c:pt idx="12">
                  <c:v>3</c:v>
                </c:pt>
                <c:pt idx="13">
                  <c:v>2</c:v>
                </c:pt>
                <c:pt idx="14">
                  <c:v>3</c:v>
                </c:pt>
                <c:pt idx="15">
                  <c:v>2</c:v>
                </c:pt>
                <c:pt idx="16">
                  <c:v>1</c:v>
                </c:pt>
                <c:pt idx="17">
                  <c:v>2</c:v>
                </c:pt>
                <c:pt idx="18">
                  <c:v>1</c:v>
                </c:pt>
                <c:pt idx="19">
                  <c:v>2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</c:v>
                </c:pt>
                <c:pt idx="25">
                  <c:v>2</c:v>
                </c:pt>
                <c:pt idx="26">
                  <c:v>1</c:v>
                </c:pt>
                <c:pt idx="27">
                  <c:v>2</c:v>
                </c:pt>
                <c:pt idx="28">
                  <c:v>1</c:v>
                </c:pt>
                <c:pt idx="29">
                  <c:v>2</c:v>
                </c:pt>
                <c:pt idx="30">
                  <c:v>1</c:v>
                </c:pt>
                <c:pt idx="31">
                  <c:v>2</c:v>
                </c:pt>
                <c:pt idx="32">
                  <c:v>1</c:v>
                </c:pt>
                <c:pt idx="33">
                  <c:v>0</c:v>
                </c:pt>
                <c:pt idx="34">
                  <c:v>1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3</c:v>
                </c:pt>
                <c:pt idx="41">
                  <c:v>4</c:v>
                </c:pt>
                <c:pt idx="42">
                  <c:v>3</c:v>
                </c:pt>
                <c:pt idx="43">
                  <c:v>4</c:v>
                </c:pt>
                <c:pt idx="44">
                  <c:v>5</c:v>
                </c:pt>
                <c:pt idx="45">
                  <c:v>6</c:v>
                </c:pt>
                <c:pt idx="46">
                  <c:v>5</c:v>
                </c:pt>
                <c:pt idx="47">
                  <c:v>6</c:v>
                </c:pt>
                <c:pt idx="48">
                  <c:v>7</c:v>
                </c:pt>
                <c:pt idx="49">
                  <c:v>8</c:v>
                </c:pt>
                <c:pt idx="50">
                  <c:v>7</c:v>
                </c:pt>
                <c:pt idx="51">
                  <c:v>8</c:v>
                </c:pt>
                <c:pt idx="52">
                  <c:v>9</c:v>
                </c:pt>
                <c:pt idx="53">
                  <c:v>8</c:v>
                </c:pt>
                <c:pt idx="54">
                  <c:v>7</c:v>
                </c:pt>
                <c:pt idx="55">
                  <c:v>6</c:v>
                </c:pt>
                <c:pt idx="56">
                  <c:v>5</c:v>
                </c:pt>
                <c:pt idx="57">
                  <c:v>4</c:v>
                </c:pt>
                <c:pt idx="58">
                  <c:v>3</c:v>
                </c:pt>
                <c:pt idx="59">
                  <c:v>4</c:v>
                </c:pt>
                <c:pt idx="60">
                  <c:v>3</c:v>
                </c:pt>
                <c:pt idx="61">
                  <c:v>4</c:v>
                </c:pt>
                <c:pt idx="62">
                  <c:v>3</c:v>
                </c:pt>
                <c:pt idx="63">
                  <c:v>4</c:v>
                </c:pt>
                <c:pt idx="64">
                  <c:v>3</c:v>
                </c:pt>
                <c:pt idx="65">
                  <c:v>4</c:v>
                </c:pt>
                <c:pt idx="66">
                  <c:v>3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3</c:v>
                </c:pt>
                <c:pt idx="75">
                  <c:v>4</c:v>
                </c:pt>
                <c:pt idx="76">
                  <c:v>5</c:v>
                </c:pt>
                <c:pt idx="77">
                  <c:v>4</c:v>
                </c:pt>
                <c:pt idx="78">
                  <c:v>3</c:v>
                </c:pt>
                <c:pt idx="79">
                  <c:v>4</c:v>
                </c:pt>
                <c:pt idx="80">
                  <c:v>3</c:v>
                </c:pt>
                <c:pt idx="81">
                  <c:v>4</c:v>
                </c:pt>
                <c:pt idx="82">
                  <c:v>5</c:v>
                </c:pt>
                <c:pt idx="83">
                  <c:v>6</c:v>
                </c:pt>
                <c:pt idx="84">
                  <c:v>7</c:v>
                </c:pt>
                <c:pt idx="85">
                  <c:v>6</c:v>
                </c:pt>
                <c:pt idx="86">
                  <c:v>7</c:v>
                </c:pt>
                <c:pt idx="87">
                  <c:v>6</c:v>
                </c:pt>
                <c:pt idx="88">
                  <c:v>5</c:v>
                </c:pt>
                <c:pt idx="89">
                  <c:v>6</c:v>
                </c:pt>
                <c:pt idx="90">
                  <c:v>5</c:v>
                </c:pt>
                <c:pt idx="91">
                  <c:v>6</c:v>
                </c:pt>
                <c:pt idx="92">
                  <c:v>7</c:v>
                </c:pt>
                <c:pt idx="93">
                  <c:v>8</c:v>
                </c:pt>
                <c:pt idx="94">
                  <c:v>9</c:v>
                </c:pt>
                <c:pt idx="95">
                  <c:v>8</c:v>
                </c:pt>
                <c:pt idx="96">
                  <c:v>7</c:v>
                </c:pt>
                <c:pt idx="97">
                  <c:v>8</c:v>
                </c:pt>
                <c:pt idx="98">
                  <c:v>7</c:v>
                </c:pt>
                <c:pt idx="99">
                  <c:v>8</c:v>
                </c:pt>
                <c:pt idx="100">
                  <c:v>7</c:v>
                </c:pt>
                <c:pt idx="101">
                  <c:v>8</c:v>
                </c:pt>
                <c:pt idx="102">
                  <c:v>9</c:v>
                </c:pt>
                <c:pt idx="103">
                  <c:v>10</c:v>
                </c:pt>
                <c:pt idx="104">
                  <c:v>9</c:v>
                </c:pt>
                <c:pt idx="105">
                  <c:v>8</c:v>
                </c:pt>
                <c:pt idx="106">
                  <c:v>9</c:v>
                </c:pt>
                <c:pt idx="107">
                  <c:v>8</c:v>
                </c:pt>
                <c:pt idx="108">
                  <c:v>7</c:v>
                </c:pt>
                <c:pt idx="109">
                  <c:v>8</c:v>
                </c:pt>
                <c:pt idx="110">
                  <c:v>7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5</c:v>
                </c:pt>
                <c:pt idx="115">
                  <c:v>6</c:v>
                </c:pt>
                <c:pt idx="116">
                  <c:v>5</c:v>
                </c:pt>
                <c:pt idx="117">
                  <c:v>6</c:v>
                </c:pt>
                <c:pt idx="118">
                  <c:v>7</c:v>
                </c:pt>
                <c:pt idx="119">
                  <c:v>8</c:v>
                </c:pt>
                <c:pt idx="120">
                  <c:v>9</c:v>
                </c:pt>
                <c:pt idx="121">
                  <c:v>8</c:v>
                </c:pt>
                <c:pt idx="122">
                  <c:v>9</c:v>
                </c:pt>
                <c:pt idx="123">
                  <c:v>10</c:v>
                </c:pt>
                <c:pt idx="124">
                  <c:v>11</c:v>
                </c:pt>
                <c:pt idx="125">
                  <c:v>10</c:v>
                </c:pt>
                <c:pt idx="126">
                  <c:v>11</c:v>
                </c:pt>
                <c:pt idx="127">
                  <c:v>10</c:v>
                </c:pt>
                <c:pt idx="128">
                  <c:v>9</c:v>
                </c:pt>
                <c:pt idx="129">
                  <c:v>10</c:v>
                </c:pt>
                <c:pt idx="130">
                  <c:v>11</c:v>
                </c:pt>
                <c:pt idx="131">
                  <c:v>12</c:v>
                </c:pt>
                <c:pt idx="132">
                  <c:v>13</c:v>
                </c:pt>
                <c:pt idx="133">
                  <c:v>14</c:v>
                </c:pt>
                <c:pt idx="134">
                  <c:v>15</c:v>
                </c:pt>
                <c:pt idx="135">
                  <c:v>16</c:v>
                </c:pt>
                <c:pt idx="136">
                  <c:v>17</c:v>
                </c:pt>
                <c:pt idx="137">
                  <c:v>18</c:v>
                </c:pt>
                <c:pt idx="138">
                  <c:v>19</c:v>
                </c:pt>
                <c:pt idx="139">
                  <c:v>20</c:v>
                </c:pt>
                <c:pt idx="140">
                  <c:v>21</c:v>
                </c:pt>
                <c:pt idx="141">
                  <c:v>22</c:v>
                </c:pt>
                <c:pt idx="142">
                  <c:v>21</c:v>
                </c:pt>
                <c:pt idx="143">
                  <c:v>20</c:v>
                </c:pt>
                <c:pt idx="144">
                  <c:v>21</c:v>
                </c:pt>
                <c:pt idx="145">
                  <c:v>20</c:v>
                </c:pt>
                <c:pt idx="146">
                  <c:v>21</c:v>
                </c:pt>
                <c:pt idx="147">
                  <c:v>20</c:v>
                </c:pt>
                <c:pt idx="148">
                  <c:v>19</c:v>
                </c:pt>
                <c:pt idx="149">
                  <c:v>20</c:v>
                </c:pt>
                <c:pt idx="150">
                  <c:v>21</c:v>
                </c:pt>
                <c:pt idx="151">
                  <c:v>20</c:v>
                </c:pt>
                <c:pt idx="152">
                  <c:v>19</c:v>
                </c:pt>
                <c:pt idx="153">
                  <c:v>18</c:v>
                </c:pt>
                <c:pt idx="154">
                  <c:v>19</c:v>
                </c:pt>
                <c:pt idx="155">
                  <c:v>20</c:v>
                </c:pt>
                <c:pt idx="156">
                  <c:v>21</c:v>
                </c:pt>
                <c:pt idx="157">
                  <c:v>22</c:v>
                </c:pt>
                <c:pt idx="158">
                  <c:v>23</c:v>
                </c:pt>
                <c:pt idx="159">
                  <c:v>22</c:v>
                </c:pt>
                <c:pt idx="160">
                  <c:v>23</c:v>
                </c:pt>
                <c:pt idx="161">
                  <c:v>24</c:v>
                </c:pt>
                <c:pt idx="162">
                  <c:v>25</c:v>
                </c:pt>
                <c:pt idx="163">
                  <c:v>24</c:v>
                </c:pt>
                <c:pt idx="164">
                  <c:v>25</c:v>
                </c:pt>
                <c:pt idx="165">
                  <c:v>26</c:v>
                </c:pt>
                <c:pt idx="166">
                  <c:v>25</c:v>
                </c:pt>
                <c:pt idx="167">
                  <c:v>26</c:v>
                </c:pt>
                <c:pt idx="168">
                  <c:v>25</c:v>
                </c:pt>
                <c:pt idx="169">
                  <c:v>26</c:v>
                </c:pt>
                <c:pt idx="170">
                  <c:v>25</c:v>
                </c:pt>
                <c:pt idx="171">
                  <c:v>26</c:v>
                </c:pt>
                <c:pt idx="172">
                  <c:v>27</c:v>
                </c:pt>
                <c:pt idx="173">
                  <c:v>28</c:v>
                </c:pt>
                <c:pt idx="174">
                  <c:v>27</c:v>
                </c:pt>
                <c:pt idx="175">
                  <c:v>28</c:v>
                </c:pt>
                <c:pt idx="176">
                  <c:v>27</c:v>
                </c:pt>
                <c:pt idx="177">
                  <c:v>26</c:v>
                </c:pt>
                <c:pt idx="178">
                  <c:v>25</c:v>
                </c:pt>
                <c:pt idx="179">
                  <c:v>24</c:v>
                </c:pt>
                <c:pt idx="180">
                  <c:v>25</c:v>
                </c:pt>
                <c:pt idx="181">
                  <c:v>24</c:v>
                </c:pt>
                <c:pt idx="182">
                  <c:v>25</c:v>
                </c:pt>
                <c:pt idx="183">
                  <c:v>26</c:v>
                </c:pt>
                <c:pt idx="184">
                  <c:v>27</c:v>
                </c:pt>
                <c:pt idx="185">
                  <c:v>26</c:v>
                </c:pt>
                <c:pt idx="186">
                  <c:v>27</c:v>
                </c:pt>
                <c:pt idx="187">
                  <c:v>28</c:v>
                </c:pt>
                <c:pt idx="188">
                  <c:v>27</c:v>
                </c:pt>
                <c:pt idx="189">
                  <c:v>26</c:v>
                </c:pt>
                <c:pt idx="190">
                  <c:v>25</c:v>
                </c:pt>
                <c:pt idx="191">
                  <c:v>24</c:v>
                </c:pt>
                <c:pt idx="192">
                  <c:v>25</c:v>
                </c:pt>
                <c:pt idx="193">
                  <c:v>26</c:v>
                </c:pt>
                <c:pt idx="194">
                  <c:v>25</c:v>
                </c:pt>
                <c:pt idx="195">
                  <c:v>26</c:v>
                </c:pt>
                <c:pt idx="196">
                  <c:v>27</c:v>
                </c:pt>
                <c:pt idx="197">
                  <c:v>26</c:v>
                </c:pt>
                <c:pt idx="198">
                  <c:v>27</c:v>
                </c:pt>
                <c:pt idx="199">
                  <c:v>26</c:v>
                </c:pt>
                <c:pt idx="200">
                  <c:v>25</c:v>
                </c:pt>
                <c:pt idx="201">
                  <c:v>26</c:v>
                </c:pt>
                <c:pt idx="202">
                  <c:v>27</c:v>
                </c:pt>
                <c:pt idx="203">
                  <c:v>28</c:v>
                </c:pt>
                <c:pt idx="204">
                  <c:v>27</c:v>
                </c:pt>
                <c:pt idx="205">
                  <c:v>26</c:v>
                </c:pt>
                <c:pt idx="206">
                  <c:v>27</c:v>
                </c:pt>
                <c:pt idx="207">
                  <c:v>28</c:v>
                </c:pt>
                <c:pt idx="208">
                  <c:v>27</c:v>
                </c:pt>
                <c:pt idx="209">
                  <c:v>26</c:v>
                </c:pt>
                <c:pt idx="210">
                  <c:v>25</c:v>
                </c:pt>
                <c:pt idx="211">
                  <c:v>26</c:v>
                </c:pt>
                <c:pt idx="212">
                  <c:v>25</c:v>
                </c:pt>
                <c:pt idx="213">
                  <c:v>26</c:v>
                </c:pt>
                <c:pt idx="214">
                  <c:v>25</c:v>
                </c:pt>
                <c:pt idx="215">
                  <c:v>26</c:v>
                </c:pt>
                <c:pt idx="216">
                  <c:v>27</c:v>
                </c:pt>
                <c:pt idx="217">
                  <c:v>28</c:v>
                </c:pt>
                <c:pt idx="218">
                  <c:v>29</c:v>
                </c:pt>
                <c:pt idx="219">
                  <c:v>28</c:v>
                </c:pt>
                <c:pt idx="220">
                  <c:v>29</c:v>
                </c:pt>
                <c:pt idx="221">
                  <c:v>30</c:v>
                </c:pt>
                <c:pt idx="222">
                  <c:v>31</c:v>
                </c:pt>
                <c:pt idx="223">
                  <c:v>32</c:v>
                </c:pt>
                <c:pt idx="224">
                  <c:v>33</c:v>
                </c:pt>
                <c:pt idx="225">
                  <c:v>34</c:v>
                </c:pt>
                <c:pt idx="226">
                  <c:v>35</c:v>
                </c:pt>
                <c:pt idx="227">
                  <c:v>34</c:v>
                </c:pt>
                <c:pt idx="228">
                  <c:v>35</c:v>
                </c:pt>
                <c:pt idx="229">
                  <c:v>34</c:v>
                </c:pt>
                <c:pt idx="230">
                  <c:v>33</c:v>
                </c:pt>
                <c:pt idx="231">
                  <c:v>32</c:v>
                </c:pt>
                <c:pt idx="232">
                  <c:v>31</c:v>
                </c:pt>
                <c:pt idx="233">
                  <c:v>30</c:v>
                </c:pt>
                <c:pt idx="234">
                  <c:v>31</c:v>
                </c:pt>
                <c:pt idx="235">
                  <c:v>32</c:v>
                </c:pt>
                <c:pt idx="236">
                  <c:v>31</c:v>
                </c:pt>
                <c:pt idx="237">
                  <c:v>30</c:v>
                </c:pt>
                <c:pt idx="238">
                  <c:v>31</c:v>
                </c:pt>
                <c:pt idx="239">
                  <c:v>32</c:v>
                </c:pt>
                <c:pt idx="240">
                  <c:v>31</c:v>
                </c:pt>
                <c:pt idx="241">
                  <c:v>30</c:v>
                </c:pt>
                <c:pt idx="242">
                  <c:v>31</c:v>
                </c:pt>
                <c:pt idx="243">
                  <c:v>32</c:v>
                </c:pt>
                <c:pt idx="244">
                  <c:v>31</c:v>
                </c:pt>
                <c:pt idx="245">
                  <c:v>30</c:v>
                </c:pt>
                <c:pt idx="246">
                  <c:v>31</c:v>
                </c:pt>
                <c:pt idx="247">
                  <c:v>30</c:v>
                </c:pt>
                <c:pt idx="248">
                  <c:v>31</c:v>
                </c:pt>
                <c:pt idx="249">
                  <c:v>30</c:v>
                </c:pt>
                <c:pt idx="250">
                  <c:v>29</c:v>
                </c:pt>
                <c:pt idx="251">
                  <c:v>30</c:v>
                </c:pt>
                <c:pt idx="252">
                  <c:v>31</c:v>
                </c:pt>
                <c:pt idx="253">
                  <c:v>32</c:v>
                </c:pt>
                <c:pt idx="254">
                  <c:v>33</c:v>
                </c:pt>
                <c:pt idx="255">
                  <c:v>34</c:v>
                </c:pt>
                <c:pt idx="256">
                  <c:v>35</c:v>
                </c:pt>
                <c:pt idx="257">
                  <c:v>34</c:v>
                </c:pt>
                <c:pt idx="258">
                  <c:v>35</c:v>
                </c:pt>
                <c:pt idx="259">
                  <c:v>36</c:v>
                </c:pt>
                <c:pt idx="260">
                  <c:v>37</c:v>
                </c:pt>
                <c:pt idx="261">
                  <c:v>36</c:v>
                </c:pt>
                <c:pt idx="262">
                  <c:v>37</c:v>
                </c:pt>
                <c:pt idx="263">
                  <c:v>36</c:v>
                </c:pt>
                <c:pt idx="264">
                  <c:v>35</c:v>
                </c:pt>
                <c:pt idx="265">
                  <c:v>36</c:v>
                </c:pt>
                <c:pt idx="266">
                  <c:v>35</c:v>
                </c:pt>
                <c:pt idx="267">
                  <c:v>36</c:v>
                </c:pt>
                <c:pt idx="268">
                  <c:v>35</c:v>
                </c:pt>
                <c:pt idx="269">
                  <c:v>36</c:v>
                </c:pt>
                <c:pt idx="270">
                  <c:v>35</c:v>
                </c:pt>
                <c:pt idx="271">
                  <c:v>36</c:v>
                </c:pt>
                <c:pt idx="272">
                  <c:v>35</c:v>
                </c:pt>
                <c:pt idx="273">
                  <c:v>34</c:v>
                </c:pt>
                <c:pt idx="274">
                  <c:v>35</c:v>
                </c:pt>
                <c:pt idx="275">
                  <c:v>36</c:v>
                </c:pt>
                <c:pt idx="276">
                  <c:v>35</c:v>
                </c:pt>
                <c:pt idx="277">
                  <c:v>36</c:v>
                </c:pt>
                <c:pt idx="278">
                  <c:v>35</c:v>
                </c:pt>
                <c:pt idx="279">
                  <c:v>36</c:v>
                </c:pt>
                <c:pt idx="280">
                  <c:v>37</c:v>
                </c:pt>
                <c:pt idx="281">
                  <c:v>38</c:v>
                </c:pt>
                <c:pt idx="282">
                  <c:v>39</c:v>
                </c:pt>
                <c:pt idx="283">
                  <c:v>38</c:v>
                </c:pt>
                <c:pt idx="284">
                  <c:v>37</c:v>
                </c:pt>
                <c:pt idx="285">
                  <c:v>36</c:v>
                </c:pt>
                <c:pt idx="286">
                  <c:v>37</c:v>
                </c:pt>
                <c:pt idx="287">
                  <c:v>36</c:v>
                </c:pt>
                <c:pt idx="288">
                  <c:v>35</c:v>
                </c:pt>
                <c:pt idx="289">
                  <c:v>34</c:v>
                </c:pt>
                <c:pt idx="290">
                  <c:v>35</c:v>
                </c:pt>
                <c:pt idx="291">
                  <c:v>36</c:v>
                </c:pt>
                <c:pt idx="292">
                  <c:v>37</c:v>
                </c:pt>
                <c:pt idx="293">
                  <c:v>36</c:v>
                </c:pt>
                <c:pt idx="294">
                  <c:v>37</c:v>
                </c:pt>
                <c:pt idx="295">
                  <c:v>36</c:v>
                </c:pt>
                <c:pt idx="296">
                  <c:v>37</c:v>
                </c:pt>
                <c:pt idx="297">
                  <c:v>38</c:v>
                </c:pt>
                <c:pt idx="298">
                  <c:v>37</c:v>
                </c:pt>
                <c:pt idx="299">
                  <c:v>36</c:v>
                </c:pt>
                <c:pt idx="300">
                  <c:v>37</c:v>
                </c:pt>
                <c:pt idx="301">
                  <c:v>38</c:v>
                </c:pt>
                <c:pt idx="302">
                  <c:v>39</c:v>
                </c:pt>
                <c:pt idx="303">
                  <c:v>38</c:v>
                </c:pt>
                <c:pt idx="304">
                  <c:v>39</c:v>
                </c:pt>
                <c:pt idx="305">
                  <c:v>38</c:v>
                </c:pt>
                <c:pt idx="306">
                  <c:v>39</c:v>
                </c:pt>
                <c:pt idx="307">
                  <c:v>40</c:v>
                </c:pt>
                <c:pt idx="308">
                  <c:v>41</c:v>
                </c:pt>
                <c:pt idx="309">
                  <c:v>40</c:v>
                </c:pt>
                <c:pt idx="310">
                  <c:v>41</c:v>
                </c:pt>
                <c:pt idx="311">
                  <c:v>42</c:v>
                </c:pt>
                <c:pt idx="312">
                  <c:v>41</c:v>
                </c:pt>
                <c:pt idx="313">
                  <c:v>40</c:v>
                </c:pt>
                <c:pt idx="314">
                  <c:v>41</c:v>
                </c:pt>
                <c:pt idx="315">
                  <c:v>42</c:v>
                </c:pt>
                <c:pt idx="316">
                  <c:v>41</c:v>
                </c:pt>
                <c:pt idx="317">
                  <c:v>42</c:v>
                </c:pt>
                <c:pt idx="318">
                  <c:v>43</c:v>
                </c:pt>
                <c:pt idx="319">
                  <c:v>42</c:v>
                </c:pt>
                <c:pt idx="320">
                  <c:v>41</c:v>
                </c:pt>
                <c:pt idx="321">
                  <c:v>42</c:v>
                </c:pt>
                <c:pt idx="322">
                  <c:v>41</c:v>
                </c:pt>
                <c:pt idx="323">
                  <c:v>40</c:v>
                </c:pt>
                <c:pt idx="324">
                  <c:v>41</c:v>
                </c:pt>
                <c:pt idx="325">
                  <c:v>40</c:v>
                </c:pt>
                <c:pt idx="326">
                  <c:v>39</c:v>
                </c:pt>
                <c:pt idx="327">
                  <c:v>38</c:v>
                </c:pt>
                <c:pt idx="328">
                  <c:v>37</c:v>
                </c:pt>
                <c:pt idx="329">
                  <c:v>38</c:v>
                </c:pt>
                <c:pt idx="330">
                  <c:v>37</c:v>
                </c:pt>
                <c:pt idx="331">
                  <c:v>36</c:v>
                </c:pt>
                <c:pt idx="332">
                  <c:v>35</c:v>
                </c:pt>
                <c:pt idx="333">
                  <c:v>34</c:v>
                </c:pt>
                <c:pt idx="334">
                  <c:v>33</c:v>
                </c:pt>
                <c:pt idx="335">
                  <c:v>32</c:v>
                </c:pt>
                <c:pt idx="336">
                  <c:v>33</c:v>
                </c:pt>
                <c:pt idx="337">
                  <c:v>32</c:v>
                </c:pt>
                <c:pt idx="338">
                  <c:v>33</c:v>
                </c:pt>
                <c:pt idx="339">
                  <c:v>32</c:v>
                </c:pt>
                <c:pt idx="340">
                  <c:v>33</c:v>
                </c:pt>
                <c:pt idx="341">
                  <c:v>34</c:v>
                </c:pt>
                <c:pt idx="342">
                  <c:v>35</c:v>
                </c:pt>
                <c:pt idx="343">
                  <c:v>34</c:v>
                </c:pt>
                <c:pt idx="344">
                  <c:v>35</c:v>
                </c:pt>
                <c:pt idx="345">
                  <c:v>36</c:v>
                </c:pt>
                <c:pt idx="346">
                  <c:v>35</c:v>
                </c:pt>
                <c:pt idx="347">
                  <c:v>34</c:v>
                </c:pt>
                <c:pt idx="348">
                  <c:v>33</c:v>
                </c:pt>
                <c:pt idx="349">
                  <c:v>32</c:v>
                </c:pt>
                <c:pt idx="350">
                  <c:v>33</c:v>
                </c:pt>
                <c:pt idx="351">
                  <c:v>32</c:v>
                </c:pt>
                <c:pt idx="352">
                  <c:v>31</c:v>
                </c:pt>
                <c:pt idx="353">
                  <c:v>32</c:v>
                </c:pt>
                <c:pt idx="354">
                  <c:v>33</c:v>
                </c:pt>
                <c:pt idx="355">
                  <c:v>34</c:v>
                </c:pt>
                <c:pt idx="356">
                  <c:v>35</c:v>
                </c:pt>
                <c:pt idx="357">
                  <c:v>34</c:v>
                </c:pt>
                <c:pt idx="358">
                  <c:v>35</c:v>
                </c:pt>
                <c:pt idx="359">
                  <c:v>34</c:v>
                </c:pt>
                <c:pt idx="360">
                  <c:v>35</c:v>
                </c:pt>
                <c:pt idx="361">
                  <c:v>36</c:v>
                </c:pt>
                <c:pt idx="362">
                  <c:v>37</c:v>
                </c:pt>
                <c:pt idx="363">
                  <c:v>36</c:v>
                </c:pt>
                <c:pt idx="364">
                  <c:v>35</c:v>
                </c:pt>
                <c:pt idx="365">
                  <c:v>34</c:v>
                </c:pt>
                <c:pt idx="366">
                  <c:v>33</c:v>
                </c:pt>
                <c:pt idx="367">
                  <c:v>32</c:v>
                </c:pt>
                <c:pt idx="368">
                  <c:v>31</c:v>
                </c:pt>
                <c:pt idx="369">
                  <c:v>30</c:v>
                </c:pt>
                <c:pt idx="370">
                  <c:v>29</c:v>
                </c:pt>
                <c:pt idx="371">
                  <c:v>28</c:v>
                </c:pt>
                <c:pt idx="372">
                  <c:v>27</c:v>
                </c:pt>
                <c:pt idx="373">
                  <c:v>26</c:v>
                </c:pt>
                <c:pt idx="374">
                  <c:v>25</c:v>
                </c:pt>
                <c:pt idx="375">
                  <c:v>24</c:v>
                </c:pt>
                <c:pt idx="376">
                  <c:v>23</c:v>
                </c:pt>
                <c:pt idx="377">
                  <c:v>22</c:v>
                </c:pt>
                <c:pt idx="378">
                  <c:v>21</c:v>
                </c:pt>
                <c:pt idx="379">
                  <c:v>20</c:v>
                </c:pt>
                <c:pt idx="380">
                  <c:v>19</c:v>
                </c:pt>
                <c:pt idx="381">
                  <c:v>18</c:v>
                </c:pt>
                <c:pt idx="382">
                  <c:v>17</c:v>
                </c:pt>
                <c:pt idx="383">
                  <c:v>16</c:v>
                </c:pt>
                <c:pt idx="384">
                  <c:v>15</c:v>
                </c:pt>
                <c:pt idx="385">
                  <c:v>14</c:v>
                </c:pt>
                <c:pt idx="386">
                  <c:v>13</c:v>
                </c:pt>
                <c:pt idx="387">
                  <c:v>12</c:v>
                </c:pt>
                <c:pt idx="388">
                  <c:v>11</c:v>
                </c:pt>
                <c:pt idx="389">
                  <c:v>10</c:v>
                </c:pt>
                <c:pt idx="390">
                  <c:v>9</c:v>
                </c:pt>
                <c:pt idx="391">
                  <c:v>8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694-4CC9-BE87-6240254F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9871488"/>
        <c:axId val="220430336"/>
      </c:lineChart>
      <c:catAx>
        <c:axId val="219871488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20430336"/>
        <c:crosses val="autoZero"/>
        <c:auto val="1"/>
        <c:lblAlgn val="ctr"/>
        <c:lblOffset val="100"/>
        <c:noMultiLvlLbl val="0"/>
      </c:catAx>
      <c:valAx>
        <c:axId val="22043033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1987148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spPr>
            <a:ln>
              <a:solidFill>
                <a:srgbClr val="00B050"/>
              </a:solidFill>
            </a:ln>
          </c:spPr>
          <c:marker>
            <c:symbol val="none"/>
          </c:marker>
          <c:val>
            <c:numRef>
              <c:f>Лист23!$AJ$634:$AJ$1033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4</c:v>
                </c:pt>
                <c:pt idx="8">
                  <c:v>5</c:v>
                </c:pt>
                <c:pt idx="9">
                  <c:v>6</c:v>
                </c:pt>
                <c:pt idx="10">
                  <c:v>5</c:v>
                </c:pt>
                <c:pt idx="11">
                  <c:v>6</c:v>
                </c:pt>
                <c:pt idx="12">
                  <c:v>5</c:v>
                </c:pt>
                <c:pt idx="13">
                  <c:v>6</c:v>
                </c:pt>
                <c:pt idx="14">
                  <c:v>5</c:v>
                </c:pt>
                <c:pt idx="15">
                  <c:v>4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4</c:v>
                </c:pt>
                <c:pt idx="20">
                  <c:v>3</c:v>
                </c:pt>
                <c:pt idx="21">
                  <c:v>2</c:v>
                </c:pt>
                <c:pt idx="22">
                  <c:v>3</c:v>
                </c:pt>
                <c:pt idx="23">
                  <c:v>4</c:v>
                </c:pt>
                <c:pt idx="24">
                  <c:v>5</c:v>
                </c:pt>
                <c:pt idx="25">
                  <c:v>6</c:v>
                </c:pt>
                <c:pt idx="26">
                  <c:v>5</c:v>
                </c:pt>
                <c:pt idx="27">
                  <c:v>6</c:v>
                </c:pt>
                <c:pt idx="28">
                  <c:v>7</c:v>
                </c:pt>
                <c:pt idx="29">
                  <c:v>6</c:v>
                </c:pt>
                <c:pt idx="30">
                  <c:v>5</c:v>
                </c:pt>
                <c:pt idx="31">
                  <c:v>6</c:v>
                </c:pt>
                <c:pt idx="32">
                  <c:v>5</c:v>
                </c:pt>
                <c:pt idx="33">
                  <c:v>6</c:v>
                </c:pt>
                <c:pt idx="34">
                  <c:v>7</c:v>
                </c:pt>
                <c:pt idx="35">
                  <c:v>8</c:v>
                </c:pt>
                <c:pt idx="36">
                  <c:v>9</c:v>
                </c:pt>
                <c:pt idx="37">
                  <c:v>10</c:v>
                </c:pt>
                <c:pt idx="38">
                  <c:v>9</c:v>
                </c:pt>
                <c:pt idx="39">
                  <c:v>8</c:v>
                </c:pt>
                <c:pt idx="40">
                  <c:v>7</c:v>
                </c:pt>
                <c:pt idx="41">
                  <c:v>6</c:v>
                </c:pt>
                <c:pt idx="42">
                  <c:v>5</c:v>
                </c:pt>
                <c:pt idx="43">
                  <c:v>6</c:v>
                </c:pt>
                <c:pt idx="44">
                  <c:v>7</c:v>
                </c:pt>
                <c:pt idx="45">
                  <c:v>6</c:v>
                </c:pt>
                <c:pt idx="46">
                  <c:v>7</c:v>
                </c:pt>
                <c:pt idx="47">
                  <c:v>8</c:v>
                </c:pt>
                <c:pt idx="48">
                  <c:v>9</c:v>
                </c:pt>
                <c:pt idx="49">
                  <c:v>10</c:v>
                </c:pt>
                <c:pt idx="50">
                  <c:v>9</c:v>
                </c:pt>
                <c:pt idx="51">
                  <c:v>10</c:v>
                </c:pt>
                <c:pt idx="52">
                  <c:v>11</c:v>
                </c:pt>
                <c:pt idx="53">
                  <c:v>12</c:v>
                </c:pt>
                <c:pt idx="54">
                  <c:v>11</c:v>
                </c:pt>
                <c:pt idx="55">
                  <c:v>10</c:v>
                </c:pt>
                <c:pt idx="56">
                  <c:v>11</c:v>
                </c:pt>
                <c:pt idx="57">
                  <c:v>12</c:v>
                </c:pt>
                <c:pt idx="58">
                  <c:v>13</c:v>
                </c:pt>
                <c:pt idx="59">
                  <c:v>12</c:v>
                </c:pt>
                <c:pt idx="60">
                  <c:v>11</c:v>
                </c:pt>
                <c:pt idx="61">
                  <c:v>10</c:v>
                </c:pt>
                <c:pt idx="62">
                  <c:v>9</c:v>
                </c:pt>
                <c:pt idx="63">
                  <c:v>10</c:v>
                </c:pt>
                <c:pt idx="64">
                  <c:v>11</c:v>
                </c:pt>
                <c:pt idx="65">
                  <c:v>10</c:v>
                </c:pt>
                <c:pt idx="66">
                  <c:v>11</c:v>
                </c:pt>
                <c:pt idx="67">
                  <c:v>10</c:v>
                </c:pt>
                <c:pt idx="68">
                  <c:v>9</c:v>
                </c:pt>
                <c:pt idx="69">
                  <c:v>8</c:v>
                </c:pt>
                <c:pt idx="70">
                  <c:v>9</c:v>
                </c:pt>
                <c:pt idx="71">
                  <c:v>10</c:v>
                </c:pt>
                <c:pt idx="72">
                  <c:v>9</c:v>
                </c:pt>
                <c:pt idx="73">
                  <c:v>10</c:v>
                </c:pt>
                <c:pt idx="74">
                  <c:v>9</c:v>
                </c:pt>
                <c:pt idx="75">
                  <c:v>8</c:v>
                </c:pt>
                <c:pt idx="76">
                  <c:v>9</c:v>
                </c:pt>
                <c:pt idx="77">
                  <c:v>8</c:v>
                </c:pt>
                <c:pt idx="78">
                  <c:v>7</c:v>
                </c:pt>
                <c:pt idx="79">
                  <c:v>8</c:v>
                </c:pt>
                <c:pt idx="80">
                  <c:v>9</c:v>
                </c:pt>
                <c:pt idx="81">
                  <c:v>8</c:v>
                </c:pt>
                <c:pt idx="82">
                  <c:v>9</c:v>
                </c:pt>
                <c:pt idx="83">
                  <c:v>10</c:v>
                </c:pt>
                <c:pt idx="84">
                  <c:v>9</c:v>
                </c:pt>
                <c:pt idx="85">
                  <c:v>8</c:v>
                </c:pt>
                <c:pt idx="86">
                  <c:v>9</c:v>
                </c:pt>
                <c:pt idx="87">
                  <c:v>10</c:v>
                </c:pt>
                <c:pt idx="88">
                  <c:v>11</c:v>
                </c:pt>
                <c:pt idx="89">
                  <c:v>12</c:v>
                </c:pt>
                <c:pt idx="90">
                  <c:v>11</c:v>
                </c:pt>
                <c:pt idx="91">
                  <c:v>10</c:v>
                </c:pt>
                <c:pt idx="92">
                  <c:v>9</c:v>
                </c:pt>
                <c:pt idx="93">
                  <c:v>8</c:v>
                </c:pt>
                <c:pt idx="94">
                  <c:v>9</c:v>
                </c:pt>
                <c:pt idx="95">
                  <c:v>10</c:v>
                </c:pt>
                <c:pt idx="96">
                  <c:v>11</c:v>
                </c:pt>
                <c:pt idx="97">
                  <c:v>10</c:v>
                </c:pt>
                <c:pt idx="98">
                  <c:v>9</c:v>
                </c:pt>
                <c:pt idx="99">
                  <c:v>10</c:v>
                </c:pt>
                <c:pt idx="100">
                  <c:v>9</c:v>
                </c:pt>
                <c:pt idx="101">
                  <c:v>8</c:v>
                </c:pt>
                <c:pt idx="102">
                  <c:v>7</c:v>
                </c:pt>
                <c:pt idx="103">
                  <c:v>6</c:v>
                </c:pt>
                <c:pt idx="104">
                  <c:v>7</c:v>
                </c:pt>
                <c:pt idx="105">
                  <c:v>8</c:v>
                </c:pt>
                <c:pt idx="106">
                  <c:v>7</c:v>
                </c:pt>
                <c:pt idx="107">
                  <c:v>8</c:v>
                </c:pt>
                <c:pt idx="108">
                  <c:v>7</c:v>
                </c:pt>
                <c:pt idx="109">
                  <c:v>6</c:v>
                </c:pt>
                <c:pt idx="110">
                  <c:v>5</c:v>
                </c:pt>
                <c:pt idx="111">
                  <c:v>6</c:v>
                </c:pt>
                <c:pt idx="112">
                  <c:v>5</c:v>
                </c:pt>
                <c:pt idx="113">
                  <c:v>6</c:v>
                </c:pt>
                <c:pt idx="114">
                  <c:v>5</c:v>
                </c:pt>
                <c:pt idx="115">
                  <c:v>4</c:v>
                </c:pt>
                <c:pt idx="116">
                  <c:v>5</c:v>
                </c:pt>
                <c:pt idx="117">
                  <c:v>6</c:v>
                </c:pt>
                <c:pt idx="118">
                  <c:v>5</c:v>
                </c:pt>
                <c:pt idx="119">
                  <c:v>4</c:v>
                </c:pt>
                <c:pt idx="120">
                  <c:v>5</c:v>
                </c:pt>
                <c:pt idx="121">
                  <c:v>4</c:v>
                </c:pt>
                <c:pt idx="122">
                  <c:v>5</c:v>
                </c:pt>
                <c:pt idx="123">
                  <c:v>4</c:v>
                </c:pt>
                <c:pt idx="124">
                  <c:v>5</c:v>
                </c:pt>
                <c:pt idx="125">
                  <c:v>6</c:v>
                </c:pt>
                <c:pt idx="126">
                  <c:v>7</c:v>
                </c:pt>
                <c:pt idx="127">
                  <c:v>6</c:v>
                </c:pt>
                <c:pt idx="128">
                  <c:v>7</c:v>
                </c:pt>
                <c:pt idx="129">
                  <c:v>6</c:v>
                </c:pt>
                <c:pt idx="130">
                  <c:v>5</c:v>
                </c:pt>
                <c:pt idx="131">
                  <c:v>4</c:v>
                </c:pt>
                <c:pt idx="132">
                  <c:v>5</c:v>
                </c:pt>
                <c:pt idx="133">
                  <c:v>6</c:v>
                </c:pt>
                <c:pt idx="134">
                  <c:v>5</c:v>
                </c:pt>
                <c:pt idx="135">
                  <c:v>6</c:v>
                </c:pt>
                <c:pt idx="136">
                  <c:v>5</c:v>
                </c:pt>
                <c:pt idx="137">
                  <c:v>4</c:v>
                </c:pt>
                <c:pt idx="138">
                  <c:v>5</c:v>
                </c:pt>
                <c:pt idx="139">
                  <c:v>4</c:v>
                </c:pt>
                <c:pt idx="140">
                  <c:v>5</c:v>
                </c:pt>
                <c:pt idx="141">
                  <c:v>6</c:v>
                </c:pt>
                <c:pt idx="142">
                  <c:v>7</c:v>
                </c:pt>
                <c:pt idx="143">
                  <c:v>8</c:v>
                </c:pt>
                <c:pt idx="144">
                  <c:v>9</c:v>
                </c:pt>
                <c:pt idx="145">
                  <c:v>8</c:v>
                </c:pt>
                <c:pt idx="146">
                  <c:v>7</c:v>
                </c:pt>
                <c:pt idx="147">
                  <c:v>8</c:v>
                </c:pt>
                <c:pt idx="148">
                  <c:v>7</c:v>
                </c:pt>
                <c:pt idx="149">
                  <c:v>8</c:v>
                </c:pt>
                <c:pt idx="150">
                  <c:v>7</c:v>
                </c:pt>
                <c:pt idx="151">
                  <c:v>8</c:v>
                </c:pt>
                <c:pt idx="152">
                  <c:v>9</c:v>
                </c:pt>
                <c:pt idx="153">
                  <c:v>10</c:v>
                </c:pt>
                <c:pt idx="154">
                  <c:v>9</c:v>
                </c:pt>
                <c:pt idx="155">
                  <c:v>10</c:v>
                </c:pt>
                <c:pt idx="156">
                  <c:v>11</c:v>
                </c:pt>
                <c:pt idx="157">
                  <c:v>12</c:v>
                </c:pt>
                <c:pt idx="158">
                  <c:v>13</c:v>
                </c:pt>
                <c:pt idx="159">
                  <c:v>12</c:v>
                </c:pt>
                <c:pt idx="160">
                  <c:v>11</c:v>
                </c:pt>
                <c:pt idx="161">
                  <c:v>12</c:v>
                </c:pt>
                <c:pt idx="162">
                  <c:v>13</c:v>
                </c:pt>
                <c:pt idx="163">
                  <c:v>12</c:v>
                </c:pt>
                <c:pt idx="164">
                  <c:v>13</c:v>
                </c:pt>
                <c:pt idx="165">
                  <c:v>12</c:v>
                </c:pt>
                <c:pt idx="166">
                  <c:v>13</c:v>
                </c:pt>
                <c:pt idx="167">
                  <c:v>12</c:v>
                </c:pt>
                <c:pt idx="168">
                  <c:v>13</c:v>
                </c:pt>
                <c:pt idx="169">
                  <c:v>12</c:v>
                </c:pt>
                <c:pt idx="170">
                  <c:v>13</c:v>
                </c:pt>
                <c:pt idx="171">
                  <c:v>12</c:v>
                </c:pt>
                <c:pt idx="172">
                  <c:v>11</c:v>
                </c:pt>
                <c:pt idx="173">
                  <c:v>10</c:v>
                </c:pt>
                <c:pt idx="174">
                  <c:v>11</c:v>
                </c:pt>
                <c:pt idx="175">
                  <c:v>12</c:v>
                </c:pt>
                <c:pt idx="176">
                  <c:v>11</c:v>
                </c:pt>
                <c:pt idx="177">
                  <c:v>12</c:v>
                </c:pt>
                <c:pt idx="178">
                  <c:v>11</c:v>
                </c:pt>
                <c:pt idx="179">
                  <c:v>10</c:v>
                </c:pt>
                <c:pt idx="180">
                  <c:v>9</c:v>
                </c:pt>
                <c:pt idx="181">
                  <c:v>10</c:v>
                </c:pt>
                <c:pt idx="182">
                  <c:v>9</c:v>
                </c:pt>
                <c:pt idx="183">
                  <c:v>8</c:v>
                </c:pt>
                <c:pt idx="184">
                  <c:v>9</c:v>
                </c:pt>
                <c:pt idx="185">
                  <c:v>8</c:v>
                </c:pt>
                <c:pt idx="186">
                  <c:v>9</c:v>
                </c:pt>
                <c:pt idx="187">
                  <c:v>10</c:v>
                </c:pt>
                <c:pt idx="188">
                  <c:v>9</c:v>
                </c:pt>
                <c:pt idx="189">
                  <c:v>8</c:v>
                </c:pt>
                <c:pt idx="190">
                  <c:v>9</c:v>
                </c:pt>
                <c:pt idx="191">
                  <c:v>10</c:v>
                </c:pt>
                <c:pt idx="192">
                  <c:v>11</c:v>
                </c:pt>
                <c:pt idx="193">
                  <c:v>10</c:v>
                </c:pt>
                <c:pt idx="194">
                  <c:v>9</c:v>
                </c:pt>
                <c:pt idx="195">
                  <c:v>8</c:v>
                </c:pt>
                <c:pt idx="196">
                  <c:v>9</c:v>
                </c:pt>
                <c:pt idx="197">
                  <c:v>8</c:v>
                </c:pt>
                <c:pt idx="198">
                  <c:v>9</c:v>
                </c:pt>
                <c:pt idx="199">
                  <c:v>10</c:v>
                </c:pt>
                <c:pt idx="200">
                  <c:v>9</c:v>
                </c:pt>
                <c:pt idx="201">
                  <c:v>10</c:v>
                </c:pt>
                <c:pt idx="202">
                  <c:v>9</c:v>
                </c:pt>
                <c:pt idx="203">
                  <c:v>8</c:v>
                </c:pt>
                <c:pt idx="204">
                  <c:v>9</c:v>
                </c:pt>
                <c:pt idx="205">
                  <c:v>8</c:v>
                </c:pt>
                <c:pt idx="206">
                  <c:v>7</c:v>
                </c:pt>
                <c:pt idx="207">
                  <c:v>8</c:v>
                </c:pt>
                <c:pt idx="208">
                  <c:v>9</c:v>
                </c:pt>
                <c:pt idx="209">
                  <c:v>10</c:v>
                </c:pt>
                <c:pt idx="210">
                  <c:v>11</c:v>
                </c:pt>
                <c:pt idx="211">
                  <c:v>12</c:v>
                </c:pt>
                <c:pt idx="212">
                  <c:v>13</c:v>
                </c:pt>
                <c:pt idx="213">
                  <c:v>12</c:v>
                </c:pt>
                <c:pt idx="214">
                  <c:v>11</c:v>
                </c:pt>
                <c:pt idx="215">
                  <c:v>10</c:v>
                </c:pt>
                <c:pt idx="216">
                  <c:v>9</c:v>
                </c:pt>
                <c:pt idx="217">
                  <c:v>8</c:v>
                </c:pt>
                <c:pt idx="218">
                  <c:v>9</c:v>
                </c:pt>
                <c:pt idx="219">
                  <c:v>8</c:v>
                </c:pt>
                <c:pt idx="220">
                  <c:v>9</c:v>
                </c:pt>
                <c:pt idx="221">
                  <c:v>8</c:v>
                </c:pt>
                <c:pt idx="222">
                  <c:v>9</c:v>
                </c:pt>
                <c:pt idx="223">
                  <c:v>10</c:v>
                </c:pt>
                <c:pt idx="224">
                  <c:v>11</c:v>
                </c:pt>
                <c:pt idx="225">
                  <c:v>12</c:v>
                </c:pt>
                <c:pt idx="226">
                  <c:v>13</c:v>
                </c:pt>
                <c:pt idx="227">
                  <c:v>14</c:v>
                </c:pt>
                <c:pt idx="228">
                  <c:v>13</c:v>
                </c:pt>
                <c:pt idx="229">
                  <c:v>14</c:v>
                </c:pt>
                <c:pt idx="230">
                  <c:v>13</c:v>
                </c:pt>
                <c:pt idx="231">
                  <c:v>12</c:v>
                </c:pt>
                <c:pt idx="232">
                  <c:v>13</c:v>
                </c:pt>
                <c:pt idx="233">
                  <c:v>14</c:v>
                </c:pt>
                <c:pt idx="234">
                  <c:v>13</c:v>
                </c:pt>
                <c:pt idx="235">
                  <c:v>12</c:v>
                </c:pt>
                <c:pt idx="236">
                  <c:v>13</c:v>
                </c:pt>
                <c:pt idx="237">
                  <c:v>12</c:v>
                </c:pt>
                <c:pt idx="238">
                  <c:v>13</c:v>
                </c:pt>
                <c:pt idx="239">
                  <c:v>12</c:v>
                </c:pt>
                <c:pt idx="240">
                  <c:v>11</c:v>
                </c:pt>
                <c:pt idx="241">
                  <c:v>10</c:v>
                </c:pt>
                <c:pt idx="242">
                  <c:v>11</c:v>
                </c:pt>
                <c:pt idx="243">
                  <c:v>10</c:v>
                </c:pt>
                <c:pt idx="244">
                  <c:v>11</c:v>
                </c:pt>
                <c:pt idx="245">
                  <c:v>12</c:v>
                </c:pt>
                <c:pt idx="246">
                  <c:v>13</c:v>
                </c:pt>
                <c:pt idx="247">
                  <c:v>12</c:v>
                </c:pt>
                <c:pt idx="248">
                  <c:v>13</c:v>
                </c:pt>
                <c:pt idx="249">
                  <c:v>12</c:v>
                </c:pt>
                <c:pt idx="250">
                  <c:v>13</c:v>
                </c:pt>
                <c:pt idx="251">
                  <c:v>14</c:v>
                </c:pt>
                <c:pt idx="252">
                  <c:v>13</c:v>
                </c:pt>
                <c:pt idx="253">
                  <c:v>14</c:v>
                </c:pt>
                <c:pt idx="254">
                  <c:v>13</c:v>
                </c:pt>
                <c:pt idx="255">
                  <c:v>14</c:v>
                </c:pt>
                <c:pt idx="256">
                  <c:v>15</c:v>
                </c:pt>
                <c:pt idx="257">
                  <c:v>14</c:v>
                </c:pt>
                <c:pt idx="258">
                  <c:v>13</c:v>
                </c:pt>
                <c:pt idx="259">
                  <c:v>14</c:v>
                </c:pt>
                <c:pt idx="260">
                  <c:v>15</c:v>
                </c:pt>
                <c:pt idx="261">
                  <c:v>16</c:v>
                </c:pt>
                <c:pt idx="262">
                  <c:v>15</c:v>
                </c:pt>
                <c:pt idx="263">
                  <c:v>14</c:v>
                </c:pt>
                <c:pt idx="264">
                  <c:v>15</c:v>
                </c:pt>
                <c:pt idx="265">
                  <c:v>16</c:v>
                </c:pt>
                <c:pt idx="266">
                  <c:v>17</c:v>
                </c:pt>
                <c:pt idx="267">
                  <c:v>16</c:v>
                </c:pt>
                <c:pt idx="268">
                  <c:v>15</c:v>
                </c:pt>
                <c:pt idx="269">
                  <c:v>14</c:v>
                </c:pt>
                <c:pt idx="270">
                  <c:v>13</c:v>
                </c:pt>
                <c:pt idx="271">
                  <c:v>12</c:v>
                </c:pt>
                <c:pt idx="272">
                  <c:v>11</c:v>
                </c:pt>
                <c:pt idx="273">
                  <c:v>10</c:v>
                </c:pt>
                <c:pt idx="274">
                  <c:v>11</c:v>
                </c:pt>
                <c:pt idx="275">
                  <c:v>10</c:v>
                </c:pt>
                <c:pt idx="276">
                  <c:v>11</c:v>
                </c:pt>
                <c:pt idx="277">
                  <c:v>10</c:v>
                </c:pt>
                <c:pt idx="278">
                  <c:v>11</c:v>
                </c:pt>
                <c:pt idx="279">
                  <c:v>10</c:v>
                </c:pt>
                <c:pt idx="280">
                  <c:v>11</c:v>
                </c:pt>
                <c:pt idx="281">
                  <c:v>12</c:v>
                </c:pt>
                <c:pt idx="282">
                  <c:v>11</c:v>
                </c:pt>
                <c:pt idx="283">
                  <c:v>12</c:v>
                </c:pt>
                <c:pt idx="284">
                  <c:v>13</c:v>
                </c:pt>
                <c:pt idx="285">
                  <c:v>12</c:v>
                </c:pt>
                <c:pt idx="286">
                  <c:v>13</c:v>
                </c:pt>
                <c:pt idx="287">
                  <c:v>12</c:v>
                </c:pt>
                <c:pt idx="288">
                  <c:v>13</c:v>
                </c:pt>
                <c:pt idx="289">
                  <c:v>12</c:v>
                </c:pt>
                <c:pt idx="290">
                  <c:v>11</c:v>
                </c:pt>
                <c:pt idx="291">
                  <c:v>12</c:v>
                </c:pt>
                <c:pt idx="292">
                  <c:v>11</c:v>
                </c:pt>
                <c:pt idx="293">
                  <c:v>12</c:v>
                </c:pt>
                <c:pt idx="294">
                  <c:v>13</c:v>
                </c:pt>
                <c:pt idx="295">
                  <c:v>12</c:v>
                </c:pt>
                <c:pt idx="296">
                  <c:v>13</c:v>
                </c:pt>
                <c:pt idx="297">
                  <c:v>14</c:v>
                </c:pt>
                <c:pt idx="298">
                  <c:v>15</c:v>
                </c:pt>
                <c:pt idx="299">
                  <c:v>14</c:v>
                </c:pt>
                <c:pt idx="300">
                  <c:v>13</c:v>
                </c:pt>
                <c:pt idx="301">
                  <c:v>12</c:v>
                </c:pt>
                <c:pt idx="302">
                  <c:v>11</c:v>
                </c:pt>
                <c:pt idx="303">
                  <c:v>10</c:v>
                </c:pt>
                <c:pt idx="304">
                  <c:v>11</c:v>
                </c:pt>
                <c:pt idx="305">
                  <c:v>10</c:v>
                </c:pt>
                <c:pt idx="306">
                  <c:v>9</c:v>
                </c:pt>
                <c:pt idx="307">
                  <c:v>8</c:v>
                </c:pt>
                <c:pt idx="308">
                  <c:v>7</c:v>
                </c:pt>
                <c:pt idx="309">
                  <c:v>6</c:v>
                </c:pt>
                <c:pt idx="310">
                  <c:v>7</c:v>
                </c:pt>
                <c:pt idx="311">
                  <c:v>8</c:v>
                </c:pt>
                <c:pt idx="312">
                  <c:v>9</c:v>
                </c:pt>
                <c:pt idx="313">
                  <c:v>8</c:v>
                </c:pt>
                <c:pt idx="314">
                  <c:v>7</c:v>
                </c:pt>
                <c:pt idx="315">
                  <c:v>6</c:v>
                </c:pt>
                <c:pt idx="316">
                  <c:v>7</c:v>
                </c:pt>
                <c:pt idx="317">
                  <c:v>6</c:v>
                </c:pt>
                <c:pt idx="318">
                  <c:v>5</c:v>
                </c:pt>
                <c:pt idx="319">
                  <c:v>6</c:v>
                </c:pt>
                <c:pt idx="320">
                  <c:v>5</c:v>
                </c:pt>
                <c:pt idx="321">
                  <c:v>6</c:v>
                </c:pt>
                <c:pt idx="322">
                  <c:v>7</c:v>
                </c:pt>
                <c:pt idx="323">
                  <c:v>6</c:v>
                </c:pt>
                <c:pt idx="324">
                  <c:v>7</c:v>
                </c:pt>
                <c:pt idx="325">
                  <c:v>8</c:v>
                </c:pt>
                <c:pt idx="326">
                  <c:v>9</c:v>
                </c:pt>
                <c:pt idx="327">
                  <c:v>10</c:v>
                </c:pt>
                <c:pt idx="328">
                  <c:v>11</c:v>
                </c:pt>
                <c:pt idx="329">
                  <c:v>10</c:v>
                </c:pt>
                <c:pt idx="330">
                  <c:v>11</c:v>
                </c:pt>
                <c:pt idx="331">
                  <c:v>12</c:v>
                </c:pt>
                <c:pt idx="332">
                  <c:v>11</c:v>
                </c:pt>
                <c:pt idx="333">
                  <c:v>10</c:v>
                </c:pt>
                <c:pt idx="334">
                  <c:v>9</c:v>
                </c:pt>
                <c:pt idx="335">
                  <c:v>8</c:v>
                </c:pt>
                <c:pt idx="336">
                  <c:v>7</c:v>
                </c:pt>
                <c:pt idx="337">
                  <c:v>6</c:v>
                </c:pt>
                <c:pt idx="338">
                  <c:v>5</c:v>
                </c:pt>
                <c:pt idx="339">
                  <c:v>4</c:v>
                </c:pt>
                <c:pt idx="340">
                  <c:v>3</c:v>
                </c:pt>
                <c:pt idx="341">
                  <c:v>4</c:v>
                </c:pt>
                <c:pt idx="342">
                  <c:v>3</c:v>
                </c:pt>
                <c:pt idx="343">
                  <c:v>4</c:v>
                </c:pt>
                <c:pt idx="344">
                  <c:v>3</c:v>
                </c:pt>
                <c:pt idx="345">
                  <c:v>2</c:v>
                </c:pt>
                <c:pt idx="346">
                  <c:v>1</c:v>
                </c:pt>
                <c:pt idx="347">
                  <c:v>0</c:v>
                </c:pt>
                <c:pt idx="348">
                  <c:v>1</c:v>
                </c:pt>
                <c:pt idx="349">
                  <c:v>2</c:v>
                </c:pt>
                <c:pt idx="350">
                  <c:v>1</c:v>
                </c:pt>
                <c:pt idx="351">
                  <c:v>0</c:v>
                </c:pt>
                <c:pt idx="352">
                  <c:v>1</c:v>
                </c:pt>
                <c:pt idx="353">
                  <c:v>2</c:v>
                </c:pt>
                <c:pt idx="354">
                  <c:v>1</c:v>
                </c:pt>
                <c:pt idx="355">
                  <c:v>0</c:v>
                </c:pt>
                <c:pt idx="356">
                  <c:v>1</c:v>
                </c:pt>
                <c:pt idx="357">
                  <c:v>0</c:v>
                </c:pt>
                <c:pt idx="358">
                  <c:v>1</c:v>
                </c:pt>
                <c:pt idx="359">
                  <c:v>2</c:v>
                </c:pt>
                <c:pt idx="360">
                  <c:v>1</c:v>
                </c:pt>
                <c:pt idx="361">
                  <c:v>0</c:v>
                </c:pt>
                <c:pt idx="362">
                  <c:v>1</c:v>
                </c:pt>
                <c:pt idx="363">
                  <c:v>2</c:v>
                </c:pt>
                <c:pt idx="364">
                  <c:v>1</c:v>
                </c:pt>
                <c:pt idx="365">
                  <c:v>0</c:v>
                </c:pt>
                <c:pt idx="366">
                  <c:v>1</c:v>
                </c:pt>
                <c:pt idx="367">
                  <c:v>2</c:v>
                </c:pt>
                <c:pt idx="368">
                  <c:v>3</c:v>
                </c:pt>
                <c:pt idx="369">
                  <c:v>2</c:v>
                </c:pt>
                <c:pt idx="370">
                  <c:v>1</c:v>
                </c:pt>
                <c:pt idx="371">
                  <c:v>0</c:v>
                </c:pt>
                <c:pt idx="372">
                  <c:v>1</c:v>
                </c:pt>
                <c:pt idx="373">
                  <c:v>0</c:v>
                </c:pt>
                <c:pt idx="374">
                  <c:v>1</c:v>
                </c:pt>
                <c:pt idx="375">
                  <c:v>0</c:v>
                </c:pt>
                <c:pt idx="376">
                  <c:v>1</c:v>
                </c:pt>
                <c:pt idx="377">
                  <c:v>0</c:v>
                </c:pt>
                <c:pt idx="378">
                  <c:v>1</c:v>
                </c:pt>
                <c:pt idx="379">
                  <c:v>0</c:v>
                </c:pt>
                <c:pt idx="380">
                  <c:v>1</c:v>
                </c:pt>
                <c:pt idx="381">
                  <c:v>0</c:v>
                </c:pt>
                <c:pt idx="382">
                  <c:v>1</c:v>
                </c:pt>
                <c:pt idx="383">
                  <c:v>2</c:v>
                </c:pt>
                <c:pt idx="384">
                  <c:v>1</c:v>
                </c:pt>
                <c:pt idx="385">
                  <c:v>2</c:v>
                </c:pt>
                <c:pt idx="386">
                  <c:v>1</c:v>
                </c:pt>
                <c:pt idx="387">
                  <c:v>2</c:v>
                </c:pt>
                <c:pt idx="388">
                  <c:v>3</c:v>
                </c:pt>
                <c:pt idx="389">
                  <c:v>4</c:v>
                </c:pt>
                <c:pt idx="390">
                  <c:v>5</c:v>
                </c:pt>
                <c:pt idx="391">
                  <c:v>4</c:v>
                </c:pt>
                <c:pt idx="392">
                  <c:v>3</c:v>
                </c:pt>
                <c:pt idx="393">
                  <c:v>4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6E-4497-8360-ABD90D11DE24}"/>
            </c:ext>
          </c:extLst>
        </c:ser>
        <c:ser>
          <c:idx val="1"/>
          <c:order val="1"/>
          <c:spPr>
            <a:ln>
              <a:solidFill>
                <a:srgbClr val="FFFF00"/>
              </a:solidFill>
            </a:ln>
          </c:spPr>
          <c:marker>
            <c:symbol val="none"/>
          </c:marker>
          <c:val>
            <c:numRef>
              <c:f>Лист23!$AK$634:$AK$1033</c:f>
              <c:numCache>
                <c:formatCode>General</c:formatCode>
                <c:ptCount val="400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4</c:v>
                </c:pt>
                <c:pt idx="8">
                  <c:v>3</c:v>
                </c:pt>
                <c:pt idx="9">
                  <c:v>4</c:v>
                </c:pt>
                <c:pt idx="10">
                  <c:v>5</c:v>
                </c:pt>
                <c:pt idx="11">
                  <c:v>4</c:v>
                </c:pt>
                <c:pt idx="12">
                  <c:v>5</c:v>
                </c:pt>
                <c:pt idx="13">
                  <c:v>4</c:v>
                </c:pt>
                <c:pt idx="14">
                  <c:v>5</c:v>
                </c:pt>
                <c:pt idx="15">
                  <c:v>4</c:v>
                </c:pt>
                <c:pt idx="16">
                  <c:v>3</c:v>
                </c:pt>
                <c:pt idx="17">
                  <c:v>2</c:v>
                </c:pt>
                <c:pt idx="18">
                  <c:v>3</c:v>
                </c:pt>
                <c:pt idx="19">
                  <c:v>4</c:v>
                </c:pt>
                <c:pt idx="20">
                  <c:v>5</c:v>
                </c:pt>
                <c:pt idx="21">
                  <c:v>6</c:v>
                </c:pt>
                <c:pt idx="22">
                  <c:v>5</c:v>
                </c:pt>
                <c:pt idx="23">
                  <c:v>4</c:v>
                </c:pt>
                <c:pt idx="24">
                  <c:v>3</c:v>
                </c:pt>
                <c:pt idx="25">
                  <c:v>4</c:v>
                </c:pt>
                <c:pt idx="26">
                  <c:v>3</c:v>
                </c:pt>
                <c:pt idx="27">
                  <c:v>4</c:v>
                </c:pt>
                <c:pt idx="28">
                  <c:v>3</c:v>
                </c:pt>
                <c:pt idx="29">
                  <c:v>4</c:v>
                </c:pt>
                <c:pt idx="30">
                  <c:v>3</c:v>
                </c:pt>
                <c:pt idx="31">
                  <c:v>2</c:v>
                </c:pt>
                <c:pt idx="32">
                  <c:v>3</c:v>
                </c:pt>
                <c:pt idx="33">
                  <c:v>4</c:v>
                </c:pt>
                <c:pt idx="34">
                  <c:v>3</c:v>
                </c:pt>
                <c:pt idx="35">
                  <c:v>2</c:v>
                </c:pt>
                <c:pt idx="36">
                  <c:v>3</c:v>
                </c:pt>
                <c:pt idx="37">
                  <c:v>2</c:v>
                </c:pt>
                <c:pt idx="38">
                  <c:v>3</c:v>
                </c:pt>
                <c:pt idx="39">
                  <c:v>2</c:v>
                </c:pt>
                <c:pt idx="40">
                  <c:v>1</c:v>
                </c:pt>
                <c:pt idx="41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1</c:v>
                </c:pt>
                <c:pt idx="45">
                  <c:v>0</c:v>
                </c:pt>
                <c:pt idx="46">
                  <c:v>1</c:v>
                </c:pt>
                <c:pt idx="47">
                  <c:v>2</c:v>
                </c:pt>
                <c:pt idx="48">
                  <c:v>3</c:v>
                </c:pt>
                <c:pt idx="49">
                  <c:v>4</c:v>
                </c:pt>
                <c:pt idx="50">
                  <c:v>3</c:v>
                </c:pt>
                <c:pt idx="51">
                  <c:v>4</c:v>
                </c:pt>
                <c:pt idx="52">
                  <c:v>3</c:v>
                </c:pt>
                <c:pt idx="53">
                  <c:v>2</c:v>
                </c:pt>
                <c:pt idx="54">
                  <c:v>1</c:v>
                </c:pt>
                <c:pt idx="55">
                  <c:v>2</c:v>
                </c:pt>
                <c:pt idx="56">
                  <c:v>1</c:v>
                </c:pt>
                <c:pt idx="57">
                  <c:v>2</c:v>
                </c:pt>
                <c:pt idx="58">
                  <c:v>1</c:v>
                </c:pt>
                <c:pt idx="59">
                  <c:v>0</c:v>
                </c:pt>
                <c:pt idx="60">
                  <c:v>1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1</c:v>
                </c:pt>
                <c:pt idx="65">
                  <c:v>2</c:v>
                </c:pt>
                <c:pt idx="66">
                  <c:v>3</c:v>
                </c:pt>
                <c:pt idx="67">
                  <c:v>2</c:v>
                </c:pt>
                <c:pt idx="68">
                  <c:v>1</c:v>
                </c:pt>
                <c:pt idx="69">
                  <c:v>2</c:v>
                </c:pt>
                <c:pt idx="70">
                  <c:v>1</c:v>
                </c:pt>
                <c:pt idx="71">
                  <c:v>2</c:v>
                </c:pt>
                <c:pt idx="72">
                  <c:v>1</c:v>
                </c:pt>
                <c:pt idx="73">
                  <c:v>2</c:v>
                </c:pt>
                <c:pt idx="74">
                  <c:v>1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3</c:v>
                </c:pt>
                <c:pt idx="79">
                  <c:v>4</c:v>
                </c:pt>
                <c:pt idx="80">
                  <c:v>5</c:v>
                </c:pt>
                <c:pt idx="81">
                  <c:v>4</c:v>
                </c:pt>
                <c:pt idx="82">
                  <c:v>5</c:v>
                </c:pt>
                <c:pt idx="83">
                  <c:v>4</c:v>
                </c:pt>
                <c:pt idx="84">
                  <c:v>5</c:v>
                </c:pt>
                <c:pt idx="85">
                  <c:v>6</c:v>
                </c:pt>
                <c:pt idx="86">
                  <c:v>5</c:v>
                </c:pt>
                <c:pt idx="87">
                  <c:v>4</c:v>
                </c:pt>
                <c:pt idx="88">
                  <c:v>5</c:v>
                </c:pt>
                <c:pt idx="89">
                  <c:v>4</c:v>
                </c:pt>
                <c:pt idx="90">
                  <c:v>3</c:v>
                </c:pt>
                <c:pt idx="91">
                  <c:v>4</c:v>
                </c:pt>
                <c:pt idx="92">
                  <c:v>3</c:v>
                </c:pt>
                <c:pt idx="93">
                  <c:v>2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2</c:v>
                </c:pt>
                <c:pt idx="98">
                  <c:v>1</c:v>
                </c:pt>
                <c:pt idx="99">
                  <c:v>2</c:v>
                </c:pt>
                <c:pt idx="100">
                  <c:v>3</c:v>
                </c:pt>
                <c:pt idx="101">
                  <c:v>2</c:v>
                </c:pt>
                <c:pt idx="102">
                  <c:v>3</c:v>
                </c:pt>
                <c:pt idx="103">
                  <c:v>4</c:v>
                </c:pt>
                <c:pt idx="104">
                  <c:v>5</c:v>
                </c:pt>
                <c:pt idx="105">
                  <c:v>4</c:v>
                </c:pt>
                <c:pt idx="106">
                  <c:v>5</c:v>
                </c:pt>
                <c:pt idx="107">
                  <c:v>6</c:v>
                </c:pt>
                <c:pt idx="108">
                  <c:v>5</c:v>
                </c:pt>
                <c:pt idx="109">
                  <c:v>4</c:v>
                </c:pt>
                <c:pt idx="110">
                  <c:v>5</c:v>
                </c:pt>
                <c:pt idx="111">
                  <c:v>6</c:v>
                </c:pt>
                <c:pt idx="112">
                  <c:v>5</c:v>
                </c:pt>
                <c:pt idx="113">
                  <c:v>4</c:v>
                </c:pt>
                <c:pt idx="114">
                  <c:v>3</c:v>
                </c:pt>
                <c:pt idx="115">
                  <c:v>2</c:v>
                </c:pt>
                <c:pt idx="116">
                  <c:v>1</c:v>
                </c:pt>
                <c:pt idx="117">
                  <c:v>0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0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0</c:v>
                </c:pt>
                <c:pt idx="132">
                  <c:v>1</c:v>
                </c:pt>
                <c:pt idx="133">
                  <c:v>0</c:v>
                </c:pt>
                <c:pt idx="134">
                  <c:v>1</c:v>
                </c:pt>
                <c:pt idx="135">
                  <c:v>0</c:v>
                </c:pt>
                <c:pt idx="136">
                  <c:v>1</c:v>
                </c:pt>
                <c:pt idx="137">
                  <c:v>0</c:v>
                </c:pt>
                <c:pt idx="138">
                  <c:v>1</c:v>
                </c:pt>
                <c:pt idx="139">
                  <c:v>2</c:v>
                </c:pt>
                <c:pt idx="140">
                  <c:v>1</c:v>
                </c:pt>
                <c:pt idx="141">
                  <c:v>2</c:v>
                </c:pt>
                <c:pt idx="142">
                  <c:v>1</c:v>
                </c:pt>
                <c:pt idx="143">
                  <c:v>0</c:v>
                </c:pt>
                <c:pt idx="144">
                  <c:v>1</c:v>
                </c:pt>
                <c:pt idx="145">
                  <c:v>0</c:v>
                </c:pt>
                <c:pt idx="146">
                  <c:v>1</c:v>
                </c:pt>
                <c:pt idx="147">
                  <c:v>2</c:v>
                </c:pt>
                <c:pt idx="148">
                  <c:v>1</c:v>
                </c:pt>
                <c:pt idx="149">
                  <c:v>0</c:v>
                </c:pt>
                <c:pt idx="150">
                  <c:v>1</c:v>
                </c:pt>
                <c:pt idx="151">
                  <c:v>0</c:v>
                </c:pt>
                <c:pt idx="152">
                  <c:v>1</c:v>
                </c:pt>
                <c:pt idx="153">
                  <c:v>0</c:v>
                </c:pt>
                <c:pt idx="154">
                  <c:v>1</c:v>
                </c:pt>
                <c:pt idx="155">
                  <c:v>0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0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2</c:v>
                </c:pt>
                <c:pt idx="166">
                  <c:v>1</c:v>
                </c:pt>
                <c:pt idx="167">
                  <c:v>2</c:v>
                </c:pt>
                <c:pt idx="168">
                  <c:v>1</c:v>
                </c:pt>
                <c:pt idx="169">
                  <c:v>0</c:v>
                </c:pt>
                <c:pt idx="170">
                  <c:v>1</c:v>
                </c:pt>
                <c:pt idx="171">
                  <c:v>2</c:v>
                </c:pt>
                <c:pt idx="172">
                  <c:v>3</c:v>
                </c:pt>
                <c:pt idx="173">
                  <c:v>4</c:v>
                </c:pt>
                <c:pt idx="174">
                  <c:v>3</c:v>
                </c:pt>
                <c:pt idx="175">
                  <c:v>4</c:v>
                </c:pt>
                <c:pt idx="176">
                  <c:v>5</c:v>
                </c:pt>
                <c:pt idx="177">
                  <c:v>6</c:v>
                </c:pt>
                <c:pt idx="178">
                  <c:v>7</c:v>
                </c:pt>
                <c:pt idx="179">
                  <c:v>8</c:v>
                </c:pt>
                <c:pt idx="180">
                  <c:v>7</c:v>
                </c:pt>
                <c:pt idx="181">
                  <c:v>8</c:v>
                </c:pt>
                <c:pt idx="182">
                  <c:v>9</c:v>
                </c:pt>
                <c:pt idx="183">
                  <c:v>8</c:v>
                </c:pt>
                <c:pt idx="184">
                  <c:v>7</c:v>
                </c:pt>
                <c:pt idx="185">
                  <c:v>6</c:v>
                </c:pt>
                <c:pt idx="186">
                  <c:v>5</c:v>
                </c:pt>
                <c:pt idx="187">
                  <c:v>4</c:v>
                </c:pt>
                <c:pt idx="188">
                  <c:v>5</c:v>
                </c:pt>
                <c:pt idx="189">
                  <c:v>6</c:v>
                </c:pt>
                <c:pt idx="190">
                  <c:v>7</c:v>
                </c:pt>
                <c:pt idx="191">
                  <c:v>6</c:v>
                </c:pt>
                <c:pt idx="192">
                  <c:v>7</c:v>
                </c:pt>
                <c:pt idx="193">
                  <c:v>8</c:v>
                </c:pt>
                <c:pt idx="194">
                  <c:v>9</c:v>
                </c:pt>
                <c:pt idx="195">
                  <c:v>8</c:v>
                </c:pt>
                <c:pt idx="196">
                  <c:v>9</c:v>
                </c:pt>
                <c:pt idx="197">
                  <c:v>8</c:v>
                </c:pt>
                <c:pt idx="198">
                  <c:v>9</c:v>
                </c:pt>
                <c:pt idx="199">
                  <c:v>10</c:v>
                </c:pt>
                <c:pt idx="200">
                  <c:v>9</c:v>
                </c:pt>
                <c:pt idx="201">
                  <c:v>8</c:v>
                </c:pt>
                <c:pt idx="202">
                  <c:v>7</c:v>
                </c:pt>
                <c:pt idx="203">
                  <c:v>8</c:v>
                </c:pt>
                <c:pt idx="204">
                  <c:v>9</c:v>
                </c:pt>
                <c:pt idx="205">
                  <c:v>10</c:v>
                </c:pt>
                <c:pt idx="206">
                  <c:v>11</c:v>
                </c:pt>
                <c:pt idx="207">
                  <c:v>10</c:v>
                </c:pt>
                <c:pt idx="208">
                  <c:v>11</c:v>
                </c:pt>
                <c:pt idx="209">
                  <c:v>12</c:v>
                </c:pt>
                <c:pt idx="210">
                  <c:v>13</c:v>
                </c:pt>
                <c:pt idx="211">
                  <c:v>12</c:v>
                </c:pt>
                <c:pt idx="212">
                  <c:v>11</c:v>
                </c:pt>
                <c:pt idx="213">
                  <c:v>10</c:v>
                </c:pt>
                <c:pt idx="214">
                  <c:v>9</c:v>
                </c:pt>
                <c:pt idx="215">
                  <c:v>8</c:v>
                </c:pt>
                <c:pt idx="216">
                  <c:v>7</c:v>
                </c:pt>
                <c:pt idx="217">
                  <c:v>6</c:v>
                </c:pt>
                <c:pt idx="218">
                  <c:v>5</c:v>
                </c:pt>
                <c:pt idx="219">
                  <c:v>4</c:v>
                </c:pt>
                <c:pt idx="220">
                  <c:v>3</c:v>
                </c:pt>
                <c:pt idx="221">
                  <c:v>4</c:v>
                </c:pt>
                <c:pt idx="222">
                  <c:v>3</c:v>
                </c:pt>
                <c:pt idx="223">
                  <c:v>4</c:v>
                </c:pt>
                <c:pt idx="224">
                  <c:v>5</c:v>
                </c:pt>
                <c:pt idx="225">
                  <c:v>6</c:v>
                </c:pt>
                <c:pt idx="226">
                  <c:v>7</c:v>
                </c:pt>
                <c:pt idx="227">
                  <c:v>6</c:v>
                </c:pt>
                <c:pt idx="228">
                  <c:v>5</c:v>
                </c:pt>
                <c:pt idx="229">
                  <c:v>4</c:v>
                </c:pt>
                <c:pt idx="230">
                  <c:v>3</c:v>
                </c:pt>
                <c:pt idx="231">
                  <c:v>2</c:v>
                </c:pt>
                <c:pt idx="232">
                  <c:v>1</c:v>
                </c:pt>
                <c:pt idx="233">
                  <c:v>2</c:v>
                </c:pt>
                <c:pt idx="234">
                  <c:v>1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1</c:v>
                </c:pt>
                <c:pt idx="239">
                  <c:v>0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2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2</c:v>
                </c:pt>
                <c:pt idx="256">
                  <c:v>1</c:v>
                </c:pt>
                <c:pt idx="257">
                  <c:v>0</c:v>
                </c:pt>
                <c:pt idx="258">
                  <c:v>1</c:v>
                </c:pt>
                <c:pt idx="259">
                  <c:v>0</c:v>
                </c:pt>
                <c:pt idx="260">
                  <c:v>1</c:v>
                </c:pt>
                <c:pt idx="261">
                  <c:v>0</c:v>
                </c:pt>
                <c:pt idx="262">
                  <c:v>1</c:v>
                </c:pt>
                <c:pt idx="263">
                  <c:v>2</c:v>
                </c:pt>
                <c:pt idx="264">
                  <c:v>3</c:v>
                </c:pt>
                <c:pt idx="265">
                  <c:v>4</c:v>
                </c:pt>
                <c:pt idx="266">
                  <c:v>3</c:v>
                </c:pt>
                <c:pt idx="267">
                  <c:v>2</c:v>
                </c:pt>
                <c:pt idx="268">
                  <c:v>3</c:v>
                </c:pt>
                <c:pt idx="269">
                  <c:v>4</c:v>
                </c:pt>
                <c:pt idx="270">
                  <c:v>3</c:v>
                </c:pt>
                <c:pt idx="271">
                  <c:v>4</c:v>
                </c:pt>
                <c:pt idx="272">
                  <c:v>5</c:v>
                </c:pt>
                <c:pt idx="273">
                  <c:v>4</c:v>
                </c:pt>
                <c:pt idx="274">
                  <c:v>5</c:v>
                </c:pt>
                <c:pt idx="275">
                  <c:v>6</c:v>
                </c:pt>
                <c:pt idx="276">
                  <c:v>5</c:v>
                </c:pt>
                <c:pt idx="277">
                  <c:v>4</c:v>
                </c:pt>
                <c:pt idx="278">
                  <c:v>5</c:v>
                </c:pt>
                <c:pt idx="279">
                  <c:v>4</c:v>
                </c:pt>
                <c:pt idx="280">
                  <c:v>3</c:v>
                </c:pt>
                <c:pt idx="281">
                  <c:v>4</c:v>
                </c:pt>
                <c:pt idx="282">
                  <c:v>3</c:v>
                </c:pt>
                <c:pt idx="283">
                  <c:v>2</c:v>
                </c:pt>
                <c:pt idx="284">
                  <c:v>3</c:v>
                </c:pt>
                <c:pt idx="285">
                  <c:v>2</c:v>
                </c:pt>
                <c:pt idx="286">
                  <c:v>1</c:v>
                </c:pt>
                <c:pt idx="287">
                  <c:v>2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2</c:v>
                </c:pt>
                <c:pt idx="294">
                  <c:v>1</c:v>
                </c:pt>
                <c:pt idx="295">
                  <c:v>2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0</c:v>
                </c:pt>
                <c:pt idx="302">
                  <c:v>1</c:v>
                </c:pt>
                <c:pt idx="303">
                  <c:v>0</c:v>
                </c:pt>
                <c:pt idx="304">
                  <c:v>1</c:v>
                </c:pt>
                <c:pt idx="305">
                  <c:v>2</c:v>
                </c:pt>
                <c:pt idx="306">
                  <c:v>1</c:v>
                </c:pt>
                <c:pt idx="307">
                  <c:v>2</c:v>
                </c:pt>
                <c:pt idx="308">
                  <c:v>3</c:v>
                </c:pt>
                <c:pt idx="309">
                  <c:v>4</c:v>
                </c:pt>
                <c:pt idx="310">
                  <c:v>3</c:v>
                </c:pt>
                <c:pt idx="311">
                  <c:v>2</c:v>
                </c:pt>
                <c:pt idx="312">
                  <c:v>1</c:v>
                </c:pt>
                <c:pt idx="313">
                  <c:v>2</c:v>
                </c:pt>
                <c:pt idx="314">
                  <c:v>1</c:v>
                </c:pt>
                <c:pt idx="315">
                  <c:v>2</c:v>
                </c:pt>
                <c:pt idx="316">
                  <c:v>3</c:v>
                </c:pt>
                <c:pt idx="317">
                  <c:v>4</c:v>
                </c:pt>
                <c:pt idx="318">
                  <c:v>5</c:v>
                </c:pt>
                <c:pt idx="319">
                  <c:v>4</c:v>
                </c:pt>
                <c:pt idx="320">
                  <c:v>5</c:v>
                </c:pt>
                <c:pt idx="321">
                  <c:v>6</c:v>
                </c:pt>
                <c:pt idx="322">
                  <c:v>7</c:v>
                </c:pt>
                <c:pt idx="323">
                  <c:v>6</c:v>
                </c:pt>
                <c:pt idx="324">
                  <c:v>7</c:v>
                </c:pt>
                <c:pt idx="325">
                  <c:v>8</c:v>
                </c:pt>
                <c:pt idx="326">
                  <c:v>9</c:v>
                </c:pt>
                <c:pt idx="327">
                  <c:v>10</c:v>
                </c:pt>
                <c:pt idx="328">
                  <c:v>9</c:v>
                </c:pt>
                <c:pt idx="329">
                  <c:v>10</c:v>
                </c:pt>
                <c:pt idx="330">
                  <c:v>9</c:v>
                </c:pt>
                <c:pt idx="331">
                  <c:v>10</c:v>
                </c:pt>
                <c:pt idx="332">
                  <c:v>9</c:v>
                </c:pt>
                <c:pt idx="333">
                  <c:v>8</c:v>
                </c:pt>
                <c:pt idx="334">
                  <c:v>7</c:v>
                </c:pt>
                <c:pt idx="335">
                  <c:v>6</c:v>
                </c:pt>
                <c:pt idx="336">
                  <c:v>7</c:v>
                </c:pt>
                <c:pt idx="337">
                  <c:v>6</c:v>
                </c:pt>
                <c:pt idx="338">
                  <c:v>5</c:v>
                </c:pt>
                <c:pt idx="339">
                  <c:v>4</c:v>
                </c:pt>
                <c:pt idx="340">
                  <c:v>5</c:v>
                </c:pt>
                <c:pt idx="341">
                  <c:v>6</c:v>
                </c:pt>
                <c:pt idx="342">
                  <c:v>7</c:v>
                </c:pt>
                <c:pt idx="343">
                  <c:v>6</c:v>
                </c:pt>
                <c:pt idx="344">
                  <c:v>7</c:v>
                </c:pt>
                <c:pt idx="345">
                  <c:v>6</c:v>
                </c:pt>
                <c:pt idx="346">
                  <c:v>7</c:v>
                </c:pt>
                <c:pt idx="347">
                  <c:v>8</c:v>
                </c:pt>
                <c:pt idx="348">
                  <c:v>7</c:v>
                </c:pt>
                <c:pt idx="349">
                  <c:v>6</c:v>
                </c:pt>
                <c:pt idx="350">
                  <c:v>5</c:v>
                </c:pt>
                <c:pt idx="351">
                  <c:v>4</c:v>
                </c:pt>
                <c:pt idx="352">
                  <c:v>3</c:v>
                </c:pt>
                <c:pt idx="353">
                  <c:v>4</c:v>
                </c:pt>
                <c:pt idx="354">
                  <c:v>3</c:v>
                </c:pt>
                <c:pt idx="355">
                  <c:v>2</c:v>
                </c:pt>
                <c:pt idx="356">
                  <c:v>1</c:v>
                </c:pt>
                <c:pt idx="357">
                  <c:v>2</c:v>
                </c:pt>
                <c:pt idx="358">
                  <c:v>1</c:v>
                </c:pt>
                <c:pt idx="359">
                  <c:v>2</c:v>
                </c:pt>
                <c:pt idx="360">
                  <c:v>3</c:v>
                </c:pt>
                <c:pt idx="361">
                  <c:v>4</c:v>
                </c:pt>
                <c:pt idx="362">
                  <c:v>5</c:v>
                </c:pt>
                <c:pt idx="363">
                  <c:v>4</c:v>
                </c:pt>
                <c:pt idx="364">
                  <c:v>3</c:v>
                </c:pt>
                <c:pt idx="365">
                  <c:v>4</c:v>
                </c:pt>
                <c:pt idx="366">
                  <c:v>3</c:v>
                </c:pt>
                <c:pt idx="367">
                  <c:v>4</c:v>
                </c:pt>
                <c:pt idx="368">
                  <c:v>5</c:v>
                </c:pt>
                <c:pt idx="369">
                  <c:v>6</c:v>
                </c:pt>
                <c:pt idx="370">
                  <c:v>7</c:v>
                </c:pt>
                <c:pt idx="371">
                  <c:v>6</c:v>
                </c:pt>
                <c:pt idx="372">
                  <c:v>7</c:v>
                </c:pt>
                <c:pt idx="373">
                  <c:v>6</c:v>
                </c:pt>
                <c:pt idx="374">
                  <c:v>7</c:v>
                </c:pt>
                <c:pt idx="375">
                  <c:v>8</c:v>
                </c:pt>
                <c:pt idx="376">
                  <c:v>7</c:v>
                </c:pt>
                <c:pt idx="377">
                  <c:v>8</c:v>
                </c:pt>
                <c:pt idx="378">
                  <c:v>9</c:v>
                </c:pt>
                <c:pt idx="379">
                  <c:v>10</c:v>
                </c:pt>
                <c:pt idx="380">
                  <c:v>11</c:v>
                </c:pt>
                <c:pt idx="381">
                  <c:v>12</c:v>
                </c:pt>
                <c:pt idx="382">
                  <c:v>11</c:v>
                </c:pt>
                <c:pt idx="383">
                  <c:v>12</c:v>
                </c:pt>
                <c:pt idx="384">
                  <c:v>11</c:v>
                </c:pt>
                <c:pt idx="385">
                  <c:v>12</c:v>
                </c:pt>
                <c:pt idx="386">
                  <c:v>13</c:v>
                </c:pt>
                <c:pt idx="387">
                  <c:v>12</c:v>
                </c:pt>
                <c:pt idx="388">
                  <c:v>11</c:v>
                </c:pt>
                <c:pt idx="389">
                  <c:v>10</c:v>
                </c:pt>
                <c:pt idx="390">
                  <c:v>9</c:v>
                </c:pt>
                <c:pt idx="391">
                  <c:v>8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6E-4497-8360-ABD90D11DE24}"/>
            </c:ext>
          </c:extLst>
        </c:ser>
        <c:ser>
          <c:idx val="2"/>
          <c:order val="2"/>
          <c:spPr>
            <a:ln>
              <a:solidFill>
                <a:srgbClr val="FF0000"/>
              </a:solidFill>
            </a:ln>
          </c:spPr>
          <c:marker>
            <c:symbol val="none"/>
          </c:marker>
          <c:val>
            <c:numRef>
              <c:f>Лист23!$AL$634:$AL$1033</c:f>
              <c:numCache>
                <c:formatCode>General</c:formatCode>
                <c:ptCount val="400"/>
                <c:pt idx="0">
                  <c:v>1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1</c:v>
                </c:pt>
                <c:pt idx="7">
                  <c:v>2</c:v>
                </c:pt>
                <c:pt idx="8">
                  <c:v>3</c:v>
                </c:pt>
                <c:pt idx="9">
                  <c:v>4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2</c:v>
                </c:pt>
                <c:pt idx="18">
                  <c:v>3</c:v>
                </c:pt>
                <c:pt idx="19">
                  <c:v>2</c:v>
                </c:pt>
                <c:pt idx="20">
                  <c:v>3</c:v>
                </c:pt>
                <c:pt idx="21">
                  <c:v>4</c:v>
                </c:pt>
                <c:pt idx="22">
                  <c:v>5</c:v>
                </c:pt>
                <c:pt idx="23">
                  <c:v>6</c:v>
                </c:pt>
                <c:pt idx="24">
                  <c:v>5</c:v>
                </c:pt>
                <c:pt idx="25">
                  <c:v>6</c:v>
                </c:pt>
                <c:pt idx="26">
                  <c:v>7</c:v>
                </c:pt>
                <c:pt idx="27">
                  <c:v>6</c:v>
                </c:pt>
                <c:pt idx="28">
                  <c:v>7</c:v>
                </c:pt>
                <c:pt idx="29">
                  <c:v>8</c:v>
                </c:pt>
                <c:pt idx="30">
                  <c:v>9</c:v>
                </c:pt>
                <c:pt idx="31">
                  <c:v>8</c:v>
                </c:pt>
                <c:pt idx="32">
                  <c:v>9</c:v>
                </c:pt>
                <c:pt idx="33">
                  <c:v>10</c:v>
                </c:pt>
                <c:pt idx="34">
                  <c:v>11</c:v>
                </c:pt>
                <c:pt idx="35">
                  <c:v>12</c:v>
                </c:pt>
                <c:pt idx="36">
                  <c:v>13</c:v>
                </c:pt>
                <c:pt idx="37">
                  <c:v>14</c:v>
                </c:pt>
                <c:pt idx="38">
                  <c:v>15</c:v>
                </c:pt>
                <c:pt idx="39">
                  <c:v>16</c:v>
                </c:pt>
                <c:pt idx="40">
                  <c:v>15</c:v>
                </c:pt>
                <c:pt idx="41">
                  <c:v>16</c:v>
                </c:pt>
                <c:pt idx="42">
                  <c:v>15</c:v>
                </c:pt>
                <c:pt idx="43">
                  <c:v>16</c:v>
                </c:pt>
                <c:pt idx="44">
                  <c:v>17</c:v>
                </c:pt>
                <c:pt idx="45">
                  <c:v>16</c:v>
                </c:pt>
                <c:pt idx="46">
                  <c:v>17</c:v>
                </c:pt>
                <c:pt idx="47">
                  <c:v>16</c:v>
                </c:pt>
                <c:pt idx="48">
                  <c:v>17</c:v>
                </c:pt>
                <c:pt idx="49">
                  <c:v>16</c:v>
                </c:pt>
                <c:pt idx="50">
                  <c:v>17</c:v>
                </c:pt>
                <c:pt idx="51">
                  <c:v>16</c:v>
                </c:pt>
                <c:pt idx="52">
                  <c:v>17</c:v>
                </c:pt>
                <c:pt idx="53">
                  <c:v>16</c:v>
                </c:pt>
                <c:pt idx="54">
                  <c:v>15</c:v>
                </c:pt>
                <c:pt idx="55">
                  <c:v>16</c:v>
                </c:pt>
                <c:pt idx="56">
                  <c:v>17</c:v>
                </c:pt>
                <c:pt idx="57">
                  <c:v>16</c:v>
                </c:pt>
                <c:pt idx="58">
                  <c:v>15</c:v>
                </c:pt>
                <c:pt idx="59">
                  <c:v>14</c:v>
                </c:pt>
                <c:pt idx="60">
                  <c:v>13</c:v>
                </c:pt>
                <c:pt idx="61">
                  <c:v>12</c:v>
                </c:pt>
                <c:pt idx="62">
                  <c:v>13</c:v>
                </c:pt>
                <c:pt idx="63">
                  <c:v>12</c:v>
                </c:pt>
                <c:pt idx="64">
                  <c:v>13</c:v>
                </c:pt>
                <c:pt idx="65">
                  <c:v>14</c:v>
                </c:pt>
                <c:pt idx="66">
                  <c:v>13</c:v>
                </c:pt>
                <c:pt idx="67">
                  <c:v>14</c:v>
                </c:pt>
                <c:pt idx="68">
                  <c:v>15</c:v>
                </c:pt>
                <c:pt idx="69">
                  <c:v>16</c:v>
                </c:pt>
                <c:pt idx="70">
                  <c:v>15</c:v>
                </c:pt>
                <c:pt idx="71">
                  <c:v>14</c:v>
                </c:pt>
                <c:pt idx="72">
                  <c:v>15</c:v>
                </c:pt>
                <c:pt idx="73">
                  <c:v>14</c:v>
                </c:pt>
                <c:pt idx="74">
                  <c:v>13</c:v>
                </c:pt>
                <c:pt idx="75">
                  <c:v>12</c:v>
                </c:pt>
                <c:pt idx="76">
                  <c:v>11</c:v>
                </c:pt>
                <c:pt idx="77">
                  <c:v>12</c:v>
                </c:pt>
                <c:pt idx="78">
                  <c:v>11</c:v>
                </c:pt>
                <c:pt idx="79">
                  <c:v>10</c:v>
                </c:pt>
                <c:pt idx="80">
                  <c:v>9</c:v>
                </c:pt>
                <c:pt idx="81">
                  <c:v>8</c:v>
                </c:pt>
                <c:pt idx="82">
                  <c:v>9</c:v>
                </c:pt>
                <c:pt idx="83">
                  <c:v>8</c:v>
                </c:pt>
                <c:pt idx="84">
                  <c:v>9</c:v>
                </c:pt>
                <c:pt idx="85">
                  <c:v>8</c:v>
                </c:pt>
                <c:pt idx="86">
                  <c:v>7</c:v>
                </c:pt>
                <c:pt idx="87">
                  <c:v>6</c:v>
                </c:pt>
                <c:pt idx="88">
                  <c:v>7</c:v>
                </c:pt>
                <c:pt idx="89">
                  <c:v>8</c:v>
                </c:pt>
                <c:pt idx="90">
                  <c:v>7</c:v>
                </c:pt>
                <c:pt idx="91">
                  <c:v>8</c:v>
                </c:pt>
                <c:pt idx="92">
                  <c:v>7</c:v>
                </c:pt>
                <c:pt idx="93">
                  <c:v>8</c:v>
                </c:pt>
                <c:pt idx="94">
                  <c:v>7</c:v>
                </c:pt>
                <c:pt idx="95">
                  <c:v>6</c:v>
                </c:pt>
                <c:pt idx="96">
                  <c:v>7</c:v>
                </c:pt>
                <c:pt idx="97">
                  <c:v>8</c:v>
                </c:pt>
                <c:pt idx="98">
                  <c:v>9</c:v>
                </c:pt>
                <c:pt idx="99">
                  <c:v>10</c:v>
                </c:pt>
                <c:pt idx="100">
                  <c:v>9</c:v>
                </c:pt>
                <c:pt idx="101">
                  <c:v>8</c:v>
                </c:pt>
                <c:pt idx="102">
                  <c:v>7</c:v>
                </c:pt>
                <c:pt idx="103">
                  <c:v>6</c:v>
                </c:pt>
                <c:pt idx="104">
                  <c:v>5</c:v>
                </c:pt>
                <c:pt idx="105">
                  <c:v>4</c:v>
                </c:pt>
                <c:pt idx="106">
                  <c:v>3</c:v>
                </c:pt>
                <c:pt idx="107">
                  <c:v>2</c:v>
                </c:pt>
                <c:pt idx="108">
                  <c:v>1</c:v>
                </c:pt>
                <c:pt idx="109">
                  <c:v>0</c:v>
                </c:pt>
                <c:pt idx="110">
                  <c:v>1</c:v>
                </c:pt>
                <c:pt idx="111">
                  <c:v>0</c:v>
                </c:pt>
                <c:pt idx="112">
                  <c:v>1</c:v>
                </c:pt>
                <c:pt idx="113">
                  <c:v>0</c:v>
                </c:pt>
                <c:pt idx="114">
                  <c:v>1</c:v>
                </c:pt>
                <c:pt idx="115">
                  <c:v>2</c:v>
                </c:pt>
                <c:pt idx="116">
                  <c:v>3</c:v>
                </c:pt>
                <c:pt idx="117">
                  <c:v>2</c:v>
                </c:pt>
                <c:pt idx="118">
                  <c:v>1</c:v>
                </c:pt>
                <c:pt idx="119">
                  <c:v>2</c:v>
                </c:pt>
                <c:pt idx="120">
                  <c:v>1</c:v>
                </c:pt>
                <c:pt idx="121">
                  <c:v>0</c:v>
                </c:pt>
                <c:pt idx="122">
                  <c:v>1</c:v>
                </c:pt>
                <c:pt idx="123">
                  <c:v>0</c:v>
                </c:pt>
                <c:pt idx="124">
                  <c:v>1</c:v>
                </c:pt>
                <c:pt idx="125">
                  <c:v>0</c:v>
                </c:pt>
                <c:pt idx="126">
                  <c:v>1</c:v>
                </c:pt>
                <c:pt idx="127">
                  <c:v>2</c:v>
                </c:pt>
                <c:pt idx="128">
                  <c:v>1</c:v>
                </c:pt>
                <c:pt idx="129">
                  <c:v>0</c:v>
                </c:pt>
                <c:pt idx="130">
                  <c:v>1</c:v>
                </c:pt>
                <c:pt idx="131">
                  <c:v>2</c:v>
                </c:pt>
                <c:pt idx="132">
                  <c:v>1</c:v>
                </c:pt>
                <c:pt idx="133">
                  <c:v>2</c:v>
                </c:pt>
                <c:pt idx="134">
                  <c:v>3</c:v>
                </c:pt>
                <c:pt idx="135">
                  <c:v>4</c:v>
                </c:pt>
                <c:pt idx="136">
                  <c:v>3</c:v>
                </c:pt>
                <c:pt idx="137">
                  <c:v>4</c:v>
                </c:pt>
                <c:pt idx="138">
                  <c:v>5</c:v>
                </c:pt>
                <c:pt idx="139">
                  <c:v>4</c:v>
                </c:pt>
                <c:pt idx="140">
                  <c:v>3</c:v>
                </c:pt>
                <c:pt idx="141">
                  <c:v>2</c:v>
                </c:pt>
                <c:pt idx="142">
                  <c:v>1</c:v>
                </c:pt>
                <c:pt idx="143">
                  <c:v>2</c:v>
                </c:pt>
                <c:pt idx="144">
                  <c:v>3</c:v>
                </c:pt>
                <c:pt idx="145">
                  <c:v>4</c:v>
                </c:pt>
                <c:pt idx="146">
                  <c:v>3</c:v>
                </c:pt>
                <c:pt idx="147">
                  <c:v>2</c:v>
                </c:pt>
                <c:pt idx="148">
                  <c:v>1</c:v>
                </c:pt>
                <c:pt idx="149">
                  <c:v>2</c:v>
                </c:pt>
                <c:pt idx="150">
                  <c:v>3</c:v>
                </c:pt>
                <c:pt idx="151">
                  <c:v>2</c:v>
                </c:pt>
                <c:pt idx="152">
                  <c:v>3</c:v>
                </c:pt>
                <c:pt idx="153">
                  <c:v>4</c:v>
                </c:pt>
                <c:pt idx="154">
                  <c:v>3</c:v>
                </c:pt>
                <c:pt idx="155">
                  <c:v>2</c:v>
                </c:pt>
                <c:pt idx="156">
                  <c:v>1</c:v>
                </c:pt>
                <c:pt idx="157">
                  <c:v>0</c:v>
                </c:pt>
                <c:pt idx="158">
                  <c:v>1</c:v>
                </c:pt>
                <c:pt idx="159">
                  <c:v>2</c:v>
                </c:pt>
                <c:pt idx="160">
                  <c:v>1</c:v>
                </c:pt>
                <c:pt idx="161">
                  <c:v>2</c:v>
                </c:pt>
                <c:pt idx="162">
                  <c:v>1</c:v>
                </c:pt>
                <c:pt idx="163">
                  <c:v>0</c:v>
                </c:pt>
                <c:pt idx="164">
                  <c:v>1</c:v>
                </c:pt>
                <c:pt idx="165">
                  <c:v>0</c:v>
                </c:pt>
                <c:pt idx="166">
                  <c:v>1</c:v>
                </c:pt>
                <c:pt idx="167">
                  <c:v>2</c:v>
                </c:pt>
                <c:pt idx="168">
                  <c:v>3</c:v>
                </c:pt>
                <c:pt idx="169">
                  <c:v>2</c:v>
                </c:pt>
                <c:pt idx="170">
                  <c:v>3</c:v>
                </c:pt>
                <c:pt idx="171">
                  <c:v>4</c:v>
                </c:pt>
                <c:pt idx="172">
                  <c:v>5</c:v>
                </c:pt>
                <c:pt idx="173">
                  <c:v>4</c:v>
                </c:pt>
                <c:pt idx="174">
                  <c:v>3</c:v>
                </c:pt>
                <c:pt idx="175">
                  <c:v>4</c:v>
                </c:pt>
                <c:pt idx="176">
                  <c:v>5</c:v>
                </c:pt>
                <c:pt idx="177">
                  <c:v>4</c:v>
                </c:pt>
                <c:pt idx="178">
                  <c:v>3</c:v>
                </c:pt>
                <c:pt idx="179">
                  <c:v>2</c:v>
                </c:pt>
                <c:pt idx="180">
                  <c:v>3</c:v>
                </c:pt>
                <c:pt idx="181">
                  <c:v>4</c:v>
                </c:pt>
                <c:pt idx="182">
                  <c:v>5</c:v>
                </c:pt>
                <c:pt idx="183">
                  <c:v>6</c:v>
                </c:pt>
                <c:pt idx="184">
                  <c:v>7</c:v>
                </c:pt>
                <c:pt idx="185">
                  <c:v>6</c:v>
                </c:pt>
                <c:pt idx="186">
                  <c:v>7</c:v>
                </c:pt>
                <c:pt idx="187">
                  <c:v>6</c:v>
                </c:pt>
                <c:pt idx="188">
                  <c:v>5</c:v>
                </c:pt>
                <c:pt idx="189">
                  <c:v>4</c:v>
                </c:pt>
                <c:pt idx="190">
                  <c:v>3</c:v>
                </c:pt>
                <c:pt idx="191">
                  <c:v>2</c:v>
                </c:pt>
                <c:pt idx="192">
                  <c:v>1</c:v>
                </c:pt>
                <c:pt idx="193">
                  <c:v>2</c:v>
                </c:pt>
                <c:pt idx="194">
                  <c:v>3</c:v>
                </c:pt>
                <c:pt idx="195">
                  <c:v>2</c:v>
                </c:pt>
                <c:pt idx="196">
                  <c:v>1</c:v>
                </c:pt>
                <c:pt idx="197">
                  <c:v>0</c:v>
                </c:pt>
                <c:pt idx="198">
                  <c:v>1</c:v>
                </c:pt>
                <c:pt idx="199">
                  <c:v>2</c:v>
                </c:pt>
                <c:pt idx="200">
                  <c:v>1</c:v>
                </c:pt>
                <c:pt idx="201">
                  <c:v>0</c:v>
                </c:pt>
                <c:pt idx="202">
                  <c:v>1</c:v>
                </c:pt>
                <c:pt idx="203">
                  <c:v>2</c:v>
                </c:pt>
                <c:pt idx="204">
                  <c:v>1</c:v>
                </c:pt>
                <c:pt idx="205">
                  <c:v>2</c:v>
                </c:pt>
                <c:pt idx="206">
                  <c:v>1</c:v>
                </c:pt>
                <c:pt idx="207">
                  <c:v>0</c:v>
                </c:pt>
                <c:pt idx="208">
                  <c:v>1</c:v>
                </c:pt>
                <c:pt idx="209">
                  <c:v>2</c:v>
                </c:pt>
                <c:pt idx="210">
                  <c:v>1</c:v>
                </c:pt>
                <c:pt idx="211">
                  <c:v>0</c:v>
                </c:pt>
                <c:pt idx="212">
                  <c:v>1</c:v>
                </c:pt>
                <c:pt idx="213">
                  <c:v>0</c:v>
                </c:pt>
                <c:pt idx="214">
                  <c:v>1</c:v>
                </c:pt>
                <c:pt idx="215">
                  <c:v>0</c:v>
                </c:pt>
                <c:pt idx="216">
                  <c:v>1</c:v>
                </c:pt>
                <c:pt idx="217">
                  <c:v>0</c:v>
                </c:pt>
                <c:pt idx="218">
                  <c:v>1</c:v>
                </c:pt>
                <c:pt idx="219">
                  <c:v>0</c:v>
                </c:pt>
                <c:pt idx="220">
                  <c:v>1</c:v>
                </c:pt>
                <c:pt idx="221">
                  <c:v>2</c:v>
                </c:pt>
                <c:pt idx="222">
                  <c:v>1</c:v>
                </c:pt>
                <c:pt idx="223">
                  <c:v>2</c:v>
                </c:pt>
                <c:pt idx="224">
                  <c:v>3</c:v>
                </c:pt>
                <c:pt idx="225">
                  <c:v>2</c:v>
                </c:pt>
                <c:pt idx="226">
                  <c:v>1</c:v>
                </c:pt>
                <c:pt idx="227">
                  <c:v>0</c:v>
                </c:pt>
                <c:pt idx="228">
                  <c:v>1</c:v>
                </c:pt>
                <c:pt idx="229">
                  <c:v>0</c:v>
                </c:pt>
                <c:pt idx="230">
                  <c:v>1</c:v>
                </c:pt>
                <c:pt idx="231">
                  <c:v>2</c:v>
                </c:pt>
                <c:pt idx="232">
                  <c:v>1</c:v>
                </c:pt>
                <c:pt idx="233">
                  <c:v>0</c:v>
                </c:pt>
                <c:pt idx="234">
                  <c:v>1</c:v>
                </c:pt>
                <c:pt idx="235">
                  <c:v>2</c:v>
                </c:pt>
                <c:pt idx="236">
                  <c:v>3</c:v>
                </c:pt>
                <c:pt idx="237">
                  <c:v>2</c:v>
                </c:pt>
                <c:pt idx="238">
                  <c:v>1</c:v>
                </c:pt>
                <c:pt idx="239">
                  <c:v>2</c:v>
                </c:pt>
                <c:pt idx="240">
                  <c:v>1</c:v>
                </c:pt>
                <c:pt idx="241">
                  <c:v>2</c:v>
                </c:pt>
                <c:pt idx="242">
                  <c:v>1</c:v>
                </c:pt>
                <c:pt idx="243">
                  <c:v>0</c:v>
                </c:pt>
                <c:pt idx="244">
                  <c:v>1</c:v>
                </c:pt>
                <c:pt idx="245">
                  <c:v>0</c:v>
                </c:pt>
                <c:pt idx="246">
                  <c:v>1</c:v>
                </c:pt>
                <c:pt idx="247">
                  <c:v>0</c:v>
                </c:pt>
                <c:pt idx="248">
                  <c:v>1</c:v>
                </c:pt>
                <c:pt idx="249">
                  <c:v>2</c:v>
                </c:pt>
                <c:pt idx="250">
                  <c:v>1</c:v>
                </c:pt>
                <c:pt idx="251">
                  <c:v>0</c:v>
                </c:pt>
                <c:pt idx="252">
                  <c:v>1</c:v>
                </c:pt>
                <c:pt idx="253">
                  <c:v>2</c:v>
                </c:pt>
                <c:pt idx="254">
                  <c:v>1</c:v>
                </c:pt>
                <c:pt idx="255">
                  <c:v>0</c:v>
                </c:pt>
                <c:pt idx="256">
                  <c:v>1</c:v>
                </c:pt>
                <c:pt idx="257">
                  <c:v>2</c:v>
                </c:pt>
                <c:pt idx="258">
                  <c:v>1</c:v>
                </c:pt>
                <c:pt idx="259">
                  <c:v>2</c:v>
                </c:pt>
                <c:pt idx="260">
                  <c:v>3</c:v>
                </c:pt>
                <c:pt idx="261">
                  <c:v>2</c:v>
                </c:pt>
                <c:pt idx="262">
                  <c:v>1</c:v>
                </c:pt>
                <c:pt idx="263">
                  <c:v>0</c:v>
                </c:pt>
                <c:pt idx="264">
                  <c:v>1</c:v>
                </c:pt>
                <c:pt idx="265">
                  <c:v>2</c:v>
                </c:pt>
                <c:pt idx="266">
                  <c:v>3</c:v>
                </c:pt>
                <c:pt idx="267">
                  <c:v>4</c:v>
                </c:pt>
                <c:pt idx="268">
                  <c:v>5</c:v>
                </c:pt>
                <c:pt idx="269">
                  <c:v>4</c:v>
                </c:pt>
                <c:pt idx="270">
                  <c:v>3</c:v>
                </c:pt>
                <c:pt idx="271">
                  <c:v>4</c:v>
                </c:pt>
                <c:pt idx="272">
                  <c:v>5</c:v>
                </c:pt>
                <c:pt idx="273">
                  <c:v>6</c:v>
                </c:pt>
                <c:pt idx="274">
                  <c:v>7</c:v>
                </c:pt>
                <c:pt idx="275">
                  <c:v>6</c:v>
                </c:pt>
                <c:pt idx="276">
                  <c:v>5</c:v>
                </c:pt>
                <c:pt idx="277">
                  <c:v>4</c:v>
                </c:pt>
                <c:pt idx="278">
                  <c:v>3</c:v>
                </c:pt>
                <c:pt idx="279">
                  <c:v>2</c:v>
                </c:pt>
                <c:pt idx="280">
                  <c:v>1</c:v>
                </c:pt>
                <c:pt idx="281">
                  <c:v>0</c:v>
                </c:pt>
                <c:pt idx="282">
                  <c:v>1</c:v>
                </c:pt>
                <c:pt idx="283">
                  <c:v>0</c:v>
                </c:pt>
                <c:pt idx="284">
                  <c:v>1</c:v>
                </c:pt>
                <c:pt idx="285">
                  <c:v>0</c:v>
                </c:pt>
                <c:pt idx="286">
                  <c:v>1</c:v>
                </c:pt>
                <c:pt idx="287">
                  <c:v>0</c:v>
                </c:pt>
                <c:pt idx="288">
                  <c:v>1</c:v>
                </c:pt>
                <c:pt idx="289">
                  <c:v>0</c:v>
                </c:pt>
                <c:pt idx="290">
                  <c:v>1</c:v>
                </c:pt>
                <c:pt idx="291">
                  <c:v>0</c:v>
                </c:pt>
                <c:pt idx="292">
                  <c:v>1</c:v>
                </c:pt>
                <c:pt idx="293">
                  <c:v>0</c:v>
                </c:pt>
                <c:pt idx="294">
                  <c:v>1</c:v>
                </c:pt>
                <c:pt idx="295">
                  <c:v>0</c:v>
                </c:pt>
                <c:pt idx="296">
                  <c:v>1</c:v>
                </c:pt>
                <c:pt idx="297">
                  <c:v>0</c:v>
                </c:pt>
                <c:pt idx="298">
                  <c:v>1</c:v>
                </c:pt>
                <c:pt idx="299">
                  <c:v>0</c:v>
                </c:pt>
                <c:pt idx="300">
                  <c:v>1</c:v>
                </c:pt>
                <c:pt idx="301">
                  <c:v>2</c:v>
                </c:pt>
                <c:pt idx="302">
                  <c:v>1</c:v>
                </c:pt>
                <c:pt idx="303">
                  <c:v>0</c:v>
                </c:pt>
                <c:pt idx="304">
                  <c:v>1</c:v>
                </c:pt>
                <c:pt idx="305">
                  <c:v>0</c:v>
                </c:pt>
                <c:pt idx="306">
                  <c:v>1</c:v>
                </c:pt>
                <c:pt idx="307">
                  <c:v>2</c:v>
                </c:pt>
                <c:pt idx="308">
                  <c:v>1</c:v>
                </c:pt>
                <c:pt idx="309">
                  <c:v>0</c:v>
                </c:pt>
                <c:pt idx="310">
                  <c:v>1</c:v>
                </c:pt>
                <c:pt idx="311">
                  <c:v>0</c:v>
                </c:pt>
                <c:pt idx="312">
                  <c:v>1</c:v>
                </c:pt>
                <c:pt idx="313">
                  <c:v>0</c:v>
                </c:pt>
                <c:pt idx="314">
                  <c:v>1</c:v>
                </c:pt>
                <c:pt idx="315">
                  <c:v>2</c:v>
                </c:pt>
                <c:pt idx="316">
                  <c:v>1</c:v>
                </c:pt>
                <c:pt idx="317">
                  <c:v>2</c:v>
                </c:pt>
                <c:pt idx="318">
                  <c:v>1</c:v>
                </c:pt>
                <c:pt idx="319">
                  <c:v>0</c:v>
                </c:pt>
                <c:pt idx="320">
                  <c:v>1</c:v>
                </c:pt>
                <c:pt idx="321">
                  <c:v>2</c:v>
                </c:pt>
                <c:pt idx="322">
                  <c:v>1</c:v>
                </c:pt>
                <c:pt idx="323">
                  <c:v>2</c:v>
                </c:pt>
                <c:pt idx="324">
                  <c:v>3</c:v>
                </c:pt>
                <c:pt idx="325">
                  <c:v>4</c:v>
                </c:pt>
                <c:pt idx="326">
                  <c:v>5</c:v>
                </c:pt>
                <c:pt idx="327">
                  <c:v>6</c:v>
                </c:pt>
                <c:pt idx="328">
                  <c:v>7</c:v>
                </c:pt>
                <c:pt idx="329">
                  <c:v>8</c:v>
                </c:pt>
                <c:pt idx="330">
                  <c:v>7</c:v>
                </c:pt>
                <c:pt idx="331">
                  <c:v>6</c:v>
                </c:pt>
                <c:pt idx="332">
                  <c:v>7</c:v>
                </c:pt>
                <c:pt idx="333">
                  <c:v>8</c:v>
                </c:pt>
                <c:pt idx="334">
                  <c:v>9</c:v>
                </c:pt>
                <c:pt idx="335">
                  <c:v>10</c:v>
                </c:pt>
                <c:pt idx="336">
                  <c:v>9</c:v>
                </c:pt>
                <c:pt idx="337">
                  <c:v>8</c:v>
                </c:pt>
                <c:pt idx="338">
                  <c:v>9</c:v>
                </c:pt>
                <c:pt idx="339">
                  <c:v>10</c:v>
                </c:pt>
                <c:pt idx="340">
                  <c:v>11</c:v>
                </c:pt>
                <c:pt idx="341">
                  <c:v>12</c:v>
                </c:pt>
                <c:pt idx="342">
                  <c:v>13</c:v>
                </c:pt>
                <c:pt idx="343">
                  <c:v>12</c:v>
                </c:pt>
                <c:pt idx="344">
                  <c:v>13</c:v>
                </c:pt>
                <c:pt idx="345">
                  <c:v>14</c:v>
                </c:pt>
                <c:pt idx="346">
                  <c:v>13</c:v>
                </c:pt>
                <c:pt idx="347">
                  <c:v>14</c:v>
                </c:pt>
                <c:pt idx="348">
                  <c:v>13</c:v>
                </c:pt>
                <c:pt idx="349">
                  <c:v>12</c:v>
                </c:pt>
                <c:pt idx="350">
                  <c:v>13</c:v>
                </c:pt>
                <c:pt idx="351">
                  <c:v>14</c:v>
                </c:pt>
                <c:pt idx="352">
                  <c:v>13</c:v>
                </c:pt>
                <c:pt idx="353">
                  <c:v>12</c:v>
                </c:pt>
                <c:pt idx="354">
                  <c:v>11</c:v>
                </c:pt>
                <c:pt idx="355">
                  <c:v>12</c:v>
                </c:pt>
                <c:pt idx="356">
                  <c:v>11</c:v>
                </c:pt>
                <c:pt idx="357">
                  <c:v>10</c:v>
                </c:pt>
                <c:pt idx="358">
                  <c:v>11</c:v>
                </c:pt>
                <c:pt idx="359">
                  <c:v>12</c:v>
                </c:pt>
                <c:pt idx="360">
                  <c:v>13</c:v>
                </c:pt>
                <c:pt idx="361">
                  <c:v>14</c:v>
                </c:pt>
                <c:pt idx="362">
                  <c:v>13</c:v>
                </c:pt>
                <c:pt idx="363">
                  <c:v>12</c:v>
                </c:pt>
                <c:pt idx="364">
                  <c:v>11</c:v>
                </c:pt>
                <c:pt idx="365">
                  <c:v>10</c:v>
                </c:pt>
                <c:pt idx="366">
                  <c:v>11</c:v>
                </c:pt>
                <c:pt idx="367">
                  <c:v>12</c:v>
                </c:pt>
                <c:pt idx="368">
                  <c:v>13</c:v>
                </c:pt>
                <c:pt idx="369">
                  <c:v>12</c:v>
                </c:pt>
                <c:pt idx="370">
                  <c:v>11</c:v>
                </c:pt>
                <c:pt idx="371">
                  <c:v>10</c:v>
                </c:pt>
                <c:pt idx="372">
                  <c:v>11</c:v>
                </c:pt>
                <c:pt idx="373">
                  <c:v>12</c:v>
                </c:pt>
                <c:pt idx="374">
                  <c:v>13</c:v>
                </c:pt>
                <c:pt idx="375">
                  <c:v>12</c:v>
                </c:pt>
                <c:pt idx="376">
                  <c:v>13</c:v>
                </c:pt>
                <c:pt idx="377">
                  <c:v>12</c:v>
                </c:pt>
                <c:pt idx="378">
                  <c:v>11</c:v>
                </c:pt>
                <c:pt idx="379">
                  <c:v>10</c:v>
                </c:pt>
                <c:pt idx="380">
                  <c:v>9</c:v>
                </c:pt>
                <c:pt idx="381">
                  <c:v>10</c:v>
                </c:pt>
                <c:pt idx="382">
                  <c:v>9</c:v>
                </c:pt>
                <c:pt idx="383">
                  <c:v>10</c:v>
                </c:pt>
                <c:pt idx="384">
                  <c:v>9</c:v>
                </c:pt>
                <c:pt idx="385">
                  <c:v>8</c:v>
                </c:pt>
                <c:pt idx="386">
                  <c:v>9</c:v>
                </c:pt>
                <c:pt idx="387">
                  <c:v>8</c:v>
                </c:pt>
                <c:pt idx="388">
                  <c:v>9</c:v>
                </c:pt>
                <c:pt idx="389">
                  <c:v>8</c:v>
                </c:pt>
                <c:pt idx="390">
                  <c:v>7</c:v>
                </c:pt>
                <c:pt idx="391">
                  <c:v>6</c:v>
                </c:pt>
                <c:pt idx="392">
                  <c:v>7</c:v>
                </c:pt>
                <c:pt idx="393">
                  <c:v>6</c:v>
                </c:pt>
                <c:pt idx="394">
                  <c:v>5</c:v>
                </c:pt>
                <c:pt idx="395">
                  <c:v>4</c:v>
                </c:pt>
                <c:pt idx="396">
                  <c:v>3</c:v>
                </c:pt>
                <c:pt idx="397">
                  <c:v>2</c:v>
                </c:pt>
                <c:pt idx="398">
                  <c:v>1</c:v>
                </c:pt>
                <c:pt idx="39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6E-4497-8360-ABD90D11D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20459776"/>
        <c:axId val="220461312"/>
      </c:lineChart>
      <c:catAx>
        <c:axId val="220459776"/>
        <c:scaling>
          <c:orientation val="minMax"/>
        </c:scaling>
        <c:delete val="0"/>
        <c:axPos val="b"/>
        <c:majorGridlines/>
        <c:majorTickMark val="out"/>
        <c:minorTickMark val="none"/>
        <c:tickLblPos val="nextTo"/>
        <c:crossAx val="220461312"/>
        <c:crosses val="autoZero"/>
        <c:auto val="1"/>
        <c:lblAlgn val="ctr"/>
        <c:lblOffset val="100"/>
        <c:noMultiLvlLbl val="0"/>
      </c:catAx>
      <c:valAx>
        <c:axId val="2204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2045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Лист24!$F$14:$F$43</c:f>
              <c:numCache>
                <c:formatCode>0.00000</c:formatCode>
                <c:ptCount val="30"/>
                <c:pt idx="0">
                  <c:v>2.052088828382677</c:v>
                </c:pt>
                <c:pt idx="1">
                  <c:v>51.719632117717772</c:v>
                </c:pt>
                <c:pt idx="2">
                  <c:v>63.61983832392476</c:v>
                </c:pt>
                <c:pt idx="3">
                  <c:v>67.667434278129718</c:v>
                </c:pt>
                <c:pt idx="4">
                  <c:v>73.145024252718699</c:v>
                </c:pt>
                <c:pt idx="5">
                  <c:v>88.173054689925934</c:v>
                </c:pt>
                <c:pt idx="6">
                  <c:v>109.18363261332121</c:v>
                </c:pt>
                <c:pt idx="7">
                  <c:v>131.84916936759271</c:v>
                </c:pt>
                <c:pt idx="8">
                  <c:v>169.9099687317993</c:v>
                </c:pt>
                <c:pt idx="9">
                  <c:v>198.32897122935671</c:v>
                </c:pt>
                <c:pt idx="10">
                  <c:v>219.51915405159014</c:v>
                </c:pt>
                <c:pt idx="11">
                  <c:v>258.08180361323184</c:v>
                </c:pt>
                <c:pt idx="12">
                  <c:v>267.12609762109287</c:v>
                </c:pt>
                <c:pt idx="13">
                  <c:v>300.97649490954933</c:v>
                </c:pt>
                <c:pt idx="14">
                  <c:v>328.56047322232916</c:v>
                </c:pt>
                <c:pt idx="15">
                  <c:v>344.96919563242551</c:v>
                </c:pt>
                <c:pt idx="16">
                  <c:v>354.95632196657812</c:v>
                </c:pt>
                <c:pt idx="17">
                  <c:v>358.87513939515514</c:v>
                </c:pt>
                <c:pt idx="18">
                  <c:v>398.02712982455353</c:v>
                </c:pt>
                <c:pt idx="19">
                  <c:v>411.14588747294198</c:v>
                </c:pt>
                <c:pt idx="20">
                  <c:v>438.51553481423997</c:v>
                </c:pt>
                <c:pt idx="21">
                  <c:v>454.02169498394568</c:v>
                </c:pt>
                <c:pt idx="22">
                  <c:v>465.60888660927003</c:v>
                </c:pt>
                <c:pt idx="23">
                  <c:v>513.76605558069855</c:v>
                </c:pt>
                <c:pt idx="24">
                  <c:v>521.63718072866811</c:v>
                </c:pt>
                <c:pt idx="25">
                  <c:v>554.78694626511356</c:v>
                </c:pt>
                <c:pt idx="26">
                  <c:v>584.08211908446185</c:v>
                </c:pt>
                <c:pt idx="27">
                  <c:v>587.58829336342353</c:v>
                </c:pt>
                <c:pt idx="28">
                  <c:v>613.1734489263946</c:v>
                </c:pt>
                <c:pt idx="29">
                  <c:v>628.48911181239771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F7-4BCE-B1E3-017E97EC7F5B}"/>
            </c:ext>
          </c:extLst>
        </c:ser>
        <c:ser>
          <c:idx val="1"/>
          <c:order val="1"/>
          <c:invertIfNegative val="0"/>
          <c:val>
            <c:numRef>
              <c:f>Лист24!$J$14:$J$43</c:f>
              <c:numCache>
                <c:formatCode>0.00000</c:formatCode>
                <c:ptCount val="30"/>
                <c:pt idx="0">
                  <c:v>4.7559535870392278</c:v>
                </c:pt>
                <c:pt idx="1">
                  <c:v>12.772689597436845</c:v>
                </c:pt>
                <c:pt idx="2">
                  <c:v>1.6633152274809007</c:v>
                </c:pt>
                <c:pt idx="3">
                  <c:v>2.9281057525053598</c:v>
                </c:pt>
                <c:pt idx="4">
                  <c:v>19.303550087216664</c:v>
                </c:pt>
                <c:pt idx="5">
                  <c:v>4.6904835976777548</c:v>
                </c:pt>
                <c:pt idx="6">
                  <c:v>43.957819370814718</c:v>
                </c:pt>
                <c:pt idx="7">
                  <c:v>30.957335701417094</c:v>
                </c:pt>
                <c:pt idx="8">
                  <c:v>23.566667911093134</c:v>
                </c:pt>
                <c:pt idx="9">
                  <c:v>28.462331768324361</c:v>
                </c:pt>
                <c:pt idx="10">
                  <c:v>14.729723962514385</c:v>
                </c:pt>
                <c:pt idx="11">
                  <c:v>64.638324720334253</c:v>
                </c:pt>
                <c:pt idx="12">
                  <c:v>65.415389924157751</c:v>
                </c:pt>
                <c:pt idx="13">
                  <c:v>51.672510491941694</c:v>
                </c:pt>
                <c:pt idx="14">
                  <c:v>27.196643570141987</c:v>
                </c:pt>
                <c:pt idx="15">
                  <c:v>23.704939643536704</c:v>
                </c:pt>
                <c:pt idx="16">
                  <c:v>26.822133464964224</c:v>
                </c:pt>
                <c:pt idx="17">
                  <c:v>59.798002262059583</c:v>
                </c:pt>
                <c:pt idx="18">
                  <c:v>72.060406264594292</c:v>
                </c:pt>
                <c:pt idx="19">
                  <c:v>69.495519974021306</c:v>
                </c:pt>
                <c:pt idx="20">
                  <c:v>52.358135218252698</c:v>
                </c:pt>
                <c:pt idx="21">
                  <c:v>79.748803695064964</c:v>
                </c:pt>
                <c:pt idx="22">
                  <c:v>71.915133663018196</c:v>
                </c:pt>
                <c:pt idx="23">
                  <c:v>60.373090430389084</c:v>
                </c:pt>
                <c:pt idx="24">
                  <c:v>68.635127311460224</c:v>
                </c:pt>
                <c:pt idx="25">
                  <c:v>78.108310568929028</c:v>
                </c:pt>
                <c:pt idx="26">
                  <c:v>61.968986368380456</c:v>
                </c:pt>
                <c:pt idx="27">
                  <c:v>87.782487746529796</c:v>
                </c:pt>
                <c:pt idx="28">
                  <c:v>65.060016675616112</c:v>
                </c:pt>
                <c:pt idx="29">
                  <c:v>51.273576084494493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F7-4BCE-B1E3-017E97EC7F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0777088"/>
        <c:axId val="220787072"/>
      </c:barChart>
      <c:catAx>
        <c:axId val="220777088"/>
        <c:scaling>
          <c:orientation val="minMax"/>
        </c:scaling>
        <c:delete val="0"/>
        <c:axPos val="l"/>
        <c:majorTickMark val="out"/>
        <c:minorTickMark val="none"/>
        <c:tickLblPos val="nextTo"/>
        <c:crossAx val="220787072"/>
        <c:crosses val="autoZero"/>
        <c:auto val="1"/>
        <c:lblAlgn val="ctr"/>
        <c:lblOffset val="100"/>
        <c:noMultiLvlLbl val="0"/>
      </c:catAx>
      <c:valAx>
        <c:axId val="220787072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220777088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Лист25!$F$14:$F$35</c:f>
              <c:numCache>
                <c:formatCode>0.00000</c:formatCode>
                <c:ptCount val="22"/>
                <c:pt idx="0">
                  <c:v>16.203712360364797</c:v>
                </c:pt>
                <c:pt idx="1">
                  <c:v>19.890272918003514</c:v>
                </c:pt>
                <c:pt idx="2">
                  <c:v>41.571217372956248</c:v>
                </c:pt>
                <c:pt idx="3">
                  <c:v>53.249079393170405</c:v>
                </c:pt>
                <c:pt idx="4">
                  <c:v>89.308780208754868</c:v>
                </c:pt>
                <c:pt idx="5">
                  <c:v>137.24808432106772</c:v>
                </c:pt>
                <c:pt idx="6">
                  <c:v>152.53239217554002</c:v>
                </c:pt>
                <c:pt idx="7">
                  <c:v>160.9558373212912</c:v>
                </c:pt>
                <c:pt idx="8">
                  <c:v>196.89449186711738</c:v>
                </c:pt>
                <c:pt idx="9">
                  <c:v>313.0849916116411</c:v>
                </c:pt>
                <c:pt idx="10">
                  <c:v>319.30397258112856</c:v>
                </c:pt>
                <c:pt idx="11">
                  <c:v>380.49997169076374</c:v>
                </c:pt>
                <c:pt idx="12">
                  <c:v>407.30126700317936</c:v>
                </c:pt>
                <c:pt idx="13">
                  <c:v>412.39560343385398</c:v>
                </c:pt>
                <c:pt idx="14">
                  <c:v>485.69696152868369</c:v>
                </c:pt>
                <c:pt idx="15">
                  <c:v>486.97312725580815</c:v>
                </c:pt>
                <c:pt idx="16">
                  <c:v>532.80407544475679</c:v>
                </c:pt>
                <c:pt idx="17">
                  <c:v>568.30932277074874</c:v>
                </c:pt>
                <c:pt idx="18">
                  <c:v>592.32622797111571</c:v>
                </c:pt>
                <c:pt idx="19">
                  <c:v>599.31019732817663</c:v>
                </c:pt>
                <c:pt idx="20">
                  <c:v>602.72863438928721</c:v>
                </c:pt>
                <c:pt idx="21">
                  <c:v>632.36515828786457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C7-4324-BFED-CA74C5D24732}"/>
            </c:ext>
          </c:extLst>
        </c:ser>
        <c:ser>
          <c:idx val="1"/>
          <c:order val="1"/>
          <c:invertIfNegative val="0"/>
          <c:val>
            <c:numRef>
              <c:f>Лист25!$J$14:$J$35</c:f>
              <c:numCache>
                <c:formatCode>0.00000</c:formatCode>
                <c:ptCount val="22"/>
                <c:pt idx="0">
                  <c:v>32.984854683014532</c:v>
                </c:pt>
                <c:pt idx="1">
                  <c:v>39.170020578947117</c:v>
                </c:pt>
                <c:pt idx="2">
                  <c:v>17.512060120815669</c:v>
                </c:pt>
                <c:pt idx="3">
                  <c:v>29.31483374168819</c:v>
                </c:pt>
                <c:pt idx="4">
                  <c:v>8.695310626597589</c:v>
                </c:pt>
                <c:pt idx="5">
                  <c:v>17.792882723204912</c:v>
                </c:pt>
                <c:pt idx="6">
                  <c:v>162.69508787388466</c:v>
                </c:pt>
                <c:pt idx="7">
                  <c:v>159.95072611825503</c:v>
                </c:pt>
                <c:pt idx="8">
                  <c:v>134.56107737166434</c:v>
                </c:pt>
                <c:pt idx="9">
                  <c:v>83.782323225025721</c:v>
                </c:pt>
                <c:pt idx="10">
                  <c:v>100.4306423930106</c:v>
                </c:pt>
                <c:pt idx="11">
                  <c:v>117.80310577271501</c:v>
                </c:pt>
                <c:pt idx="12">
                  <c:v>101.21578016219706</c:v>
                </c:pt>
                <c:pt idx="13">
                  <c:v>106.39874931088769</c:v>
                </c:pt>
                <c:pt idx="14">
                  <c:v>37.145755883532388</c:v>
                </c:pt>
                <c:pt idx="15">
                  <c:v>41.34596416840219</c:v>
                </c:pt>
                <c:pt idx="16">
                  <c:v>62.961918632406082</c:v>
                </c:pt>
                <c:pt idx="17">
                  <c:v>53.916049038089795</c:v>
                </c:pt>
                <c:pt idx="18">
                  <c:v>86.458329001641914</c:v>
                </c:pt>
                <c:pt idx="19">
                  <c:v>84.470388807920813</c:v>
                </c:pt>
                <c:pt idx="20">
                  <c:v>111.98707937592974</c:v>
                </c:pt>
                <c:pt idx="21">
                  <c:v>186.23382911840929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C7-4324-BFED-CA74C5D24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21029120"/>
        <c:axId val="221030656"/>
      </c:barChart>
      <c:catAx>
        <c:axId val="221029120"/>
        <c:scaling>
          <c:orientation val="minMax"/>
        </c:scaling>
        <c:delete val="0"/>
        <c:axPos val="l"/>
        <c:majorTickMark val="out"/>
        <c:minorTickMark val="none"/>
        <c:tickLblPos val="nextTo"/>
        <c:crossAx val="221030656"/>
        <c:crosses val="autoZero"/>
        <c:auto val="1"/>
        <c:lblAlgn val="ctr"/>
        <c:lblOffset val="100"/>
        <c:noMultiLvlLbl val="0"/>
      </c:catAx>
      <c:valAx>
        <c:axId val="221030656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2210291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spPr>
            <a:noFill/>
          </c:spPr>
          <c:invertIfNegative val="0"/>
          <c:val>
            <c:numRef>
              <c:f>Лист26!$F$15:$F$54</c:f>
              <c:numCache>
                <c:formatCode>0.00000</c:formatCode>
                <c:ptCount val="40"/>
                <c:pt idx="0">
                  <c:v>25.469648532623452</c:v>
                </c:pt>
                <c:pt idx="1">
                  <c:v>27.540717900998249</c:v>
                </c:pt>
                <c:pt idx="2">
                  <c:v>88.133643260885165</c:v>
                </c:pt>
                <c:pt idx="3">
                  <c:v>105.20658444494597</c:v>
                </c:pt>
                <c:pt idx="4">
                  <c:v>191.83185798554348</c:v>
                </c:pt>
                <c:pt idx="5">
                  <c:v>196.46318186454394</c:v>
                </c:pt>
                <c:pt idx="6">
                  <c:v>209.7157320568954</c:v>
                </c:pt>
                <c:pt idx="7">
                  <c:v>279.88042942982673</c:v>
                </c:pt>
                <c:pt idx="8">
                  <c:v>279.93631008913627</c:v>
                </c:pt>
                <c:pt idx="9">
                  <c:v>366.91265396684855</c:v>
                </c:pt>
                <c:pt idx="10">
                  <c:v>375.14754884594589</c:v>
                </c:pt>
                <c:pt idx="11">
                  <c:v>440.20195637020612</c:v>
                </c:pt>
                <c:pt idx="12">
                  <c:v>479.87632657088</c:v>
                </c:pt>
                <c:pt idx="13">
                  <c:v>484.32619126469484</c:v>
                </c:pt>
                <c:pt idx="14">
                  <c:v>585.75187460009238</c:v>
                </c:pt>
                <c:pt idx="15">
                  <c:v>651.14975492191229</c:v>
                </c:pt>
                <c:pt idx="16">
                  <c:v>669.66654304318558</c:v>
                </c:pt>
                <c:pt idx="17">
                  <c:v>672.00710234415737</c:v>
                </c:pt>
                <c:pt idx="18">
                  <c:v>725.9571658241432</c:v>
                </c:pt>
                <c:pt idx="19">
                  <c:v>741.65847955073605</c:v>
                </c:pt>
                <c:pt idx="20">
                  <c:v>796.43859048111199</c:v>
                </c:pt>
                <c:pt idx="21">
                  <c:v>832.28632585379592</c:v>
                </c:pt>
                <c:pt idx="22">
                  <c:v>838.15595876773102</c:v>
                </c:pt>
                <c:pt idx="23">
                  <c:v>968.09859159237931</c:v>
                </c:pt>
                <c:pt idx="24">
                  <c:v>1039.7244728936971</c:v>
                </c:pt>
                <c:pt idx="25">
                  <c:v>1061.3776568521725</c:v>
                </c:pt>
                <c:pt idx="26">
                  <c:v>1085.225756338712</c:v>
                </c:pt>
                <c:pt idx="27">
                  <c:v>1103.28919032717</c:v>
                </c:pt>
                <c:pt idx="28">
                  <c:v>1184.8133909090413</c:v>
                </c:pt>
                <c:pt idx="29">
                  <c:v>1210.5413876452137</c:v>
                </c:pt>
                <c:pt idx="30">
                  <c:v>1228.485776494668</c:v>
                </c:pt>
                <c:pt idx="31">
                  <c:v>1300.6409378961682</c:v>
                </c:pt>
                <c:pt idx="32">
                  <c:v>1304.9353694232263</c:v>
                </c:pt>
                <c:pt idx="33">
                  <c:v>1306.4572640159604</c:v>
                </c:pt>
                <c:pt idx="34">
                  <c:v>1328.4598376009114</c:v>
                </c:pt>
                <c:pt idx="35">
                  <c:v>1337.1184915003371</c:v>
                </c:pt>
                <c:pt idx="36">
                  <c:v>1436.6378892544362</c:v>
                </c:pt>
                <c:pt idx="37">
                  <c:v>1466.6633733833323</c:v>
                </c:pt>
                <c:pt idx="38">
                  <c:v>1467.3059534493941</c:v>
                </c:pt>
                <c:pt idx="39">
                  <c:v>1510.0145871493564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05-478A-B2E2-9DCCA1B5DE76}"/>
            </c:ext>
          </c:extLst>
        </c:ser>
        <c:ser>
          <c:idx val="1"/>
          <c:order val="1"/>
          <c:invertIfNegative val="0"/>
          <c:val>
            <c:numRef>
              <c:f>Лист26!$J$15:$J$54</c:f>
              <c:numCache>
                <c:formatCode>0.00000</c:formatCode>
                <c:ptCount val="40"/>
                <c:pt idx="0">
                  <c:v>13.606806623478164</c:v>
                </c:pt>
                <c:pt idx="1">
                  <c:v>50.066275615349284</c:v>
                </c:pt>
                <c:pt idx="2">
                  <c:v>52.325209009069155</c:v>
                </c:pt>
                <c:pt idx="3">
                  <c:v>58.751382522725464</c:v>
                </c:pt>
                <c:pt idx="4">
                  <c:v>3.8129991584746392</c:v>
                </c:pt>
                <c:pt idx="5">
                  <c:v>17.041985366496334</c:v>
                </c:pt>
                <c:pt idx="6">
                  <c:v>6.0655114899810769</c:v>
                </c:pt>
                <c:pt idx="7">
                  <c:v>4.9957463973276504</c:v>
                </c:pt>
                <c:pt idx="8">
                  <c:v>21.036552384971628</c:v>
                </c:pt>
                <c:pt idx="9">
                  <c:v>62.313085637483027</c:v>
                </c:pt>
                <c:pt idx="10">
                  <c:v>65.68331603425753</c:v>
                </c:pt>
                <c:pt idx="11">
                  <c:v>22.8271823336284</c:v>
                </c:pt>
                <c:pt idx="12">
                  <c:v>10.852999386105239</c:v>
                </c:pt>
                <c:pt idx="13">
                  <c:v>11.556716399173069</c:v>
                </c:pt>
                <c:pt idx="14">
                  <c:v>20.95082650383381</c:v>
                </c:pt>
                <c:pt idx="15">
                  <c:v>11.26688192160259</c:v>
                </c:pt>
                <c:pt idx="16">
                  <c:v>10.403450790083411</c:v>
                </c:pt>
                <c:pt idx="17">
                  <c:v>9.1631182387934587</c:v>
                </c:pt>
                <c:pt idx="18">
                  <c:v>3.7911651584994388</c:v>
                </c:pt>
                <c:pt idx="19">
                  <c:v>6.5388186786881306</c:v>
                </c:pt>
                <c:pt idx="20">
                  <c:v>4.7756584442822714</c:v>
                </c:pt>
                <c:pt idx="21">
                  <c:v>27.597897076501226</c:v>
                </c:pt>
                <c:pt idx="22">
                  <c:v>31.53835809860584</c:v>
                </c:pt>
                <c:pt idx="23">
                  <c:v>27.879104242364747</c:v>
                </c:pt>
                <c:pt idx="24">
                  <c:v>0.27287332537321163</c:v>
                </c:pt>
                <c:pt idx="25">
                  <c:v>6.7016359957872282</c:v>
                </c:pt>
                <c:pt idx="26">
                  <c:v>42.524276184970631</c:v>
                </c:pt>
                <c:pt idx="27">
                  <c:v>44.634560878894035</c:v>
                </c:pt>
                <c:pt idx="28">
                  <c:v>6.0842602730529052</c:v>
                </c:pt>
                <c:pt idx="29">
                  <c:v>2.5116395911641121</c:v>
                </c:pt>
                <c:pt idx="30">
                  <c:v>6.4335231543534519</c:v>
                </c:pt>
                <c:pt idx="31">
                  <c:v>0.85764662859946839</c:v>
                </c:pt>
                <c:pt idx="32">
                  <c:v>6.8562415824646905</c:v>
                </c:pt>
                <c:pt idx="33">
                  <c:v>5.362818210028081</c:v>
                </c:pt>
                <c:pt idx="34">
                  <c:v>2.4863737536327335</c:v>
                </c:pt>
                <c:pt idx="35">
                  <c:v>7.3756729101291967</c:v>
                </c:pt>
                <c:pt idx="36">
                  <c:v>1.4578956710436159</c:v>
                </c:pt>
                <c:pt idx="37">
                  <c:v>12.264441540155303</c:v>
                </c:pt>
                <c:pt idx="38">
                  <c:v>64.816012049876008</c:v>
                </c:pt>
                <c:pt idx="39">
                  <c:v>59.670448079006292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905-478A-B2E2-9DCCA1B5D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46010496"/>
        <c:axId val="146012032"/>
      </c:barChart>
      <c:catAx>
        <c:axId val="14601049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46012032"/>
        <c:crosses val="autoZero"/>
        <c:auto val="1"/>
        <c:lblAlgn val="ctr"/>
        <c:lblOffset val="100"/>
        <c:noMultiLvlLbl val="0"/>
      </c:catAx>
      <c:valAx>
        <c:axId val="146012032"/>
        <c:scaling>
          <c:orientation val="minMax"/>
        </c:scaling>
        <c:delete val="0"/>
        <c:axPos val="b"/>
        <c:majorGridlines/>
        <c:numFmt formatCode="0.00000" sourceLinked="1"/>
        <c:majorTickMark val="out"/>
        <c:minorTickMark val="none"/>
        <c:tickLblPos val="nextTo"/>
        <c:crossAx val="146010496"/>
        <c:crosses val="autoZero"/>
        <c:crossBetween val="between"/>
      </c:valAx>
      <c:spPr>
        <a:solidFill>
          <a:schemeClr val="lt1"/>
        </a:solidFill>
        <a:ln w="25400" cap="flat" cmpd="sng" algn="ctr">
          <a:solidFill>
            <a:schemeClr val="accent5"/>
          </a:solidFill>
          <a:prstDash val="solid"/>
        </a:ln>
        <a:effectLst/>
      </c:spPr>
    </c:plotArea>
    <c:legend>
      <c:legendPos val="b"/>
      <c:layout/>
      <c:overlay val="0"/>
    </c:legend>
    <c:plotVisOnly val="1"/>
    <c:dispBlanksAs val="gap"/>
    <c:showDLblsOverMax val="0"/>
  </c:chart>
  <c:spPr>
    <a:solidFill>
      <a:schemeClr val="lt1"/>
    </a:solidFill>
    <a:ln w="25400" cap="flat" cmpd="sng" algn="ctr">
      <a:solidFill>
        <a:schemeClr val="accent2"/>
      </a:solidFill>
      <a:prstDash val="solid"/>
    </a:ln>
    <a:effectLst/>
  </c:spPr>
  <c:txPr>
    <a:bodyPr/>
    <a:lstStyle/>
    <a:p>
      <a:pPr>
        <a:defRPr>
          <a:solidFill>
            <a:schemeClr val="dk1"/>
          </a:solidFill>
          <a:latin typeface="+mn-lt"/>
          <a:ea typeface="+mn-ea"/>
          <a:cs typeface="+mn-cs"/>
        </a:defRPr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chart" Target="../charts/chart24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5" Type="http://schemas.openxmlformats.org/officeDocument/2006/relationships/chart" Target="../charts/chart30.xml"/><Relationship Id="rId4" Type="http://schemas.openxmlformats.org/officeDocument/2006/relationships/chart" Target="../charts/chart29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581024</xdr:colOff>
      <xdr:row>2</xdr:row>
      <xdr:rowOff>57150</xdr:rowOff>
    </xdr:from>
    <xdr:ext cx="2219325" cy="264560"/>
    <xdr:sp macro="" textlink="">
      <xdr:nvSpPr>
        <xdr:cNvPr id="2" name="TextBox 1"/>
        <xdr:cNvSpPr txBox="1"/>
      </xdr:nvSpPr>
      <xdr:spPr>
        <a:xfrm>
          <a:off x="1962149" y="1057275"/>
          <a:ext cx="22193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2</xdr:row>
      <xdr:rowOff>47625</xdr:rowOff>
    </xdr:from>
    <xdr:ext cx="2114550" cy="264560"/>
    <xdr:sp macro="" textlink="">
      <xdr:nvSpPr>
        <xdr:cNvPr id="3" name="TextBox 2"/>
        <xdr:cNvSpPr txBox="1"/>
      </xdr:nvSpPr>
      <xdr:spPr>
        <a:xfrm>
          <a:off x="5191125" y="1047750"/>
          <a:ext cx="21145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54429</xdr:colOff>
      <xdr:row>14</xdr:row>
      <xdr:rowOff>16328</xdr:rowOff>
    </xdr:from>
    <xdr:to>
      <xdr:col>19</xdr:col>
      <xdr:colOff>598714</xdr:colOff>
      <xdr:row>28</xdr:row>
      <xdr:rowOff>231320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11</xdr:col>
      <xdr:colOff>114301</xdr:colOff>
      <xdr:row>5</xdr:row>
      <xdr:rowOff>38100</xdr:rowOff>
    </xdr:from>
    <xdr:to>
      <xdr:col>16</xdr:col>
      <xdr:colOff>286450</xdr:colOff>
      <xdr:row>11</xdr:row>
      <xdr:rowOff>151942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39101" y="1609725"/>
          <a:ext cx="3220149" cy="1428292"/>
        </a:xfrm>
        <a:prstGeom prst="rect">
          <a:avLst/>
        </a:prstGeom>
      </xdr:spPr>
    </xdr:pic>
    <xdr:clientData/>
  </xdr:twoCellAnchor>
  <xdr:oneCellAnchor>
    <xdr:from>
      <xdr:col>11</xdr:col>
      <xdr:colOff>547687</xdr:colOff>
      <xdr:row>0</xdr:row>
      <xdr:rowOff>52387</xdr:rowOff>
    </xdr:from>
    <xdr:ext cx="2090738" cy="342786"/>
    <xdr:sp macro="" textlink="">
      <xdr:nvSpPr>
        <xdr:cNvPr id="7" name="TextBox 6"/>
        <xdr:cNvSpPr txBox="1"/>
      </xdr:nvSpPr>
      <xdr:spPr>
        <a:xfrm>
          <a:off x="8472487" y="52387"/>
          <a:ext cx="209073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𝐹(𝑥)=1−𝑒^(−</a:t>
          </a:r>
          <a:r>
            <a:rPr lang="en-US" sz="1600" b="0" i="0">
              <a:latin typeface="Cambria Math"/>
              <a:ea typeface="Cambria Math"/>
            </a:rPr>
            <a:t>𝜇𝑥)</a:t>
          </a:r>
          <a:r>
            <a:rPr lang="ru-RU" sz="1600" b="0" i="0">
              <a:latin typeface="Cambria Math"/>
              <a:ea typeface="Cambria Math"/>
            </a:rPr>
            <a:t>=</a:t>
          </a:r>
          <a:r>
            <a:rPr lang="en-US" sz="1600" b="0" i="0">
              <a:latin typeface="Cambria Math"/>
              <a:ea typeface="Cambria Math"/>
            </a:rPr>
            <a:t>𝑟</a:t>
          </a:r>
          <a:endParaRPr lang="ru-RU" sz="1600" i="1"/>
        </a:p>
      </xdr:txBody>
    </xdr:sp>
    <xdr:clientData/>
  </xdr:oneCellAnchor>
  <xdr:twoCellAnchor>
    <xdr:from>
      <xdr:col>21</xdr:col>
      <xdr:colOff>104775</xdr:colOff>
      <xdr:row>1</xdr:row>
      <xdr:rowOff>381000</xdr:rowOff>
    </xdr:from>
    <xdr:to>
      <xdr:col>21</xdr:col>
      <xdr:colOff>495300</xdr:colOff>
      <xdr:row>1</xdr:row>
      <xdr:rowOff>485775</xdr:rowOff>
    </xdr:to>
    <xdr:sp macro="" textlink="">
      <xdr:nvSpPr>
        <xdr:cNvPr id="6" name="Стрелка вправо с вырезом 5"/>
        <xdr:cNvSpPr/>
      </xdr:nvSpPr>
      <xdr:spPr>
        <a:xfrm>
          <a:off x="14125575" y="619125"/>
          <a:ext cx="390525" cy="10477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26</xdr:col>
      <xdr:colOff>152400</xdr:colOff>
      <xdr:row>1</xdr:row>
      <xdr:rowOff>352425</xdr:rowOff>
    </xdr:from>
    <xdr:to>
      <xdr:col>26</xdr:col>
      <xdr:colOff>542925</xdr:colOff>
      <xdr:row>1</xdr:row>
      <xdr:rowOff>457200</xdr:rowOff>
    </xdr:to>
    <xdr:sp macro="" textlink="">
      <xdr:nvSpPr>
        <xdr:cNvPr id="9" name="Стрелка вправо с вырезом 8"/>
        <xdr:cNvSpPr/>
      </xdr:nvSpPr>
      <xdr:spPr>
        <a:xfrm>
          <a:off x="17221200" y="590550"/>
          <a:ext cx="390525" cy="104775"/>
        </a:xfrm>
        <a:prstGeom prst="notch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586740</xdr:colOff>
          <xdr:row>10</xdr:row>
          <xdr:rowOff>114300</xdr:rowOff>
        </xdr:from>
        <xdr:to>
          <xdr:col>9</xdr:col>
          <xdr:colOff>381000</xdr:colOff>
          <xdr:row>12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5</xdr:row>
      <xdr:rowOff>0</xdr:rowOff>
    </xdr:from>
    <xdr:to>
      <xdr:col>16</xdr:col>
      <xdr:colOff>0</xdr:colOff>
      <xdr:row>22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133350</xdr:colOff>
      <xdr:row>11</xdr:row>
      <xdr:rowOff>142875</xdr:rowOff>
    </xdr:from>
    <xdr:ext cx="1390650" cy="264560"/>
    <xdr:sp macro="" textlink="">
      <xdr:nvSpPr>
        <xdr:cNvPr id="2" name="TextBox 1"/>
        <xdr:cNvSpPr txBox="1"/>
      </xdr:nvSpPr>
      <xdr:spPr>
        <a:xfrm>
          <a:off x="4857750" y="2095500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47624</xdr:colOff>
      <xdr:row>13</xdr:row>
      <xdr:rowOff>114300</xdr:rowOff>
    </xdr:from>
    <xdr:ext cx="1400175" cy="264560"/>
    <xdr:sp macro="" textlink="">
      <xdr:nvSpPr>
        <xdr:cNvPr id="3" name="TextBox 2"/>
        <xdr:cNvSpPr txBox="1"/>
      </xdr:nvSpPr>
      <xdr:spPr>
        <a:xfrm>
          <a:off x="4772024" y="244792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228600</xdr:colOff>
      <xdr:row>15</xdr:row>
      <xdr:rowOff>38100</xdr:rowOff>
    </xdr:from>
    <xdr:ext cx="1638300" cy="264560"/>
    <xdr:sp macro="" textlink="">
      <xdr:nvSpPr>
        <xdr:cNvPr id="4" name="TextBox 3"/>
        <xdr:cNvSpPr txBox="1"/>
      </xdr:nvSpPr>
      <xdr:spPr>
        <a:xfrm>
          <a:off x="4953000" y="275272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3</xdr:col>
      <xdr:colOff>9525</xdr:colOff>
      <xdr:row>20</xdr:row>
      <xdr:rowOff>123825</xdr:rowOff>
    </xdr:from>
    <xdr:to>
      <xdr:col>9</xdr:col>
      <xdr:colOff>390525</xdr:colOff>
      <xdr:row>34</xdr:row>
      <xdr:rowOff>171450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323849</xdr:colOff>
      <xdr:row>2</xdr:row>
      <xdr:rowOff>9525</xdr:rowOff>
    </xdr:from>
    <xdr:to>
      <xdr:col>15</xdr:col>
      <xdr:colOff>581024</xdr:colOff>
      <xdr:row>16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45720</xdr:rowOff>
        </xdr:from>
        <xdr:to>
          <xdr:col>7</xdr:col>
          <xdr:colOff>236220</xdr:colOff>
          <xdr:row>1</xdr:row>
          <xdr:rowOff>137160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104775</xdr:colOff>
      <xdr:row>4</xdr:row>
      <xdr:rowOff>0</xdr:rowOff>
    </xdr:from>
    <xdr:to>
      <xdr:col>16</xdr:col>
      <xdr:colOff>409575</xdr:colOff>
      <xdr:row>18</xdr:row>
      <xdr:rowOff>76200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0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105387</xdr:colOff>
      <xdr:row>9</xdr:row>
      <xdr:rowOff>97195</xdr:rowOff>
    </xdr:from>
    <xdr:to>
      <xdr:col>11</xdr:col>
      <xdr:colOff>450529</xdr:colOff>
      <xdr:row>9</xdr:row>
      <xdr:rowOff>111038</xdr:rowOff>
    </xdr:to>
    <xdr:cxnSp macro="">
      <xdr:nvCxnSpPr>
        <xdr:cNvPr id="11" name="Прямая со стрелкой 10"/>
        <xdr:cNvCxnSpPr/>
      </xdr:nvCxnSpPr>
      <xdr:spPr>
        <a:xfrm>
          <a:off x="6234517" y="1811695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261098</xdr:colOff>
      <xdr:row>9</xdr:row>
      <xdr:rowOff>161798</xdr:rowOff>
    </xdr:from>
    <xdr:to>
      <xdr:col>13</xdr:col>
      <xdr:colOff>530087</xdr:colOff>
      <xdr:row>10</xdr:row>
      <xdr:rowOff>0</xdr:rowOff>
    </xdr:to>
    <xdr:cxnSp macro="">
      <xdr:nvCxnSpPr>
        <xdr:cNvPr id="13" name="Прямая со стрелкой 12"/>
        <xdr:cNvCxnSpPr/>
      </xdr:nvCxnSpPr>
      <xdr:spPr>
        <a:xfrm>
          <a:off x="7616055" y="1975689"/>
          <a:ext cx="881902" cy="28702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356104</xdr:colOff>
      <xdr:row>11</xdr:row>
      <xdr:rowOff>124290</xdr:rowOff>
    </xdr:from>
    <xdr:to>
      <xdr:col>13</xdr:col>
      <xdr:colOff>574180</xdr:colOff>
      <xdr:row>11</xdr:row>
      <xdr:rowOff>143577</xdr:rowOff>
    </xdr:to>
    <xdr:cxnSp macro="">
      <xdr:nvCxnSpPr>
        <xdr:cNvPr id="15" name="Прямая со стрелкой 14"/>
        <xdr:cNvCxnSpPr/>
      </xdr:nvCxnSpPr>
      <xdr:spPr>
        <a:xfrm flipH="1" flipV="1">
          <a:off x="7711061" y="2219790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137444</xdr:colOff>
      <xdr:row>11</xdr:row>
      <xdr:rowOff>187238</xdr:rowOff>
    </xdr:from>
    <xdr:to>
      <xdr:col>11</xdr:col>
      <xdr:colOff>355520</xdr:colOff>
      <xdr:row>12</xdr:row>
      <xdr:rowOff>16025</xdr:rowOff>
    </xdr:to>
    <xdr:cxnSp macro="">
      <xdr:nvCxnSpPr>
        <xdr:cNvPr id="20" name="Прямая со стрелкой 19"/>
        <xdr:cNvCxnSpPr/>
      </xdr:nvCxnSpPr>
      <xdr:spPr>
        <a:xfrm flipH="1" flipV="1">
          <a:off x="6266574" y="2282738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353620</xdr:colOff>
      <xdr:row>9</xdr:row>
      <xdr:rowOff>88260</xdr:rowOff>
    </xdr:from>
    <xdr:to>
      <xdr:col>12</xdr:col>
      <xdr:colOff>323021</xdr:colOff>
      <xdr:row>12</xdr:row>
      <xdr:rowOff>41414</xdr:rowOff>
    </xdr:to>
    <xdr:sp macro="" textlink="">
      <xdr:nvSpPr>
        <xdr:cNvPr id="21" name="Овал 20"/>
        <xdr:cNvSpPr/>
      </xdr:nvSpPr>
      <xdr:spPr>
        <a:xfrm>
          <a:off x="7095663" y="1902151"/>
          <a:ext cx="582315" cy="524654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 b="1" i="1">
              <a:solidFill>
                <a:sysClr val="windowText" lastClr="000000"/>
              </a:solidFill>
            </a:rPr>
            <a:t>j</a:t>
          </a:r>
          <a:endParaRPr lang="ru-RU" sz="16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0</xdr:col>
      <xdr:colOff>215301</xdr:colOff>
      <xdr:row>9</xdr:row>
      <xdr:rowOff>79149</xdr:rowOff>
    </xdr:from>
    <xdr:to>
      <xdr:col>1</xdr:col>
      <xdr:colOff>81951</xdr:colOff>
      <xdr:row>11</xdr:row>
      <xdr:rowOff>126774</xdr:rowOff>
    </xdr:to>
    <xdr:sp macro="" textlink="">
      <xdr:nvSpPr>
        <xdr:cNvPr id="36" name="Овал 35"/>
        <xdr:cNvSpPr/>
      </xdr:nvSpPr>
      <xdr:spPr>
        <a:xfrm>
          <a:off x="215301" y="1793649"/>
          <a:ext cx="479563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9</xdr:col>
      <xdr:colOff>290671</xdr:colOff>
      <xdr:row>9</xdr:row>
      <xdr:rowOff>66260</xdr:rowOff>
    </xdr:from>
    <xdr:to>
      <xdr:col>10</xdr:col>
      <xdr:colOff>265043</xdr:colOff>
      <xdr:row>12</xdr:row>
      <xdr:rowOff>74543</xdr:rowOff>
    </xdr:to>
    <xdr:sp macro="" textlink="">
      <xdr:nvSpPr>
        <xdr:cNvPr id="37" name="Овал 36"/>
        <xdr:cNvSpPr/>
      </xdr:nvSpPr>
      <xdr:spPr>
        <a:xfrm>
          <a:off x="5806888" y="1880151"/>
          <a:ext cx="587285" cy="579783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 b="1" i="1">
              <a:solidFill>
                <a:sysClr val="windowText" lastClr="000000"/>
              </a:solidFill>
            </a:rPr>
            <a:t>j</a:t>
          </a:r>
          <a:r>
            <a:rPr lang="en-US" sz="1600" b="1">
              <a:solidFill>
                <a:sysClr val="windowText" lastClr="000000"/>
              </a:solidFill>
            </a:rPr>
            <a:t>-1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</xdr:col>
      <xdr:colOff>304339</xdr:colOff>
      <xdr:row>9</xdr:row>
      <xdr:rowOff>117249</xdr:rowOff>
    </xdr:from>
    <xdr:to>
      <xdr:col>3</xdr:col>
      <xdr:colOff>167676</xdr:colOff>
      <xdr:row>11</xdr:row>
      <xdr:rowOff>164874</xdr:rowOff>
    </xdr:to>
    <xdr:sp macro="" textlink="">
      <xdr:nvSpPr>
        <xdr:cNvPr id="38" name="Овал 37"/>
        <xdr:cNvSpPr/>
      </xdr:nvSpPr>
      <xdr:spPr>
        <a:xfrm>
          <a:off x="1530165" y="1831749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</xdr:col>
      <xdr:colOff>44094</xdr:colOff>
      <xdr:row>9</xdr:row>
      <xdr:rowOff>93881</xdr:rowOff>
    </xdr:from>
    <xdr:to>
      <xdr:col>2</xdr:col>
      <xdr:colOff>389236</xdr:colOff>
      <xdr:row>9</xdr:row>
      <xdr:rowOff>107724</xdr:rowOff>
    </xdr:to>
    <xdr:cxnSp macro="">
      <xdr:nvCxnSpPr>
        <xdr:cNvPr id="39" name="Прямая со стрелкой 38"/>
        <xdr:cNvCxnSpPr/>
      </xdr:nvCxnSpPr>
      <xdr:spPr>
        <a:xfrm>
          <a:off x="657007" y="1808381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166677</xdr:colOff>
      <xdr:row>9</xdr:row>
      <xdr:rowOff>150202</xdr:rowOff>
    </xdr:from>
    <xdr:to>
      <xdr:col>4</xdr:col>
      <xdr:colOff>511819</xdr:colOff>
      <xdr:row>9</xdr:row>
      <xdr:rowOff>164045</xdr:rowOff>
    </xdr:to>
    <xdr:cxnSp macro="">
      <xdr:nvCxnSpPr>
        <xdr:cNvPr id="40" name="Прямая со стрелкой 39"/>
        <xdr:cNvCxnSpPr/>
      </xdr:nvCxnSpPr>
      <xdr:spPr>
        <a:xfrm>
          <a:off x="2005416" y="1864702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372086</xdr:colOff>
      <xdr:row>9</xdr:row>
      <xdr:rowOff>165112</xdr:rowOff>
    </xdr:from>
    <xdr:to>
      <xdr:col>7</xdr:col>
      <xdr:colOff>104315</xdr:colOff>
      <xdr:row>9</xdr:row>
      <xdr:rowOff>178955</xdr:rowOff>
    </xdr:to>
    <xdr:cxnSp macro="">
      <xdr:nvCxnSpPr>
        <xdr:cNvPr id="41" name="Прямая со стрелкой 40"/>
        <xdr:cNvCxnSpPr/>
      </xdr:nvCxnSpPr>
      <xdr:spPr>
        <a:xfrm>
          <a:off x="3436651" y="1879612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69526</xdr:colOff>
      <xdr:row>11</xdr:row>
      <xdr:rowOff>111038</xdr:rowOff>
    </xdr:from>
    <xdr:to>
      <xdr:col>2</xdr:col>
      <xdr:colOff>287602</xdr:colOff>
      <xdr:row>11</xdr:row>
      <xdr:rowOff>130325</xdr:rowOff>
    </xdr:to>
    <xdr:cxnSp macro="">
      <xdr:nvCxnSpPr>
        <xdr:cNvPr id="42" name="Прямая со стрелкой 41"/>
        <xdr:cNvCxnSpPr/>
      </xdr:nvCxnSpPr>
      <xdr:spPr>
        <a:xfrm flipH="1" flipV="1">
          <a:off x="682439" y="2206538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197079</xdr:colOff>
      <xdr:row>11</xdr:row>
      <xdr:rowOff>106068</xdr:rowOff>
    </xdr:from>
    <xdr:to>
      <xdr:col>4</xdr:col>
      <xdr:colOff>415155</xdr:colOff>
      <xdr:row>11</xdr:row>
      <xdr:rowOff>125355</xdr:rowOff>
    </xdr:to>
    <xdr:cxnSp macro="">
      <xdr:nvCxnSpPr>
        <xdr:cNvPr id="43" name="Прямая со стрелкой 42"/>
        <xdr:cNvCxnSpPr/>
      </xdr:nvCxnSpPr>
      <xdr:spPr>
        <a:xfrm flipH="1" flipV="1">
          <a:off x="2035818" y="2201568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43023</xdr:colOff>
      <xdr:row>11</xdr:row>
      <xdr:rowOff>117664</xdr:rowOff>
    </xdr:from>
    <xdr:to>
      <xdr:col>9</xdr:col>
      <xdr:colOff>261099</xdr:colOff>
      <xdr:row>11</xdr:row>
      <xdr:rowOff>136951</xdr:rowOff>
    </xdr:to>
    <xdr:cxnSp macro="">
      <xdr:nvCxnSpPr>
        <xdr:cNvPr id="44" name="Прямая со стрелкой 43"/>
        <xdr:cNvCxnSpPr/>
      </xdr:nvCxnSpPr>
      <xdr:spPr>
        <a:xfrm flipH="1" flipV="1">
          <a:off x="4946327" y="2213164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</xdr:col>
      <xdr:colOff>22560</xdr:colOff>
      <xdr:row>9</xdr:row>
      <xdr:rowOff>146890</xdr:rowOff>
    </xdr:from>
    <xdr:to>
      <xdr:col>9</xdr:col>
      <xdr:colOff>367702</xdr:colOff>
      <xdr:row>9</xdr:row>
      <xdr:rowOff>160733</xdr:rowOff>
    </xdr:to>
    <xdr:cxnSp macro="">
      <xdr:nvCxnSpPr>
        <xdr:cNvPr id="45" name="Прямая со стрелкой 44"/>
        <xdr:cNvCxnSpPr/>
      </xdr:nvCxnSpPr>
      <xdr:spPr>
        <a:xfrm>
          <a:off x="4925864" y="1861390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374327</xdr:colOff>
      <xdr:row>11</xdr:row>
      <xdr:rowOff>117664</xdr:rowOff>
    </xdr:from>
    <xdr:to>
      <xdr:col>6</xdr:col>
      <xdr:colOff>592403</xdr:colOff>
      <xdr:row>11</xdr:row>
      <xdr:rowOff>136951</xdr:rowOff>
    </xdr:to>
    <xdr:cxnSp macro="">
      <xdr:nvCxnSpPr>
        <xdr:cNvPr id="46" name="Прямая со стрелкой 45"/>
        <xdr:cNvCxnSpPr/>
      </xdr:nvCxnSpPr>
      <xdr:spPr>
        <a:xfrm flipH="1" flipV="1">
          <a:off x="3438892" y="2213164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473305</xdr:colOff>
      <xdr:row>9</xdr:row>
      <xdr:rowOff>125532</xdr:rowOff>
    </xdr:from>
    <xdr:to>
      <xdr:col>5</xdr:col>
      <xdr:colOff>336642</xdr:colOff>
      <xdr:row>11</xdr:row>
      <xdr:rowOff>173157</xdr:rowOff>
    </xdr:to>
    <xdr:sp macro="" textlink="">
      <xdr:nvSpPr>
        <xdr:cNvPr id="47" name="Овал 46"/>
        <xdr:cNvSpPr/>
      </xdr:nvSpPr>
      <xdr:spPr>
        <a:xfrm>
          <a:off x="2924957" y="1840032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7</xdr:col>
      <xdr:colOff>24848</xdr:colOff>
      <xdr:row>10</xdr:row>
      <xdr:rowOff>165652</xdr:rowOff>
    </xdr:from>
    <xdr:to>
      <xdr:col>7</xdr:col>
      <xdr:colOff>596348</xdr:colOff>
      <xdr:row>10</xdr:row>
      <xdr:rowOff>165652</xdr:rowOff>
    </xdr:to>
    <xdr:cxnSp macro="">
      <xdr:nvCxnSpPr>
        <xdr:cNvPr id="62" name="Прямая соединительная линия 61"/>
        <xdr:cNvCxnSpPr/>
      </xdr:nvCxnSpPr>
      <xdr:spPr>
        <a:xfrm>
          <a:off x="4315239" y="2070652"/>
          <a:ext cx="571500" cy="0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190500</xdr:colOff>
      <xdr:row>11</xdr:row>
      <xdr:rowOff>12045</xdr:rowOff>
    </xdr:from>
    <xdr:to>
      <xdr:col>17</xdr:col>
      <xdr:colOff>240195</xdr:colOff>
      <xdr:row>11</xdr:row>
      <xdr:rowOff>28611</xdr:rowOff>
    </xdr:to>
    <xdr:cxnSp macro="">
      <xdr:nvCxnSpPr>
        <xdr:cNvPr id="64" name="Прямая соединительная линия 63"/>
        <xdr:cNvCxnSpPr/>
      </xdr:nvCxnSpPr>
      <xdr:spPr>
        <a:xfrm>
          <a:off x="9944100" y="2107545"/>
          <a:ext cx="659295" cy="16566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496372</xdr:colOff>
      <xdr:row>9</xdr:row>
      <xdr:rowOff>181213</xdr:rowOff>
    </xdr:from>
    <xdr:to>
      <xdr:col>16</xdr:col>
      <xdr:colOff>228601</xdr:colOff>
      <xdr:row>10</xdr:row>
      <xdr:rowOff>4556</xdr:rowOff>
    </xdr:to>
    <xdr:cxnSp macro="">
      <xdr:nvCxnSpPr>
        <xdr:cNvPr id="65" name="Прямая со стрелкой 64"/>
        <xdr:cNvCxnSpPr/>
      </xdr:nvCxnSpPr>
      <xdr:spPr>
        <a:xfrm>
          <a:off x="9030772" y="1895713"/>
          <a:ext cx="951429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498613</xdr:colOff>
      <xdr:row>11</xdr:row>
      <xdr:rowOff>133765</xdr:rowOff>
    </xdr:from>
    <xdr:to>
      <xdr:col>16</xdr:col>
      <xdr:colOff>107089</xdr:colOff>
      <xdr:row>11</xdr:row>
      <xdr:rowOff>153052</xdr:rowOff>
    </xdr:to>
    <xdr:cxnSp macro="">
      <xdr:nvCxnSpPr>
        <xdr:cNvPr id="66" name="Прямая со стрелкой 65"/>
        <xdr:cNvCxnSpPr/>
      </xdr:nvCxnSpPr>
      <xdr:spPr>
        <a:xfrm flipH="1" flipV="1">
          <a:off x="9033013" y="2229265"/>
          <a:ext cx="827676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488673</xdr:colOff>
      <xdr:row>9</xdr:row>
      <xdr:rowOff>16567</xdr:rowOff>
    </xdr:from>
    <xdr:to>
      <xdr:col>14</xdr:col>
      <xdr:colOff>538369</xdr:colOff>
      <xdr:row>12</xdr:row>
      <xdr:rowOff>55909</xdr:rowOff>
    </xdr:to>
    <xdr:sp macro="" textlink="">
      <xdr:nvSpPr>
        <xdr:cNvPr id="67" name="Овал 66"/>
        <xdr:cNvSpPr/>
      </xdr:nvSpPr>
      <xdr:spPr>
        <a:xfrm>
          <a:off x="8456543" y="1830458"/>
          <a:ext cx="662609" cy="610842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600" b="1" i="1">
              <a:solidFill>
                <a:sysClr val="windowText" lastClr="000000"/>
              </a:solidFill>
            </a:rPr>
            <a:t>j</a:t>
          </a:r>
          <a:r>
            <a:rPr lang="en-US" sz="1600" b="1">
              <a:solidFill>
                <a:sysClr val="windowText" lastClr="000000"/>
              </a:solidFill>
            </a:rPr>
            <a:t>+1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1</xdr:col>
      <xdr:colOff>438150</xdr:colOff>
      <xdr:row>7</xdr:row>
      <xdr:rowOff>9525</xdr:rowOff>
    </xdr:from>
    <xdr:ext cx="325538" cy="419025"/>
    <xdr:sp macro="" textlink="">
      <xdr:nvSpPr>
        <xdr:cNvPr id="68" name="TextBox 67"/>
        <xdr:cNvSpPr txBox="1"/>
      </xdr:nvSpPr>
      <xdr:spPr>
        <a:xfrm>
          <a:off x="1047750" y="1343025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1</xdr:col>
      <xdr:colOff>371475</xdr:colOff>
      <xdr:row>11</xdr:row>
      <xdr:rowOff>95250</xdr:rowOff>
    </xdr:from>
    <xdr:ext cx="332463" cy="419025"/>
    <xdr:sp macro="" textlink="">
      <xdr:nvSpPr>
        <xdr:cNvPr id="69" name="TextBox 68"/>
        <xdr:cNvSpPr txBox="1"/>
      </xdr:nvSpPr>
      <xdr:spPr>
        <a:xfrm>
          <a:off x="981075" y="2190750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6</xdr:col>
      <xdr:colOff>19050</xdr:colOff>
      <xdr:row>11</xdr:row>
      <xdr:rowOff>152400</xdr:rowOff>
    </xdr:from>
    <xdr:ext cx="332463" cy="419025"/>
    <xdr:sp macro="" textlink="">
      <xdr:nvSpPr>
        <xdr:cNvPr id="70" name="TextBox 69"/>
        <xdr:cNvSpPr txBox="1"/>
      </xdr:nvSpPr>
      <xdr:spPr>
        <a:xfrm>
          <a:off x="3676650" y="2247900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3</xdr:col>
      <xdr:colOff>419100</xdr:colOff>
      <xdr:row>11</xdr:row>
      <xdr:rowOff>152400</xdr:rowOff>
    </xdr:from>
    <xdr:ext cx="332463" cy="419025"/>
    <xdr:sp macro="" textlink="">
      <xdr:nvSpPr>
        <xdr:cNvPr id="71" name="TextBox 70"/>
        <xdr:cNvSpPr txBox="1"/>
      </xdr:nvSpPr>
      <xdr:spPr>
        <a:xfrm>
          <a:off x="2247900" y="2247900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10</xdr:col>
      <xdr:colOff>371475</xdr:colOff>
      <xdr:row>11</xdr:row>
      <xdr:rowOff>180975</xdr:rowOff>
    </xdr:from>
    <xdr:ext cx="332463" cy="419025"/>
    <xdr:sp macro="" textlink="">
      <xdr:nvSpPr>
        <xdr:cNvPr id="72" name="TextBox 71"/>
        <xdr:cNvSpPr txBox="1"/>
      </xdr:nvSpPr>
      <xdr:spPr>
        <a:xfrm>
          <a:off x="6467475" y="2276475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8</xdr:col>
      <xdr:colOff>314325</xdr:colOff>
      <xdr:row>11</xdr:row>
      <xdr:rowOff>142875</xdr:rowOff>
    </xdr:from>
    <xdr:ext cx="332463" cy="419025"/>
    <xdr:sp macro="" textlink="">
      <xdr:nvSpPr>
        <xdr:cNvPr id="73" name="TextBox 72"/>
        <xdr:cNvSpPr txBox="1"/>
      </xdr:nvSpPr>
      <xdr:spPr>
        <a:xfrm>
          <a:off x="5191125" y="2238375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13</xdr:col>
      <xdr:colOff>0</xdr:colOff>
      <xdr:row>11</xdr:row>
      <xdr:rowOff>123825</xdr:rowOff>
    </xdr:from>
    <xdr:ext cx="332463" cy="419025"/>
    <xdr:sp macro="" textlink="">
      <xdr:nvSpPr>
        <xdr:cNvPr id="74" name="TextBox 73"/>
        <xdr:cNvSpPr txBox="1"/>
      </xdr:nvSpPr>
      <xdr:spPr>
        <a:xfrm>
          <a:off x="7924800" y="2219325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15</xdr:col>
      <xdr:colOff>209550</xdr:colOff>
      <xdr:row>11</xdr:row>
      <xdr:rowOff>142875</xdr:rowOff>
    </xdr:from>
    <xdr:ext cx="332463" cy="419025"/>
    <xdr:sp macro="" textlink="">
      <xdr:nvSpPr>
        <xdr:cNvPr id="75" name="TextBox 74"/>
        <xdr:cNvSpPr txBox="1"/>
      </xdr:nvSpPr>
      <xdr:spPr>
        <a:xfrm>
          <a:off x="9353550" y="2238375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6</xdr:col>
      <xdr:colOff>28575</xdr:colOff>
      <xdr:row>7</xdr:row>
      <xdr:rowOff>123825</xdr:rowOff>
    </xdr:from>
    <xdr:ext cx="325538" cy="419025"/>
    <xdr:sp macro="" textlink="">
      <xdr:nvSpPr>
        <xdr:cNvPr id="76" name="TextBox 75"/>
        <xdr:cNvSpPr txBox="1"/>
      </xdr:nvSpPr>
      <xdr:spPr>
        <a:xfrm>
          <a:off x="3686175" y="1457325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3</xdr:col>
      <xdr:colOff>409575</xdr:colOff>
      <xdr:row>7</xdr:row>
      <xdr:rowOff>76200</xdr:rowOff>
    </xdr:from>
    <xdr:ext cx="325538" cy="419025"/>
    <xdr:sp macro="" textlink="">
      <xdr:nvSpPr>
        <xdr:cNvPr id="77" name="TextBox 76"/>
        <xdr:cNvSpPr txBox="1"/>
      </xdr:nvSpPr>
      <xdr:spPr>
        <a:xfrm>
          <a:off x="2238375" y="1409700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10</xdr:col>
      <xdr:colOff>419100</xdr:colOff>
      <xdr:row>7</xdr:row>
      <xdr:rowOff>104775</xdr:rowOff>
    </xdr:from>
    <xdr:ext cx="325538" cy="419025"/>
    <xdr:sp macro="" textlink="">
      <xdr:nvSpPr>
        <xdr:cNvPr id="78" name="TextBox 77"/>
        <xdr:cNvSpPr txBox="1"/>
      </xdr:nvSpPr>
      <xdr:spPr>
        <a:xfrm>
          <a:off x="6515100" y="1438275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8</xdr:col>
      <xdr:colOff>285750</xdr:colOff>
      <xdr:row>7</xdr:row>
      <xdr:rowOff>123825</xdr:rowOff>
    </xdr:from>
    <xdr:ext cx="325538" cy="419025"/>
    <xdr:sp macro="" textlink="">
      <xdr:nvSpPr>
        <xdr:cNvPr id="79" name="TextBox 78"/>
        <xdr:cNvSpPr txBox="1"/>
      </xdr:nvSpPr>
      <xdr:spPr>
        <a:xfrm>
          <a:off x="5162550" y="1457325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15</xdr:col>
      <xdr:colOff>200025</xdr:colOff>
      <xdr:row>7</xdr:row>
      <xdr:rowOff>133350</xdr:rowOff>
    </xdr:from>
    <xdr:ext cx="325538" cy="419025"/>
    <xdr:sp macro="" textlink="">
      <xdr:nvSpPr>
        <xdr:cNvPr id="80" name="TextBox 79"/>
        <xdr:cNvSpPr txBox="1"/>
      </xdr:nvSpPr>
      <xdr:spPr>
        <a:xfrm>
          <a:off x="9344025" y="1466850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12</xdr:col>
      <xdr:colOff>485775</xdr:colOff>
      <xdr:row>7</xdr:row>
      <xdr:rowOff>104775</xdr:rowOff>
    </xdr:from>
    <xdr:ext cx="325538" cy="419025"/>
    <xdr:sp macro="" textlink="">
      <xdr:nvSpPr>
        <xdr:cNvPr id="81" name="TextBox 80"/>
        <xdr:cNvSpPr txBox="1"/>
      </xdr:nvSpPr>
      <xdr:spPr>
        <a:xfrm>
          <a:off x="7800975" y="1438275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0</xdr:col>
      <xdr:colOff>14286</xdr:colOff>
      <xdr:row>2</xdr:row>
      <xdr:rowOff>128587</xdr:rowOff>
    </xdr:from>
    <xdr:ext cx="1719263" cy="504562"/>
    <xdr:sp macro="" textlink="">
      <xdr:nvSpPr>
        <xdr:cNvPr id="82" name="TextBox 81"/>
        <xdr:cNvSpPr txBox="1"/>
      </xdr:nvSpPr>
      <xdr:spPr>
        <a:xfrm>
          <a:off x="14286" y="557212"/>
          <a:ext cx="1719263" cy="50456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400" b="1" i="0">
              <a:latin typeface="Cambria Math"/>
              <a:ea typeface="Cambria Math"/>
            </a:rPr>
            <a:t>𝝀,</a:t>
          </a:r>
          <a:r>
            <a:rPr lang="ru-RU" sz="1400" b="1" i="0">
              <a:latin typeface="Cambria Math"/>
              <a:ea typeface="Cambria Math"/>
            </a:rPr>
            <a:t>𝝁</a:t>
          </a:r>
          <a:r>
            <a:rPr lang="en-US" sz="1400" b="1" i="0">
              <a:latin typeface="Cambria Math"/>
              <a:ea typeface="Cambria Math"/>
            </a:rPr>
            <a:t>=</a:t>
          </a:r>
          <a:r>
            <a:rPr lang="en-US" sz="1400" b="0" i="0">
              <a:latin typeface="Cambria Math"/>
              <a:ea typeface="Cambria Math"/>
            </a:rPr>
            <a:t>lim</a:t>
          </a:r>
          <a:r>
            <a:rPr lang="en-US" sz="1400" b="1" i="0">
              <a:latin typeface="Cambria Math"/>
              <a:ea typeface="Cambria Math"/>
            </a:rPr>
            <a:t>┬(</a:t>
          </a:r>
          <a:r>
            <a:rPr lang="en-US" sz="1400" b="0" i="0">
              <a:latin typeface="Cambria Math"/>
              <a:ea typeface="Cambria Math"/>
            </a:rPr>
            <a:t>𝚫𝝉→0</a:t>
          </a:r>
          <a:r>
            <a:rPr lang="en-US" sz="1400" b="1" i="0">
              <a:latin typeface="Cambria Math"/>
              <a:ea typeface="Cambria Math"/>
            </a:rPr>
            <a:t>)⁡〖𝑷_𝒊𝒋/</a:t>
          </a:r>
          <a:r>
            <a:rPr lang="en-US" sz="11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𝚫𝝉</a:t>
          </a:r>
          <a:r>
            <a:rPr lang="en-US" sz="1400" b="1" i="0">
              <a:solidFill>
                <a:schemeClr val="tx1"/>
              </a:solidFill>
              <a:effectLst/>
              <a:latin typeface="Cambria Math"/>
              <a:ea typeface="Cambria Math"/>
              <a:cs typeface="+mn-cs"/>
            </a:rPr>
            <a:t>〗</a:t>
          </a:r>
          <a:endParaRPr lang="ru-RU" sz="1400" b="1"/>
        </a:p>
      </xdr:txBody>
    </xdr:sp>
    <xdr:clientData/>
  </xdr:oneCellAnchor>
  <xdr:twoCellAnchor>
    <xdr:from>
      <xdr:col>0</xdr:col>
      <xdr:colOff>171450</xdr:colOff>
      <xdr:row>2</xdr:row>
      <xdr:rowOff>133350</xdr:rowOff>
    </xdr:from>
    <xdr:to>
      <xdr:col>2</xdr:col>
      <xdr:colOff>361950</xdr:colOff>
      <xdr:row>5</xdr:row>
      <xdr:rowOff>95250</xdr:rowOff>
    </xdr:to>
    <xdr:sp macro="" textlink="">
      <xdr:nvSpPr>
        <xdr:cNvPr id="83" name="Прямоугольник 82"/>
        <xdr:cNvSpPr/>
      </xdr:nvSpPr>
      <xdr:spPr>
        <a:xfrm>
          <a:off x="171450" y="561975"/>
          <a:ext cx="1409700" cy="53340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0</xdr:col>
      <xdr:colOff>595311</xdr:colOff>
      <xdr:row>14</xdr:row>
      <xdr:rowOff>185737</xdr:rowOff>
    </xdr:from>
    <xdr:ext cx="5005389" cy="342786"/>
    <xdr:sp macro="" textlink="">
      <xdr:nvSpPr>
        <xdr:cNvPr id="84" name="TextBox 83"/>
        <xdr:cNvSpPr txBox="1"/>
      </xdr:nvSpPr>
      <xdr:spPr>
        <a:xfrm>
          <a:off x="595311" y="2900362"/>
          <a:ext cx="5005389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latin typeface="Cambria Math"/>
            </a:rPr>
            <a:t>𝑷</a:t>
          </a:r>
          <a:r>
            <a:rPr lang="ru-RU" sz="1600" b="1" i="0">
              <a:latin typeface="Cambria Math"/>
            </a:rPr>
            <a:t>_</a:t>
          </a:r>
          <a:r>
            <a:rPr lang="en-US" sz="1600" b="1" i="0">
              <a:latin typeface="Cambria Math"/>
            </a:rPr>
            <a:t>𝟎</a:t>
          </a:r>
          <a:r>
            <a:rPr lang="ru-RU" sz="1600" b="1" i="0">
              <a:latin typeface="Cambria Math"/>
            </a:rPr>
            <a:t> (</a:t>
          </a:r>
          <a:r>
            <a:rPr lang="en-US" sz="1600" b="1" i="0">
              <a:latin typeface="Cambria Math"/>
            </a:rPr>
            <a:t>𝒕+</a:t>
          </a:r>
          <a:r>
            <a:rPr lang="en-US" sz="1600" b="1" i="0">
              <a:latin typeface="Cambria Math"/>
              <a:ea typeface="Cambria Math"/>
            </a:rPr>
            <a:t>∆𝒕</a:t>
          </a:r>
          <a:r>
            <a:rPr lang="ru-RU" sz="1600" b="1" i="0">
              <a:latin typeface="Cambria Math"/>
              <a:ea typeface="Cambria Math"/>
            </a:rPr>
            <a:t>)</a:t>
          </a:r>
          <a:r>
            <a:rPr lang="en-US" sz="1600" b="1" i="0">
              <a:latin typeface="Cambria Math"/>
            </a:rPr>
            <a:t>=𝑷_𝟎 (𝒕)(𝟏−</a:t>
          </a:r>
          <a:r>
            <a:rPr lang="en-US" sz="1600" b="1" i="0">
              <a:latin typeface="Cambria Math"/>
              <a:ea typeface="Cambria Math"/>
            </a:rPr>
            <a:t>𝝀∆𝒕)</a:t>
          </a:r>
          <a:r>
            <a:rPr lang="en-US" sz="1600" b="1" i="0">
              <a:latin typeface="Cambria Math"/>
            </a:rPr>
            <a:t>+𝑷_𝟏 (𝒕)</a:t>
          </a:r>
          <a:r>
            <a:rPr lang="en-US" sz="1600" b="1" i="0">
              <a:latin typeface="Cambria Math"/>
              <a:ea typeface="Cambria Math"/>
            </a:rPr>
            <a:t>𝝁∆𝒕</a:t>
          </a:r>
          <a:endParaRPr lang="ru-RU" sz="1600" b="1"/>
        </a:p>
      </xdr:txBody>
    </xdr:sp>
    <xdr:clientData/>
  </xdr:oneCellAnchor>
  <xdr:twoCellAnchor>
    <xdr:from>
      <xdr:col>2</xdr:col>
      <xdr:colOff>95664</xdr:colOff>
      <xdr:row>17</xdr:row>
      <xdr:rowOff>98977</xdr:rowOff>
    </xdr:from>
    <xdr:to>
      <xdr:col>7</xdr:col>
      <xdr:colOff>523875</xdr:colOff>
      <xdr:row>17</xdr:row>
      <xdr:rowOff>123825</xdr:rowOff>
    </xdr:to>
    <xdr:cxnSp macro="">
      <xdr:nvCxnSpPr>
        <xdr:cNvPr id="85" name="Прямая соединительная линия 84"/>
        <xdr:cNvCxnSpPr/>
      </xdr:nvCxnSpPr>
      <xdr:spPr>
        <a:xfrm>
          <a:off x="1314864" y="3385102"/>
          <a:ext cx="3476211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157161</xdr:colOff>
      <xdr:row>18</xdr:row>
      <xdr:rowOff>61912</xdr:rowOff>
    </xdr:from>
    <xdr:ext cx="6396039" cy="376238"/>
    <xdr:sp macro="" textlink="">
      <xdr:nvSpPr>
        <xdr:cNvPr id="87" name="TextBox 86"/>
        <xdr:cNvSpPr txBox="1"/>
      </xdr:nvSpPr>
      <xdr:spPr>
        <a:xfrm>
          <a:off x="766761" y="3538537"/>
          <a:ext cx="6396039" cy="3762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>
              <a:latin typeface="Cambria Math"/>
            </a:rPr>
            <a:t>𝑷</a:t>
          </a:r>
          <a:r>
            <a:rPr lang="ru-RU" sz="1600" b="1" i="0">
              <a:latin typeface="Cambria Math"/>
            </a:rPr>
            <a:t>_</a:t>
          </a:r>
          <a:r>
            <a:rPr lang="en-US" sz="1600" b="1" i="0">
              <a:latin typeface="Cambria Math"/>
            </a:rPr>
            <a:t>𝒋</a:t>
          </a:r>
          <a:r>
            <a:rPr lang="ru-RU" sz="1600" b="1" i="0">
              <a:latin typeface="Cambria Math"/>
            </a:rPr>
            <a:t> (</a:t>
          </a:r>
          <a:r>
            <a:rPr lang="en-US" sz="1600" b="1" i="0">
              <a:latin typeface="Cambria Math"/>
            </a:rPr>
            <a:t>𝒕+</a:t>
          </a:r>
          <a:r>
            <a:rPr lang="en-US" sz="1600" b="1" i="0">
              <a:latin typeface="Cambria Math"/>
              <a:ea typeface="Cambria Math"/>
            </a:rPr>
            <a:t>∆𝒕</a:t>
          </a:r>
          <a:r>
            <a:rPr lang="ru-RU" sz="1600" b="1" i="0">
              <a:latin typeface="Cambria Math"/>
              <a:ea typeface="Cambria Math"/>
            </a:rPr>
            <a:t>)</a:t>
          </a:r>
          <a:r>
            <a:rPr lang="en-US" sz="1600" b="1" i="0">
              <a:latin typeface="Cambria Math"/>
            </a:rPr>
            <a:t>=𝑷_𝒋 (𝒕)(𝟏−(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𝝀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+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Cambria Math"/>
              <a:cs typeface="+mn-cs"/>
            </a:rPr>
            <a:t>𝝁)</a:t>
          </a:r>
          <a:r>
            <a:rPr lang="en-US" sz="1600" b="1" i="0">
              <a:latin typeface="Cambria Math"/>
              <a:ea typeface="Cambria Math"/>
            </a:rPr>
            <a:t>∆𝒕)</a:t>
          </a:r>
          <a:r>
            <a:rPr lang="en-US" sz="1600" b="1" i="0">
              <a:latin typeface="Cambria Math"/>
            </a:rPr>
            <a:t>+𝑷_(𝒋−𝟏) (𝒕)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𝝀</a:t>
          </a:r>
          <a:r>
            <a:rPr lang="en-US" sz="1600" b="1" i="0">
              <a:latin typeface="Cambria Math"/>
              <a:ea typeface="Cambria Math"/>
            </a:rPr>
            <a:t>∆𝒕+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𝑷_(𝒋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+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𝟏) (𝒕)𝝁∆𝒕</a:t>
          </a:r>
          <a:endParaRPr lang="ru-RU" sz="1600">
            <a:effectLst/>
          </a:endParaRPr>
        </a:p>
        <a:p>
          <a:endParaRPr lang="ru-RU" sz="1600" b="1"/>
        </a:p>
      </xdr:txBody>
    </xdr:sp>
    <xdr:clientData/>
  </xdr:oneCellAnchor>
  <xdr:oneCellAnchor>
    <xdr:from>
      <xdr:col>1</xdr:col>
      <xdr:colOff>80961</xdr:colOff>
      <xdr:row>21</xdr:row>
      <xdr:rowOff>23812</xdr:rowOff>
    </xdr:from>
    <xdr:ext cx="5005389" cy="374141"/>
    <xdr:sp macro="" textlink="">
      <xdr:nvSpPr>
        <xdr:cNvPr id="88" name="TextBox 87"/>
        <xdr:cNvSpPr txBox="1"/>
      </xdr:nvSpPr>
      <xdr:spPr>
        <a:xfrm>
          <a:off x="690561" y="4119562"/>
          <a:ext cx="500538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𝟎</a:t>
          </a:r>
          <a:r>
            <a:rPr lang="ru-RU" sz="1800" b="1" i="0">
              <a:latin typeface="Cambria Math"/>
            </a:rPr>
            <a:t> (</a:t>
          </a:r>
          <a:r>
            <a:rPr lang="en-US" sz="1800" b="1" i="0">
              <a:latin typeface="Cambria Math"/>
            </a:rPr>
            <a:t>𝒕+∆</a:t>
          </a:r>
          <a:r>
            <a:rPr lang="en-US" sz="1800" b="1" i="0">
              <a:latin typeface="Cambria Math"/>
              <a:ea typeface="Cambria Math"/>
            </a:rPr>
            <a:t>𝒕)</a:t>
          </a:r>
          <a:r>
            <a:rPr lang="en-US" sz="1800" b="1" i="0">
              <a:latin typeface="Cambria Math"/>
            </a:rPr>
            <a:t>−𝑷_𝟎 (𝒕)=</a:t>
          </a:r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〖</a:t>
          </a:r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−</a:t>
          </a:r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𝑷〗_𝟎 (𝒕)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𝝀∆𝒕</a:t>
          </a:r>
          <a:r>
            <a:rPr lang="en-US" sz="1800" b="1" i="0">
              <a:latin typeface="Cambria Math"/>
            </a:rPr>
            <a:t>+𝑷_𝟏 (𝒕)</a:t>
          </a:r>
          <a:r>
            <a:rPr lang="en-US" sz="1800" b="1" i="0">
              <a:latin typeface="Cambria Math"/>
              <a:ea typeface="Cambria Math"/>
            </a:rPr>
            <a:t>𝝁∆𝒕</a:t>
          </a:r>
          <a:endParaRPr lang="ru-RU" sz="1800" b="1"/>
        </a:p>
      </xdr:txBody>
    </xdr:sp>
    <xdr:clientData/>
  </xdr:oneCellAnchor>
  <xdr:oneCellAnchor>
    <xdr:from>
      <xdr:col>1</xdr:col>
      <xdr:colOff>252410</xdr:colOff>
      <xdr:row>23</xdr:row>
      <xdr:rowOff>176212</xdr:rowOff>
    </xdr:from>
    <xdr:ext cx="6862765" cy="376238"/>
    <xdr:sp macro="" textlink="">
      <xdr:nvSpPr>
        <xdr:cNvPr id="89" name="TextBox 88"/>
        <xdr:cNvSpPr txBox="1"/>
      </xdr:nvSpPr>
      <xdr:spPr>
        <a:xfrm>
          <a:off x="862010" y="4652962"/>
          <a:ext cx="6862765" cy="3762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𝒋</a:t>
          </a:r>
          <a:r>
            <a:rPr lang="ru-RU" sz="1800" b="1" i="0">
              <a:latin typeface="Cambria Math"/>
            </a:rPr>
            <a:t> (</a:t>
          </a:r>
          <a:r>
            <a:rPr lang="en-US" sz="1800" b="1" i="0">
              <a:latin typeface="Cambria Math"/>
            </a:rPr>
            <a:t>𝒕+∆</a:t>
          </a:r>
          <a:r>
            <a:rPr lang="en-US" sz="1800" b="1" i="0">
              <a:latin typeface="Cambria Math"/>
              <a:ea typeface="Cambria Math"/>
            </a:rPr>
            <a:t>𝒕)</a:t>
          </a:r>
          <a:r>
            <a:rPr lang="en-US" sz="1800" b="1" i="0">
              <a:latin typeface="Cambria Math"/>
            </a:rPr>
            <a:t>−𝑷_𝒋 (𝒕)=</a:t>
          </a:r>
          <a:r>
            <a:rPr lang="ru-RU" sz="1800" b="1" i="0">
              <a:latin typeface="Cambria Math"/>
            </a:rPr>
            <a:t>−</a:t>
          </a:r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𝑷_𝒋 (𝒕)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(𝝀+𝝁)∆𝒕</a:t>
          </a:r>
          <a:r>
            <a:rPr lang="en-US" sz="1800" b="1" i="0">
              <a:latin typeface="Cambria Math"/>
            </a:rPr>
            <a:t>+𝑷_(𝒋−𝟏) (𝒕)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𝝀</a:t>
          </a:r>
          <a:r>
            <a:rPr lang="en-US" sz="1800" b="1" i="0">
              <a:latin typeface="Cambria Math"/>
              <a:ea typeface="Cambria Math"/>
            </a:rPr>
            <a:t>∆𝒕+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𝑷_(𝒋+𝟏) (𝒕)𝝁∆𝒕</a:t>
          </a:r>
          <a:endParaRPr lang="ru-RU" sz="1800">
            <a:effectLst/>
          </a:endParaRPr>
        </a:p>
        <a:p>
          <a:endParaRPr lang="ru-RU" sz="1600" b="1"/>
        </a:p>
      </xdr:txBody>
    </xdr:sp>
    <xdr:clientData/>
  </xdr:oneCellAnchor>
  <xdr:oneCellAnchor>
    <xdr:from>
      <xdr:col>1</xdr:col>
      <xdr:colOff>100012</xdr:colOff>
      <xdr:row>28</xdr:row>
      <xdr:rowOff>119062</xdr:rowOff>
    </xdr:from>
    <xdr:ext cx="5091113" cy="570221"/>
    <xdr:sp macro="" textlink="">
      <xdr:nvSpPr>
        <xdr:cNvPr id="90" name="TextBox 89"/>
        <xdr:cNvSpPr txBox="1"/>
      </xdr:nvSpPr>
      <xdr:spPr>
        <a:xfrm>
          <a:off x="709612" y="5548312"/>
          <a:ext cx="5091113" cy="570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lim</a:t>
          </a:r>
          <a:r>
            <a:rPr lang="en-US" sz="1600" b="1" i="0">
              <a:latin typeface="Cambria Math"/>
            </a:rPr>
            <a:t>┬(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∆𝒕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Cambria Math"/>
              <a:cs typeface="+mn-cs"/>
            </a:rPr>
            <a:t>→𝟎)⁡〖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𝟎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 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𝒕+∆𝒕)−𝑷_𝟎 (𝒕)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)/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∆𝒕〗</a:t>
          </a:r>
          <a:r>
            <a:rPr lang="en-US" sz="1600" b="1" i="0">
              <a:latin typeface="Cambria Math"/>
            </a:rPr>
            <a:t>=(𝒅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𝑷_𝟎 (𝒕))/</a:t>
          </a:r>
          <a:r>
            <a:rPr lang="en-US" sz="1600" b="1" i="0">
              <a:latin typeface="Cambria Math"/>
            </a:rPr>
            <a:t>𝒅𝒕=</a:t>
          </a:r>
          <a:r>
            <a:rPr lang="ru-RU" sz="1600" b="1" i="0">
              <a:latin typeface="Cambria Math"/>
            </a:rPr>
            <a:t>−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𝑷_𝟎 (𝒕)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𝝀</a:t>
          </a:r>
          <a:r>
            <a:rPr lang="en-US" sz="1600" b="1" i="0">
              <a:latin typeface="Cambria Math"/>
            </a:rPr>
            <a:t>+𝑷_𝟏 (𝒕)</a:t>
          </a:r>
          <a:r>
            <a:rPr lang="en-US" sz="1600" b="1" i="0">
              <a:latin typeface="Cambria Math"/>
              <a:ea typeface="Cambria Math"/>
            </a:rPr>
            <a:t>𝝁</a:t>
          </a:r>
          <a:endParaRPr lang="ru-RU" sz="1600" b="1"/>
        </a:p>
      </xdr:txBody>
    </xdr:sp>
    <xdr:clientData/>
  </xdr:oneCellAnchor>
  <xdr:oneCellAnchor>
    <xdr:from>
      <xdr:col>1</xdr:col>
      <xdr:colOff>176211</xdr:colOff>
      <xdr:row>33</xdr:row>
      <xdr:rowOff>90486</xdr:rowOff>
    </xdr:from>
    <xdr:ext cx="6672264" cy="595313"/>
    <xdr:sp macro="" textlink="">
      <xdr:nvSpPr>
        <xdr:cNvPr id="91" name="TextBox 90"/>
        <xdr:cNvSpPr txBox="1"/>
      </xdr:nvSpPr>
      <xdr:spPr>
        <a:xfrm>
          <a:off x="785811" y="6519861"/>
          <a:ext cx="6672264" cy="595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>
              <a:latin typeface="Cambria Math"/>
            </a:rPr>
            <a:t>lim</a:t>
          </a:r>
          <a:r>
            <a:rPr lang="en-US" sz="1600" b="1" i="0">
              <a:latin typeface="Cambria Math"/>
            </a:rPr>
            <a:t>┬(</a:t>
          </a:r>
          <a:r>
            <a:rPr lang="en-US" sz="1600" b="0" i="0">
              <a:latin typeface="Cambria Math"/>
              <a:ea typeface="Cambria Math"/>
            </a:rPr>
            <a:t>∆</a:t>
          </a:r>
          <a:r>
            <a:rPr lang="en-US" sz="1600" b="1" i="0">
              <a:latin typeface="Cambria Math"/>
              <a:ea typeface="Cambria Math"/>
            </a:rPr>
            <a:t>𝒕→𝟎)⁡〖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(𝑷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𝒋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 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𝒕+∆𝒕)−𝑷_𝒋 (𝒕))/∆𝒕〗</a:t>
          </a:r>
          <a:r>
            <a:rPr lang="en-US" sz="1600" b="1" i="0">
              <a:latin typeface="Cambria Math"/>
            </a:rPr>
            <a:t>=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(𝒅𝑷_𝒋 (𝒕))/𝒅𝒕</a:t>
          </a:r>
          <a:r>
            <a:rPr lang="en-US" sz="1600" b="1" i="0">
              <a:latin typeface="Cambria Math"/>
            </a:rPr>
            <a:t>=</a:t>
          </a:r>
          <a:r>
            <a:rPr lang="ru-RU" sz="1600" b="1" i="0">
              <a:latin typeface="Cambria Math"/>
            </a:rPr>
            <a:t>−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𝑷_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𝒋</a:t>
          </a:r>
          <a:r>
            <a:rPr lang="en-US" sz="16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(𝒕)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(𝝀+𝝁)</a:t>
          </a:r>
          <a:r>
            <a:rPr lang="en-US" sz="1600" b="1" i="0">
              <a:latin typeface="Cambria Math"/>
            </a:rPr>
            <a:t>+𝑷_(𝒋−𝟏) (𝒕)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𝝀</a:t>
          </a:r>
          <a:r>
            <a:rPr lang="en-US" sz="1600" b="1" i="0">
              <a:latin typeface="Cambria Math"/>
              <a:ea typeface="Cambria Math"/>
            </a:rPr>
            <a:t>+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𝑷_(𝒋+𝟏) (𝒕)𝝁</a:t>
          </a:r>
          <a:endParaRPr lang="ru-RU" sz="1600">
            <a:effectLst/>
          </a:endParaRPr>
        </a:p>
        <a:p>
          <a:endParaRPr lang="ru-RU" sz="1600" b="1"/>
        </a:p>
      </xdr:txBody>
    </xdr:sp>
    <xdr:clientData/>
  </xdr:oneCellAnchor>
  <xdr:twoCellAnchor>
    <xdr:from>
      <xdr:col>5</xdr:col>
      <xdr:colOff>114300</xdr:colOff>
      <xdr:row>28</xdr:row>
      <xdr:rowOff>85725</xdr:rowOff>
    </xdr:from>
    <xdr:to>
      <xdr:col>9</xdr:col>
      <xdr:colOff>209549</xdr:colOff>
      <xdr:row>31</xdr:row>
      <xdr:rowOff>171450</xdr:rowOff>
    </xdr:to>
    <xdr:sp macro="" textlink="">
      <xdr:nvSpPr>
        <xdr:cNvPr id="92" name="Прямоугольник 91"/>
        <xdr:cNvSpPr/>
      </xdr:nvSpPr>
      <xdr:spPr>
        <a:xfrm>
          <a:off x="3162300" y="5514975"/>
          <a:ext cx="2533649" cy="657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</xdr:col>
      <xdr:colOff>104776</xdr:colOff>
      <xdr:row>33</xdr:row>
      <xdr:rowOff>47625</xdr:rowOff>
    </xdr:from>
    <xdr:to>
      <xdr:col>12</xdr:col>
      <xdr:colOff>57150</xdr:colOff>
      <xdr:row>37</xdr:row>
      <xdr:rowOff>19050</xdr:rowOff>
    </xdr:to>
    <xdr:sp macro="" textlink="">
      <xdr:nvSpPr>
        <xdr:cNvPr id="93" name="Прямоугольник 92"/>
        <xdr:cNvSpPr/>
      </xdr:nvSpPr>
      <xdr:spPr>
        <a:xfrm>
          <a:off x="3152776" y="6477000"/>
          <a:ext cx="4219574" cy="7334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10</xdr:col>
      <xdr:colOff>381000</xdr:colOff>
      <xdr:row>31</xdr:row>
      <xdr:rowOff>19050</xdr:rowOff>
    </xdr:from>
    <xdr:to>
      <xdr:col>11</xdr:col>
      <xdr:colOff>323850</xdr:colOff>
      <xdr:row>31</xdr:row>
      <xdr:rowOff>219075</xdr:rowOff>
    </xdr:to>
    <xdr:sp macro="" textlink="">
      <xdr:nvSpPr>
        <xdr:cNvPr id="94" name="Стрелка влево 93"/>
        <xdr:cNvSpPr/>
      </xdr:nvSpPr>
      <xdr:spPr>
        <a:xfrm>
          <a:off x="6477000" y="5972175"/>
          <a:ext cx="552450" cy="2000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</xdr:col>
      <xdr:colOff>352839</xdr:colOff>
      <xdr:row>23</xdr:row>
      <xdr:rowOff>70402</xdr:rowOff>
    </xdr:from>
    <xdr:to>
      <xdr:col>8</xdr:col>
      <xdr:colOff>171450</xdr:colOff>
      <xdr:row>23</xdr:row>
      <xdr:rowOff>95250</xdr:rowOff>
    </xdr:to>
    <xdr:cxnSp macro="">
      <xdr:nvCxnSpPr>
        <xdr:cNvPr id="50" name="Прямая соединительная линия 49"/>
        <xdr:cNvCxnSpPr/>
      </xdr:nvCxnSpPr>
      <xdr:spPr>
        <a:xfrm>
          <a:off x="1572039" y="4499527"/>
          <a:ext cx="3476211" cy="24848"/>
        </a:xfrm>
        <a:prstGeom prst="line">
          <a:avLst/>
        </a:prstGeom>
        <a:ln>
          <a:prstDash val="dash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152400</xdr:colOff>
      <xdr:row>16</xdr:row>
      <xdr:rowOff>133350</xdr:rowOff>
    </xdr:from>
    <xdr:to>
      <xdr:col>1</xdr:col>
      <xdr:colOff>485775</xdr:colOff>
      <xdr:row>23</xdr:row>
      <xdr:rowOff>0</xdr:rowOff>
    </xdr:to>
    <xdr:sp macro="" textlink="">
      <xdr:nvSpPr>
        <xdr:cNvPr id="2" name="Стрелка вниз 1"/>
        <xdr:cNvSpPr/>
      </xdr:nvSpPr>
      <xdr:spPr>
        <a:xfrm>
          <a:off x="762000" y="3228975"/>
          <a:ext cx="333375" cy="12001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0</xdr:col>
      <xdr:colOff>114300</xdr:colOff>
      <xdr:row>7</xdr:row>
      <xdr:rowOff>19050</xdr:rowOff>
    </xdr:from>
    <xdr:to>
      <xdr:col>17</xdr:col>
      <xdr:colOff>428625</xdr:colOff>
      <xdr:row>14</xdr:row>
      <xdr:rowOff>114300</xdr:rowOff>
    </xdr:to>
    <xdr:sp macro="" textlink="">
      <xdr:nvSpPr>
        <xdr:cNvPr id="3" name="Прямоугольник 2"/>
        <xdr:cNvSpPr/>
      </xdr:nvSpPr>
      <xdr:spPr>
        <a:xfrm>
          <a:off x="114300" y="1447800"/>
          <a:ext cx="10677525" cy="1428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 editAs="oneCell">
    <xdr:from>
      <xdr:col>14</xdr:col>
      <xdr:colOff>38100</xdr:colOff>
      <xdr:row>0</xdr:row>
      <xdr:rowOff>28576</xdr:rowOff>
    </xdr:from>
    <xdr:to>
      <xdr:col>18</xdr:col>
      <xdr:colOff>219774</xdr:colOff>
      <xdr:row>6</xdr:row>
      <xdr:rowOff>81</xdr:rowOff>
    </xdr:to>
    <xdr:pic>
      <xdr:nvPicPr>
        <xdr:cNvPr id="53" name="Рисунок 52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8572500" y="28576"/>
          <a:ext cx="2620074" cy="1162130"/>
        </a:xfrm>
        <a:prstGeom prst="rect">
          <a:avLst/>
        </a:prstGeom>
      </xdr:spPr>
    </xdr:pic>
    <xdr:clientData/>
  </xdr:twoCellAnchor>
  <xdr:oneCellAnchor>
    <xdr:from>
      <xdr:col>1</xdr:col>
      <xdr:colOff>9524</xdr:colOff>
      <xdr:row>39</xdr:row>
      <xdr:rowOff>109537</xdr:rowOff>
    </xdr:from>
    <xdr:ext cx="1257301" cy="791563"/>
    <xdr:sp macro="" textlink="">
      <xdr:nvSpPr>
        <xdr:cNvPr id="4" name="TextBox 3"/>
        <xdr:cNvSpPr txBox="1"/>
      </xdr:nvSpPr>
      <xdr:spPr>
        <a:xfrm>
          <a:off x="619124" y="7681912"/>
          <a:ext cx="1257301" cy="7915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600" b="1" i="0">
              <a:latin typeface="Cambria Math"/>
            </a:rPr>
            <a:t>∑24_(</a:t>
          </a:r>
          <a:r>
            <a:rPr lang="en-US" sz="1600" b="1" i="0">
              <a:latin typeface="Cambria Math"/>
            </a:rPr>
            <a:t>𝒋=𝟎</a:t>
          </a:r>
          <a:r>
            <a:rPr lang="ru-RU" sz="1600" b="1" i="0">
              <a:latin typeface="Cambria Math"/>
            </a:rPr>
            <a:t>)^</a:t>
          </a:r>
          <a:r>
            <a:rPr lang="ru-RU" sz="1600" b="1" i="0">
              <a:latin typeface="Cambria Math"/>
              <a:ea typeface="Cambria Math"/>
            </a:rPr>
            <a:t>∞▒〖</a:t>
          </a:r>
          <a:r>
            <a:rPr lang="en-US" sz="1600" b="1" i="0">
              <a:latin typeface="Cambria Math"/>
            </a:rPr>
            <a:t>𝑷</a:t>
          </a:r>
          <a:r>
            <a:rPr lang="ru-RU" sz="1600" b="1" i="0">
              <a:latin typeface="Cambria Math"/>
            </a:rPr>
            <a:t>_</a:t>
          </a:r>
          <a:r>
            <a:rPr lang="en-US" sz="1600" b="1" i="0">
              <a:latin typeface="Cambria Math"/>
            </a:rPr>
            <a:t>𝒋</a:t>
          </a:r>
          <a:r>
            <a:rPr lang="ru-RU" sz="1600" b="1" i="0">
              <a:latin typeface="Cambria Math"/>
            </a:rPr>
            <a:t> (</a:t>
          </a:r>
          <a:r>
            <a:rPr lang="en-US" sz="1600" b="1" i="0">
              <a:latin typeface="Cambria Math"/>
            </a:rPr>
            <a:t>𝒕</a:t>
          </a:r>
          <a:r>
            <a:rPr lang="ru-RU" sz="1600" b="1" i="0">
              <a:latin typeface="Cambria Math"/>
            </a:rPr>
            <a:t>)</a:t>
          </a:r>
          <a:r>
            <a:rPr lang="en-US" sz="1600" b="1" i="0">
              <a:latin typeface="Cambria Math"/>
            </a:rPr>
            <a:t>=𝟏</a:t>
          </a:r>
          <a:r>
            <a:rPr lang="ru-RU" sz="1600" b="1" i="0">
              <a:latin typeface="Cambria Math"/>
            </a:rPr>
            <a:t>〗</a:t>
          </a:r>
          <a:endParaRPr lang="ru-RU" sz="1600" b="1"/>
        </a:p>
      </xdr:txBody>
    </xdr:sp>
    <xdr:clientData/>
  </xdr:oneCellAnchor>
  <xdr:oneCellAnchor>
    <xdr:from>
      <xdr:col>1</xdr:col>
      <xdr:colOff>23812</xdr:colOff>
      <xdr:row>46</xdr:row>
      <xdr:rowOff>4762</xdr:rowOff>
    </xdr:from>
    <xdr:ext cx="914400" cy="522515"/>
    <xdr:sp macro="" textlink="">
      <xdr:nvSpPr>
        <xdr:cNvPr id="5" name="TextBox 4"/>
        <xdr:cNvSpPr txBox="1"/>
      </xdr:nvSpPr>
      <xdr:spPr>
        <a:xfrm>
          <a:off x="633412" y="8910637"/>
          <a:ext cx="914400" cy="5225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(𝒅𝑷_𝒋 (𝒕))/𝒅𝒕</a:t>
          </a:r>
          <a:r>
            <a:rPr lang="en-US" sz="1800"/>
            <a:t>=0</a:t>
          </a:r>
          <a:endParaRPr lang="ru-RU" sz="1800"/>
        </a:p>
      </xdr:txBody>
    </xdr:sp>
    <xdr:clientData/>
  </xdr:oneCellAnchor>
  <xdr:oneCellAnchor>
    <xdr:from>
      <xdr:col>8</xdr:col>
      <xdr:colOff>33338</xdr:colOff>
      <xdr:row>40</xdr:row>
      <xdr:rowOff>4762</xdr:rowOff>
    </xdr:from>
    <xdr:ext cx="3938588" cy="410753"/>
    <xdr:sp macro="" textlink="">
      <xdr:nvSpPr>
        <xdr:cNvPr id="6" name="TextBox 5"/>
        <xdr:cNvSpPr txBox="1"/>
      </xdr:nvSpPr>
      <xdr:spPr>
        <a:xfrm>
          <a:off x="4910138" y="7767637"/>
          <a:ext cx="3938588" cy="41075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800" i="0">
              <a:latin typeface="Cambria Math"/>
            </a:rPr>
            <a:t>{</a:t>
          </a:r>
          <a:r>
            <a:rPr lang="en-US" sz="1800" b="0" i="0">
              <a:latin typeface="Cambria Math"/>
            </a:rPr>
            <a:t>𝑃</a:t>
          </a:r>
          <a:r>
            <a:rPr lang="ru-RU" sz="1800" b="0" i="0">
              <a:latin typeface="Cambria Math"/>
            </a:rPr>
            <a:t>_</a:t>
          </a:r>
          <a:r>
            <a:rPr lang="en-US" sz="1800" b="0" i="0">
              <a:latin typeface="Cambria Math"/>
            </a:rPr>
            <a:t>0</a:t>
          </a:r>
          <a:r>
            <a:rPr lang="ru-RU" sz="1800" b="0" i="0">
              <a:latin typeface="Cambria Math"/>
            </a:rPr>
            <a:t> (</a:t>
          </a:r>
          <a:r>
            <a:rPr lang="en-US" sz="1800" b="0" i="0">
              <a:latin typeface="Cambria Math"/>
            </a:rPr>
            <a:t>0</a:t>
          </a:r>
          <a:r>
            <a:rPr lang="ru-RU" sz="1800" b="0" i="0">
              <a:latin typeface="Cambria Math"/>
            </a:rPr>
            <a:t>)</a:t>
          </a:r>
          <a:r>
            <a:rPr lang="en-US" sz="1800" b="0" i="0">
              <a:latin typeface="Cambria Math"/>
            </a:rPr>
            <a:t>,𝑃_1 (0),…,𝑃_𝑗 (0),…</a:t>
          </a:r>
          <a:r>
            <a:rPr lang="ru-RU" sz="1800" b="0" i="0">
              <a:latin typeface="Cambria Math"/>
            </a:rPr>
            <a:t>}</a:t>
          </a:r>
          <a:r>
            <a:rPr lang="en-US" sz="1800" b="0" i="0">
              <a:latin typeface="Cambria Math"/>
            </a:rPr>
            <a:t>, j=0,1,…</a:t>
          </a:r>
          <a:r>
            <a:rPr lang="en-US" sz="1800" b="0" i="0">
              <a:latin typeface="Cambria Math"/>
              <a:ea typeface="Cambria Math"/>
            </a:rPr>
            <a:t>∞</a:t>
          </a:r>
          <a:endParaRPr lang="ru-RU" sz="1800"/>
        </a:p>
      </xdr:txBody>
    </xdr:sp>
    <xdr:clientData/>
  </xdr:oneCellAnchor>
  <xdr:oneCellAnchor>
    <xdr:from>
      <xdr:col>1</xdr:col>
      <xdr:colOff>52385</xdr:colOff>
      <xdr:row>51</xdr:row>
      <xdr:rowOff>176212</xdr:rowOff>
    </xdr:from>
    <xdr:ext cx="1909765" cy="374141"/>
    <xdr:sp macro="" textlink="">
      <xdr:nvSpPr>
        <xdr:cNvPr id="7" name="TextBox 6"/>
        <xdr:cNvSpPr txBox="1"/>
      </xdr:nvSpPr>
      <xdr:spPr>
        <a:xfrm>
          <a:off x="661985" y="10053637"/>
          <a:ext cx="190976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−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</a:t>
          </a:r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𝟎</a:t>
          </a:r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𝝀+𝑷_𝟏 𝝁</a:t>
          </a:r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=𝟎</a:t>
          </a:r>
          <a:endParaRPr lang="ru-RU" sz="1800"/>
        </a:p>
      </xdr:txBody>
    </xdr:sp>
    <xdr:clientData/>
  </xdr:oneCellAnchor>
  <xdr:twoCellAnchor>
    <xdr:from>
      <xdr:col>2</xdr:col>
      <xdr:colOff>333789</xdr:colOff>
      <xdr:row>32</xdr:row>
      <xdr:rowOff>60877</xdr:rowOff>
    </xdr:from>
    <xdr:to>
      <xdr:col>8</xdr:col>
      <xdr:colOff>152400</xdr:colOff>
      <xdr:row>32</xdr:row>
      <xdr:rowOff>85725</xdr:rowOff>
    </xdr:to>
    <xdr:cxnSp macro="">
      <xdr:nvCxnSpPr>
        <xdr:cNvPr id="58" name="Прямая соединительная линия 57"/>
        <xdr:cNvCxnSpPr/>
      </xdr:nvCxnSpPr>
      <xdr:spPr>
        <a:xfrm>
          <a:off x="1552989" y="6299752"/>
          <a:ext cx="3476211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33336</xdr:colOff>
      <xdr:row>53</xdr:row>
      <xdr:rowOff>176212</xdr:rowOff>
    </xdr:from>
    <xdr:ext cx="4376739" cy="568297"/>
    <xdr:sp macro="" textlink="">
      <xdr:nvSpPr>
        <xdr:cNvPr id="8" name="TextBox 7"/>
        <xdr:cNvSpPr txBox="1"/>
      </xdr:nvSpPr>
      <xdr:spPr>
        <a:xfrm>
          <a:off x="642936" y="10434637"/>
          <a:ext cx="4376739" cy="5682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−</a:t>
          </a:r>
          <a:r>
            <a:rPr lang="en-US" sz="18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𝑷_𝒋 (𝒕)(𝝀+𝝁)+𝑷_(𝒋−𝟏) (𝒕)𝝀+𝑷_(𝒋+𝟏) (𝒕)𝝁</a:t>
          </a:r>
          <a:r>
            <a:rPr lang="en-US" sz="18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=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𝟎</a:t>
          </a:r>
          <a:endParaRPr lang="ru-RU" sz="1800" b="1">
            <a:effectLst/>
          </a:endParaRPr>
        </a:p>
        <a:p>
          <a:endParaRPr lang="ru-RU" sz="1100"/>
        </a:p>
      </xdr:txBody>
    </xdr:sp>
    <xdr:clientData/>
  </xdr:oneCellAnchor>
  <xdr:twoCellAnchor>
    <xdr:from>
      <xdr:col>2</xdr:col>
      <xdr:colOff>352425</xdr:colOff>
      <xdr:row>37</xdr:row>
      <xdr:rowOff>76200</xdr:rowOff>
    </xdr:from>
    <xdr:to>
      <xdr:col>8</xdr:col>
      <xdr:colOff>171036</xdr:colOff>
      <xdr:row>37</xdr:row>
      <xdr:rowOff>101048</xdr:rowOff>
    </xdr:to>
    <xdr:cxnSp macro="">
      <xdr:nvCxnSpPr>
        <xdr:cNvPr id="60" name="Прямая соединительная линия 59"/>
        <xdr:cNvCxnSpPr/>
      </xdr:nvCxnSpPr>
      <xdr:spPr>
        <a:xfrm>
          <a:off x="1571625" y="7267575"/>
          <a:ext cx="3476211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514350</xdr:colOff>
      <xdr:row>53</xdr:row>
      <xdr:rowOff>171450</xdr:rowOff>
    </xdr:from>
    <xdr:to>
      <xdr:col>6</xdr:col>
      <xdr:colOff>332961</xdr:colOff>
      <xdr:row>54</xdr:row>
      <xdr:rowOff>5798</xdr:rowOff>
    </xdr:to>
    <xdr:cxnSp macro="">
      <xdr:nvCxnSpPr>
        <xdr:cNvPr id="61" name="Прямая соединительная линия 60"/>
        <xdr:cNvCxnSpPr/>
      </xdr:nvCxnSpPr>
      <xdr:spPr>
        <a:xfrm>
          <a:off x="514350" y="10429875"/>
          <a:ext cx="3476211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542925</xdr:colOff>
      <xdr:row>55</xdr:row>
      <xdr:rowOff>180975</xdr:rowOff>
    </xdr:from>
    <xdr:to>
      <xdr:col>6</xdr:col>
      <xdr:colOff>361536</xdr:colOff>
      <xdr:row>56</xdr:row>
      <xdr:rowOff>15323</xdr:rowOff>
    </xdr:to>
    <xdr:cxnSp macro="">
      <xdr:nvCxnSpPr>
        <xdr:cNvPr id="63" name="Прямая соединительная линия 62"/>
        <xdr:cNvCxnSpPr/>
      </xdr:nvCxnSpPr>
      <xdr:spPr>
        <a:xfrm>
          <a:off x="542925" y="10820400"/>
          <a:ext cx="3476211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61912</xdr:colOff>
      <xdr:row>58</xdr:row>
      <xdr:rowOff>61912</xdr:rowOff>
    </xdr:from>
    <xdr:ext cx="914400" cy="662554"/>
    <xdr:sp macro="" textlink="">
      <xdr:nvSpPr>
        <xdr:cNvPr id="9" name="TextBox 8"/>
        <xdr:cNvSpPr txBox="1"/>
      </xdr:nvSpPr>
      <xdr:spPr>
        <a:xfrm>
          <a:off x="671512" y="11272837"/>
          <a:ext cx="914400" cy="662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ru-RU" sz="1800" b="1" i="0">
              <a:latin typeface="Cambria Math"/>
              <a:ea typeface="Cambria Math"/>
            </a:rPr>
            <a:t>𝝆=𝝀/𝝁</a:t>
          </a:r>
          <a:endParaRPr lang="ru-RU" sz="1800" b="1"/>
        </a:p>
      </xdr:txBody>
    </xdr:sp>
    <xdr:clientData/>
  </xdr:oneCellAnchor>
  <xdr:oneCellAnchor>
    <xdr:from>
      <xdr:col>1</xdr:col>
      <xdr:colOff>80962</xdr:colOff>
      <xdr:row>63</xdr:row>
      <xdr:rowOff>100012</xdr:rowOff>
    </xdr:from>
    <xdr:ext cx="914400" cy="374141"/>
    <xdr:sp macro="" textlink="">
      <xdr:nvSpPr>
        <xdr:cNvPr id="86" name="TextBox 85"/>
        <xdr:cNvSpPr txBox="1"/>
      </xdr:nvSpPr>
      <xdr:spPr>
        <a:xfrm>
          <a:off x="690562" y="12263437"/>
          <a:ext cx="914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ru-RU" sz="1800" b="1" i="0">
              <a:latin typeface="Cambria Math"/>
              <a:ea typeface="Cambria Math"/>
            </a:rPr>
            <a:t>𝝆</a:t>
          </a:r>
          <a:r>
            <a:rPr lang="en-US" sz="1800" b="1" i="0">
              <a:latin typeface="Cambria Math"/>
              <a:ea typeface="Cambria Math"/>
            </a:rPr>
            <a:t>&lt;</a:t>
          </a:r>
          <a:r>
            <a:rPr lang="ru-RU" sz="1800" b="1" i="0">
              <a:latin typeface="Cambria Math"/>
              <a:ea typeface="Cambria Math"/>
            </a:rPr>
            <a:t>𝟏</a:t>
          </a:r>
          <a:endParaRPr lang="ru-RU" sz="1800" b="1"/>
        </a:p>
      </xdr:txBody>
    </xdr:sp>
    <xdr:clientData/>
  </xdr:oneCellAnchor>
  <xdr:oneCellAnchor>
    <xdr:from>
      <xdr:col>1</xdr:col>
      <xdr:colOff>23812</xdr:colOff>
      <xdr:row>67</xdr:row>
      <xdr:rowOff>100012</xdr:rowOff>
    </xdr:from>
    <xdr:ext cx="1862138" cy="409023"/>
    <xdr:sp macro="" textlink="">
      <xdr:nvSpPr>
        <xdr:cNvPr id="10" name="TextBox 9"/>
        <xdr:cNvSpPr txBox="1"/>
      </xdr:nvSpPr>
      <xdr:spPr>
        <a:xfrm>
          <a:off x="633412" y="13025437"/>
          <a:ext cx="1862138" cy="4090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𝒋=(𝟏−</a:t>
          </a:r>
          <a:r>
            <a:rPr lang="en-US" sz="1800" b="1" i="0">
              <a:latin typeface="Cambria Math"/>
              <a:ea typeface="Cambria Math"/>
            </a:rPr>
            <a:t>𝝆) 𝝆^</a:t>
          </a:r>
          <a:r>
            <a:rPr lang="en-US" sz="1800" b="1" i="0">
              <a:latin typeface="Cambria Math"/>
            </a:rPr>
            <a:t>𝒋</a:t>
          </a:r>
          <a:endParaRPr lang="ru-RU" sz="1800" b="1"/>
        </a:p>
      </xdr:txBody>
    </xdr:sp>
    <xdr:clientData/>
  </xdr:oneCellAnchor>
  <xdr:oneCellAnchor>
    <xdr:from>
      <xdr:col>1</xdr:col>
      <xdr:colOff>33337</xdr:colOff>
      <xdr:row>71</xdr:row>
      <xdr:rowOff>90487</xdr:rowOff>
    </xdr:from>
    <xdr:ext cx="914400" cy="374141"/>
    <xdr:sp macro="" textlink="">
      <xdr:nvSpPr>
        <xdr:cNvPr id="95" name="TextBox 94"/>
        <xdr:cNvSpPr txBox="1"/>
      </xdr:nvSpPr>
      <xdr:spPr>
        <a:xfrm>
          <a:off x="642937" y="13777912"/>
          <a:ext cx="914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ru-RU" sz="1800" b="1" i="0">
              <a:latin typeface="Cambria Math"/>
              <a:ea typeface="Cambria Math"/>
            </a:rPr>
            <a:t>𝝆</a:t>
          </a:r>
          <a:r>
            <a:rPr lang="en-US" sz="1800" b="1" i="0">
              <a:latin typeface="Cambria Math"/>
              <a:ea typeface="Cambria Math"/>
            </a:rPr>
            <a:t>&gt;</a:t>
          </a:r>
          <a:r>
            <a:rPr lang="ru-RU" sz="1800" b="1" i="0">
              <a:latin typeface="Cambria Math"/>
              <a:ea typeface="Cambria Math"/>
            </a:rPr>
            <a:t>𝟏</a:t>
          </a:r>
          <a:endParaRPr lang="ru-RU" sz="1800" b="1"/>
        </a:p>
      </xdr:txBody>
    </xdr:sp>
    <xdr:clientData/>
  </xdr:oneCellAnchor>
  <xdr:oneCellAnchor>
    <xdr:from>
      <xdr:col>1</xdr:col>
      <xdr:colOff>4761</xdr:colOff>
      <xdr:row>75</xdr:row>
      <xdr:rowOff>33337</xdr:rowOff>
    </xdr:from>
    <xdr:ext cx="2595563" cy="659604"/>
    <xdr:sp macro="" textlink="">
      <xdr:nvSpPr>
        <xdr:cNvPr id="12" name="TextBox 11"/>
        <xdr:cNvSpPr txBox="1"/>
      </xdr:nvSpPr>
      <xdr:spPr>
        <a:xfrm>
          <a:off x="614361" y="14482762"/>
          <a:ext cx="2595563" cy="6596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𝒋</a:t>
          </a:r>
          <a:r>
            <a:rPr lang="ru-RU" sz="1800" b="1" i="0">
              <a:latin typeface="Cambria Math"/>
            </a:rPr>
            <a:t>=</a:t>
          </a:r>
          <a:r>
            <a:rPr lang="ru-RU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𝒋   〖𝐥𝐢𝐦〗┬(𝒏</a:t>
          </a:r>
          <a:r>
            <a:rPr lang="en-US" sz="1800" b="1" i="0">
              <a:latin typeface="Cambria Math"/>
              <a:ea typeface="Cambria Math"/>
            </a:rPr>
            <a:t>→∞)⁡〖(</a:t>
          </a:r>
          <a:r>
            <a:rPr lang="en-US" sz="1800" b="1" i="0">
              <a:latin typeface="Cambria Math"/>
            </a:rPr>
            <a:t>𝟏−</a:t>
          </a:r>
          <a:r>
            <a:rPr lang="en-US" sz="1800" b="1" i="0">
              <a:latin typeface="Cambria Math"/>
              <a:ea typeface="Cambria Math"/>
            </a:rPr>
            <a:t>𝝆)/(</a:t>
          </a:r>
          <a:r>
            <a:rPr lang="en-US" sz="1800" b="1" i="0">
              <a:latin typeface="Cambria Math"/>
            </a:rPr>
            <a:t>𝟏−</a:t>
          </a:r>
          <a:r>
            <a:rPr lang="en-US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𝒏 )=𝟎〗</a:t>
          </a:r>
          <a:endParaRPr lang="ru-RU" sz="1800" b="1"/>
        </a:p>
      </xdr:txBody>
    </xdr:sp>
    <xdr:clientData/>
  </xdr:oneCellAnchor>
  <xdr:oneCellAnchor>
    <xdr:from>
      <xdr:col>1</xdr:col>
      <xdr:colOff>14287</xdr:colOff>
      <xdr:row>80</xdr:row>
      <xdr:rowOff>42862</xdr:rowOff>
    </xdr:from>
    <xdr:ext cx="914400" cy="374141"/>
    <xdr:sp macro="" textlink="">
      <xdr:nvSpPr>
        <xdr:cNvPr id="96" name="TextBox 95"/>
        <xdr:cNvSpPr txBox="1"/>
      </xdr:nvSpPr>
      <xdr:spPr>
        <a:xfrm>
          <a:off x="623887" y="15444787"/>
          <a:ext cx="914400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ru-RU" sz="1800" b="1" i="0">
              <a:latin typeface="Cambria Math"/>
              <a:ea typeface="Cambria Math"/>
            </a:rPr>
            <a:t>𝝆=𝟏</a:t>
          </a:r>
          <a:endParaRPr lang="ru-RU" sz="1800" b="1"/>
        </a:p>
      </xdr:txBody>
    </xdr:sp>
    <xdr:clientData/>
  </xdr:oneCellAnchor>
  <xdr:twoCellAnchor>
    <xdr:from>
      <xdr:col>1</xdr:col>
      <xdr:colOff>57150</xdr:colOff>
      <xdr:row>67</xdr:row>
      <xdr:rowOff>38100</xdr:rowOff>
    </xdr:from>
    <xdr:to>
      <xdr:col>4</xdr:col>
      <xdr:colOff>0</xdr:colOff>
      <xdr:row>69</xdr:row>
      <xdr:rowOff>180975</xdr:rowOff>
    </xdr:to>
    <xdr:sp macro="" textlink="">
      <xdr:nvSpPr>
        <xdr:cNvPr id="14" name="Прямоугольник 13"/>
        <xdr:cNvSpPr/>
      </xdr:nvSpPr>
      <xdr:spPr>
        <a:xfrm>
          <a:off x="666750" y="12963525"/>
          <a:ext cx="1771650" cy="52387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oneCellAnchor>
    <xdr:from>
      <xdr:col>6</xdr:col>
      <xdr:colOff>23811</xdr:colOff>
      <xdr:row>66</xdr:row>
      <xdr:rowOff>157162</xdr:rowOff>
    </xdr:from>
    <xdr:ext cx="3925399" cy="795026"/>
    <xdr:sp macro="" textlink="">
      <xdr:nvSpPr>
        <xdr:cNvPr id="16" name="TextBox 15"/>
        <xdr:cNvSpPr txBox="1"/>
      </xdr:nvSpPr>
      <xdr:spPr>
        <a:xfrm>
          <a:off x="3672619" y="12906008"/>
          <a:ext cx="3925399" cy="7950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1" i="0">
              <a:solidFill>
                <a:srgbClr val="FF0000"/>
              </a:solidFill>
              <a:latin typeface="Cambria Math"/>
            </a:rPr>
            <a:t>𝑲</a:t>
          </a:r>
          <a:r>
            <a:rPr lang="ru-RU" sz="1600" b="1" i="0">
              <a:solidFill>
                <a:srgbClr val="FF0000"/>
              </a:solidFill>
              <a:latin typeface="Cambria Math"/>
            </a:rPr>
            <a:t>_</a:t>
          </a:r>
          <a:r>
            <a:rPr lang="en-US" sz="1600" b="1" i="0">
              <a:solidFill>
                <a:srgbClr val="FF0000"/>
              </a:solidFill>
              <a:latin typeface="Cambria Math"/>
            </a:rPr>
            <a:t>𝒎𝒊𝒅=(𝟏−</a:t>
          </a:r>
          <a:r>
            <a:rPr lang="en-US" sz="1600" b="1" i="0">
              <a:solidFill>
                <a:srgbClr val="FF0000"/>
              </a:solidFill>
              <a:latin typeface="Cambria Math"/>
              <a:ea typeface="Cambria Math"/>
            </a:rPr>
            <a:t>𝝆) </a:t>
          </a:r>
          <a:r>
            <a:rPr lang="en-US" sz="1600" b="1" i="0">
              <a:solidFill>
                <a:srgbClr val="FF0000"/>
              </a:solidFill>
              <a:latin typeface="Cambria Math"/>
            </a:rPr>
            <a:t>∑_(𝒋=𝟎)</a:t>
          </a:r>
          <a:r>
            <a:rPr lang="en-US" sz="1600" b="1" i="0">
              <a:solidFill>
                <a:srgbClr val="FF0000"/>
              </a:solidFill>
              <a:latin typeface="Cambria Math"/>
              <a:ea typeface="Cambria Math"/>
            </a:rPr>
            <a:t>^∞▒〖</a:t>
          </a:r>
          <a:r>
            <a:rPr lang="en-US" sz="1600" b="1" i="0">
              <a:solidFill>
                <a:srgbClr val="FF0000"/>
              </a:solidFill>
              <a:latin typeface="Cambria Math"/>
            </a:rPr>
            <a:t>𝒋</a:t>
          </a:r>
          <a:r>
            <a:rPr lang="en-US" sz="1600" b="1" i="0">
              <a:solidFill>
                <a:srgbClr val="FF0000"/>
              </a:solidFill>
              <a:latin typeface="Cambria Math"/>
              <a:ea typeface="Cambria Math"/>
            </a:rPr>
            <a:t>𝝆^</a:t>
          </a:r>
          <a:r>
            <a:rPr lang="en-US" sz="1600" b="1" i="0">
              <a:solidFill>
                <a:srgbClr val="FF0000"/>
              </a:solidFill>
              <a:latin typeface="Cambria Math"/>
            </a:rPr>
            <a:t>𝒋 </a:t>
          </a:r>
          <a:r>
            <a:rPr lang="en-US" sz="1600" b="1" i="0">
              <a:solidFill>
                <a:srgbClr val="FF0000"/>
              </a:solidFill>
              <a:latin typeface="Cambria Math"/>
              <a:ea typeface="Cambria Math"/>
            </a:rPr>
            <a:t>〗</a:t>
          </a:r>
          <a:r>
            <a:rPr lang="ru-RU" sz="1600" b="1" i="0">
              <a:solidFill>
                <a:srgbClr val="FF0000"/>
              </a:solidFill>
              <a:latin typeface="Cambria Math"/>
            </a:rPr>
            <a:t>=</a:t>
          </a:r>
          <a:r>
            <a:rPr lang="ru-RU" sz="1600" b="1" i="0">
              <a:solidFill>
                <a:srgbClr val="FF0000"/>
              </a:solidFill>
              <a:latin typeface="Cambria Math"/>
              <a:ea typeface="Cambria Math"/>
            </a:rPr>
            <a:t>𝝆/(</a:t>
          </a:r>
          <a:r>
            <a:rPr lang="ru-RU" sz="1600" b="1" i="0">
              <a:solidFill>
                <a:srgbClr val="FF0000"/>
              </a:solidFill>
              <a:latin typeface="Cambria Math"/>
            </a:rPr>
            <a:t>𝟏−</a:t>
          </a:r>
          <a:r>
            <a:rPr lang="ru-RU" sz="1600" b="1" i="0">
              <a:solidFill>
                <a:srgbClr val="FF0000"/>
              </a:solidFill>
              <a:latin typeface="Cambria Math"/>
              <a:ea typeface="Cambria Math"/>
            </a:rPr>
            <a:t>𝝆)=𝝀/(𝝁−𝝀)</a:t>
          </a:r>
          <a:endParaRPr lang="ru-RU" sz="1600" b="1">
            <a:solidFill>
              <a:srgbClr val="FF0000"/>
            </a:solidFill>
          </a:endParaRPr>
        </a:p>
      </xdr:txBody>
    </xdr:sp>
    <xdr:clientData/>
  </xdr:oneCellAnchor>
  <xdr:twoCellAnchor>
    <xdr:from>
      <xdr:col>4</xdr:col>
      <xdr:colOff>321652</xdr:colOff>
      <xdr:row>68</xdr:row>
      <xdr:rowOff>30773</xdr:rowOff>
    </xdr:from>
    <xdr:to>
      <xdr:col>5</xdr:col>
      <xdr:colOff>283552</xdr:colOff>
      <xdr:row>69</xdr:row>
      <xdr:rowOff>49823</xdr:rowOff>
    </xdr:to>
    <xdr:sp macro="" textlink="">
      <xdr:nvSpPr>
        <xdr:cNvPr id="17" name="Стрелка вправо 16"/>
        <xdr:cNvSpPr/>
      </xdr:nvSpPr>
      <xdr:spPr>
        <a:xfrm>
          <a:off x="2754190" y="13160619"/>
          <a:ext cx="570035" cy="209550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6</xdr:col>
      <xdr:colOff>87189</xdr:colOff>
      <xdr:row>66</xdr:row>
      <xdr:rowOff>178777</xdr:rowOff>
    </xdr:from>
    <xdr:to>
      <xdr:col>12</xdr:col>
      <xdr:colOff>263770</xdr:colOff>
      <xdr:row>71</xdr:row>
      <xdr:rowOff>7327</xdr:rowOff>
    </xdr:to>
    <xdr:sp macro="" textlink="">
      <xdr:nvSpPr>
        <xdr:cNvPr id="18" name="Прямоугольник 17"/>
        <xdr:cNvSpPr/>
      </xdr:nvSpPr>
      <xdr:spPr>
        <a:xfrm>
          <a:off x="3735997" y="12927623"/>
          <a:ext cx="3825388" cy="781050"/>
        </a:xfrm>
        <a:prstGeom prst="rect">
          <a:avLst/>
        </a:prstGeom>
        <a:noFill/>
        <a:ln>
          <a:solidFill>
            <a:srgbClr val="0070C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20516</xdr:colOff>
      <xdr:row>68</xdr:row>
      <xdr:rowOff>49823</xdr:rowOff>
    </xdr:from>
    <xdr:to>
      <xdr:col>13</xdr:col>
      <xdr:colOff>391991</xdr:colOff>
      <xdr:row>68</xdr:row>
      <xdr:rowOff>154598</xdr:rowOff>
    </xdr:to>
    <xdr:sp macro="" textlink="">
      <xdr:nvSpPr>
        <xdr:cNvPr id="19" name="Стрелка влево 18"/>
        <xdr:cNvSpPr/>
      </xdr:nvSpPr>
      <xdr:spPr>
        <a:xfrm>
          <a:off x="7926266" y="13179669"/>
          <a:ext cx="371475" cy="10477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31</xdr:col>
      <xdr:colOff>105387</xdr:colOff>
      <xdr:row>9</xdr:row>
      <xdr:rowOff>97195</xdr:rowOff>
    </xdr:from>
    <xdr:to>
      <xdr:col>32</xdr:col>
      <xdr:colOff>450529</xdr:colOff>
      <xdr:row>9</xdr:row>
      <xdr:rowOff>111038</xdr:rowOff>
    </xdr:to>
    <xdr:cxnSp macro="">
      <xdr:nvCxnSpPr>
        <xdr:cNvPr id="97" name="Прямая со стрелкой 96"/>
        <xdr:cNvCxnSpPr/>
      </xdr:nvCxnSpPr>
      <xdr:spPr>
        <a:xfrm>
          <a:off x="6234517" y="1911086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526154</xdr:colOff>
      <xdr:row>9</xdr:row>
      <xdr:rowOff>161798</xdr:rowOff>
    </xdr:from>
    <xdr:to>
      <xdr:col>35</xdr:col>
      <xdr:colOff>258382</xdr:colOff>
      <xdr:row>9</xdr:row>
      <xdr:rowOff>175641</xdr:rowOff>
    </xdr:to>
    <xdr:cxnSp macro="">
      <xdr:nvCxnSpPr>
        <xdr:cNvPr id="98" name="Прямая со стрелкой 97"/>
        <xdr:cNvCxnSpPr/>
      </xdr:nvCxnSpPr>
      <xdr:spPr>
        <a:xfrm>
          <a:off x="20752284" y="1975689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8247</xdr:colOff>
      <xdr:row>11</xdr:row>
      <xdr:rowOff>124290</xdr:rowOff>
    </xdr:from>
    <xdr:to>
      <xdr:col>35</xdr:col>
      <xdr:colOff>226322</xdr:colOff>
      <xdr:row>11</xdr:row>
      <xdr:rowOff>143577</xdr:rowOff>
    </xdr:to>
    <xdr:cxnSp macro="">
      <xdr:nvCxnSpPr>
        <xdr:cNvPr id="99" name="Прямая со стрелкой 98"/>
        <xdr:cNvCxnSpPr/>
      </xdr:nvCxnSpPr>
      <xdr:spPr>
        <a:xfrm flipH="1" flipV="1">
          <a:off x="20847290" y="2319181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137444</xdr:colOff>
      <xdr:row>11</xdr:row>
      <xdr:rowOff>187238</xdr:rowOff>
    </xdr:from>
    <xdr:to>
      <xdr:col>32</xdr:col>
      <xdr:colOff>355520</xdr:colOff>
      <xdr:row>12</xdr:row>
      <xdr:rowOff>16025</xdr:rowOff>
    </xdr:to>
    <xdr:cxnSp macro="">
      <xdr:nvCxnSpPr>
        <xdr:cNvPr id="100" name="Прямая со стрелкой 99"/>
        <xdr:cNvCxnSpPr/>
      </xdr:nvCxnSpPr>
      <xdr:spPr>
        <a:xfrm flipH="1" flipV="1">
          <a:off x="6266574" y="238212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215301</xdr:colOff>
      <xdr:row>9</xdr:row>
      <xdr:rowOff>79149</xdr:rowOff>
    </xdr:from>
    <xdr:to>
      <xdr:col>22</xdr:col>
      <xdr:colOff>81951</xdr:colOff>
      <xdr:row>11</xdr:row>
      <xdr:rowOff>126774</xdr:rowOff>
    </xdr:to>
    <xdr:sp macro="" textlink="">
      <xdr:nvSpPr>
        <xdr:cNvPr id="102" name="Овал 101"/>
        <xdr:cNvSpPr/>
      </xdr:nvSpPr>
      <xdr:spPr>
        <a:xfrm>
          <a:off x="215301" y="1893040"/>
          <a:ext cx="479563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30</xdr:col>
      <xdr:colOff>240196</xdr:colOff>
      <xdr:row>9</xdr:row>
      <xdr:rowOff>74544</xdr:rowOff>
    </xdr:from>
    <xdr:to>
      <xdr:col>31</xdr:col>
      <xdr:colOff>231913</xdr:colOff>
      <xdr:row>12</xdr:row>
      <xdr:rowOff>74544</xdr:rowOff>
    </xdr:to>
    <xdr:sp macro="" textlink="">
      <xdr:nvSpPr>
        <xdr:cNvPr id="103" name="Овал 102"/>
        <xdr:cNvSpPr/>
      </xdr:nvSpPr>
      <xdr:spPr>
        <a:xfrm>
          <a:off x="18627587" y="1888435"/>
          <a:ext cx="604630" cy="57150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800" b="1" i="1">
              <a:solidFill>
                <a:sysClr val="windowText" lastClr="000000"/>
              </a:solidFill>
            </a:rPr>
            <a:t>k</a:t>
          </a:r>
          <a:endParaRPr lang="ru-RU" sz="18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23</xdr:col>
      <xdr:colOff>304339</xdr:colOff>
      <xdr:row>9</xdr:row>
      <xdr:rowOff>117249</xdr:rowOff>
    </xdr:from>
    <xdr:to>
      <xdr:col>24</xdr:col>
      <xdr:colOff>167676</xdr:colOff>
      <xdr:row>11</xdr:row>
      <xdr:rowOff>164874</xdr:rowOff>
    </xdr:to>
    <xdr:sp macro="" textlink="">
      <xdr:nvSpPr>
        <xdr:cNvPr id="104" name="Овал 103"/>
        <xdr:cNvSpPr/>
      </xdr:nvSpPr>
      <xdr:spPr>
        <a:xfrm>
          <a:off x="1530165" y="1931140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22</xdr:col>
      <xdr:colOff>44094</xdr:colOff>
      <xdr:row>9</xdr:row>
      <xdr:rowOff>93881</xdr:rowOff>
    </xdr:from>
    <xdr:to>
      <xdr:col>23</xdr:col>
      <xdr:colOff>389236</xdr:colOff>
      <xdr:row>9</xdr:row>
      <xdr:rowOff>107724</xdr:rowOff>
    </xdr:to>
    <xdr:cxnSp macro="">
      <xdr:nvCxnSpPr>
        <xdr:cNvPr id="105" name="Прямая со стрелкой 104"/>
        <xdr:cNvCxnSpPr/>
      </xdr:nvCxnSpPr>
      <xdr:spPr>
        <a:xfrm>
          <a:off x="657007" y="1907772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166677</xdr:colOff>
      <xdr:row>9</xdr:row>
      <xdr:rowOff>150202</xdr:rowOff>
    </xdr:from>
    <xdr:to>
      <xdr:col>25</xdr:col>
      <xdr:colOff>511819</xdr:colOff>
      <xdr:row>9</xdr:row>
      <xdr:rowOff>164045</xdr:rowOff>
    </xdr:to>
    <xdr:cxnSp macro="">
      <xdr:nvCxnSpPr>
        <xdr:cNvPr id="106" name="Прямая со стрелкой 105"/>
        <xdr:cNvCxnSpPr/>
      </xdr:nvCxnSpPr>
      <xdr:spPr>
        <a:xfrm>
          <a:off x="2005416" y="1964093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372086</xdr:colOff>
      <xdr:row>9</xdr:row>
      <xdr:rowOff>165112</xdr:rowOff>
    </xdr:from>
    <xdr:to>
      <xdr:col>28</xdr:col>
      <xdr:colOff>104315</xdr:colOff>
      <xdr:row>9</xdr:row>
      <xdr:rowOff>178955</xdr:rowOff>
    </xdr:to>
    <xdr:cxnSp macro="">
      <xdr:nvCxnSpPr>
        <xdr:cNvPr id="107" name="Прямая со стрелкой 106"/>
        <xdr:cNvCxnSpPr/>
      </xdr:nvCxnSpPr>
      <xdr:spPr>
        <a:xfrm>
          <a:off x="3436651" y="1979003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69526</xdr:colOff>
      <xdr:row>11</xdr:row>
      <xdr:rowOff>111038</xdr:rowOff>
    </xdr:from>
    <xdr:to>
      <xdr:col>23</xdr:col>
      <xdr:colOff>287602</xdr:colOff>
      <xdr:row>11</xdr:row>
      <xdr:rowOff>130325</xdr:rowOff>
    </xdr:to>
    <xdr:cxnSp macro="">
      <xdr:nvCxnSpPr>
        <xdr:cNvPr id="108" name="Прямая со стрелкой 107"/>
        <xdr:cNvCxnSpPr/>
      </xdr:nvCxnSpPr>
      <xdr:spPr>
        <a:xfrm flipH="1" flipV="1">
          <a:off x="682439" y="230592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197079</xdr:colOff>
      <xdr:row>11</xdr:row>
      <xdr:rowOff>106068</xdr:rowOff>
    </xdr:from>
    <xdr:to>
      <xdr:col>25</xdr:col>
      <xdr:colOff>415155</xdr:colOff>
      <xdr:row>11</xdr:row>
      <xdr:rowOff>125355</xdr:rowOff>
    </xdr:to>
    <xdr:cxnSp macro="">
      <xdr:nvCxnSpPr>
        <xdr:cNvPr id="109" name="Прямая со стрелкой 108"/>
        <xdr:cNvCxnSpPr/>
      </xdr:nvCxnSpPr>
      <xdr:spPr>
        <a:xfrm flipH="1" flipV="1">
          <a:off x="2035818" y="230095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43023</xdr:colOff>
      <xdr:row>11</xdr:row>
      <xdr:rowOff>117664</xdr:rowOff>
    </xdr:from>
    <xdr:to>
      <xdr:col>30</xdr:col>
      <xdr:colOff>261099</xdr:colOff>
      <xdr:row>11</xdr:row>
      <xdr:rowOff>136951</xdr:rowOff>
    </xdr:to>
    <xdr:cxnSp macro="">
      <xdr:nvCxnSpPr>
        <xdr:cNvPr id="110" name="Прямая со стрелкой 109"/>
        <xdr:cNvCxnSpPr/>
      </xdr:nvCxnSpPr>
      <xdr:spPr>
        <a:xfrm flipH="1" flipV="1">
          <a:off x="4946327" y="2312555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22560</xdr:colOff>
      <xdr:row>9</xdr:row>
      <xdr:rowOff>146890</xdr:rowOff>
    </xdr:from>
    <xdr:to>
      <xdr:col>30</xdr:col>
      <xdr:colOff>367702</xdr:colOff>
      <xdr:row>9</xdr:row>
      <xdr:rowOff>160733</xdr:rowOff>
    </xdr:to>
    <xdr:cxnSp macro="">
      <xdr:nvCxnSpPr>
        <xdr:cNvPr id="111" name="Прямая со стрелкой 110"/>
        <xdr:cNvCxnSpPr/>
      </xdr:nvCxnSpPr>
      <xdr:spPr>
        <a:xfrm>
          <a:off x="4925864" y="1960781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374327</xdr:colOff>
      <xdr:row>11</xdr:row>
      <xdr:rowOff>117664</xdr:rowOff>
    </xdr:from>
    <xdr:to>
      <xdr:col>27</xdr:col>
      <xdr:colOff>592403</xdr:colOff>
      <xdr:row>11</xdr:row>
      <xdr:rowOff>136951</xdr:rowOff>
    </xdr:to>
    <xdr:cxnSp macro="">
      <xdr:nvCxnSpPr>
        <xdr:cNvPr id="112" name="Прямая со стрелкой 111"/>
        <xdr:cNvCxnSpPr/>
      </xdr:nvCxnSpPr>
      <xdr:spPr>
        <a:xfrm flipH="1" flipV="1">
          <a:off x="3438892" y="2312555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473305</xdr:colOff>
      <xdr:row>9</xdr:row>
      <xdr:rowOff>125532</xdr:rowOff>
    </xdr:from>
    <xdr:to>
      <xdr:col>26</xdr:col>
      <xdr:colOff>336642</xdr:colOff>
      <xdr:row>11</xdr:row>
      <xdr:rowOff>173157</xdr:rowOff>
    </xdr:to>
    <xdr:sp macro="" textlink="">
      <xdr:nvSpPr>
        <xdr:cNvPr id="113" name="Овал 112"/>
        <xdr:cNvSpPr/>
      </xdr:nvSpPr>
      <xdr:spPr>
        <a:xfrm>
          <a:off x="2924957" y="1939423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28</xdr:col>
      <xdr:colOff>24848</xdr:colOff>
      <xdr:row>10</xdr:row>
      <xdr:rowOff>165652</xdr:rowOff>
    </xdr:from>
    <xdr:to>
      <xdr:col>28</xdr:col>
      <xdr:colOff>596348</xdr:colOff>
      <xdr:row>10</xdr:row>
      <xdr:rowOff>165652</xdr:rowOff>
    </xdr:to>
    <xdr:cxnSp macro="">
      <xdr:nvCxnSpPr>
        <xdr:cNvPr id="114" name="Прямая соединительная линия 113"/>
        <xdr:cNvCxnSpPr/>
      </xdr:nvCxnSpPr>
      <xdr:spPr>
        <a:xfrm>
          <a:off x="4315239" y="2170043"/>
          <a:ext cx="571500" cy="0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249733</xdr:colOff>
      <xdr:row>9</xdr:row>
      <xdr:rowOff>66675</xdr:rowOff>
    </xdr:from>
    <xdr:to>
      <xdr:col>36</xdr:col>
      <xdr:colOff>214118</xdr:colOff>
      <xdr:row>12</xdr:row>
      <xdr:rowOff>47625</xdr:rowOff>
    </xdr:to>
    <xdr:sp macro="" textlink="">
      <xdr:nvSpPr>
        <xdr:cNvPr id="118" name="Овал 117"/>
        <xdr:cNvSpPr/>
      </xdr:nvSpPr>
      <xdr:spPr>
        <a:xfrm>
          <a:off x="21701690" y="1880566"/>
          <a:ext cx="577298" cy="55245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800" b="1" i="1">
              <a:solidFill>
                <a:sysClr val="windowText" lastClr="000000"/>
              </a:solidFill>
            </a:rPr>
            <a:t>N</a:t>
          </a:r>
          <a:endParaRPr lang="ru-RU" sz="1800" b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22</xdr:col>
      <xdr:colOff>438150</xdr:colOff>
      <xdr:row>7</xdr:row>
      <xdr:rowOff>9525</xdr:rowOff>
    </xdr:from>
    <xdr:ext cx="325538" cy="419025"/>
    <xdr:sp macro="" textlink="">
      <xdr:nvSpPr>
        <xdr:cNvPr id="119" name="TextBox 118"/>
        <xdr:cNvSpPr txBox="1"/>
      </xdr:nvSpPr>
      <xdr:spPr>
        <a:xfrm>
          <a:off x="1051063" y="14424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22</xdr:col>
      <xdr:colOff>371475</xdr:colOff>
      <xdr:row>11</xdr:row>
      <xdr:rowOff>95250</xdr:rowOff>
    </xdr:from>
    <xdr:ext cx="332463" cy="419025"/>
    <xdr:sp macro="" textlink="">
      <xdr:nvSpPr>
        <xdr:cNvPr id="120" name="TextBox 119"/>
        <xdr:cNvSpPr txBox="1"/>
      </xdr:nvSpPr>
      <xdr:spPr>
        <a:xfrm>
          <a:off x="984388" y="2290141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27</xdr:col>
      <xdr:colOff>19050</xdr:colOff>
      <xdr:row>11</xdr:row>
      <xdr:rowOff>152400</xdr:rowOff>
    </xdr:from>
    <xdr:ext cx="332463" cy="419025"/>
    <xdr:sp macro="" textlink="">
      <xdr:nvSpPr>
        <xdr:cNvPr id="121" name="TextBox 120"/>
        <xdr:cNvSpPr txBox="1"/>
      </xdr:nvSpPr>
      <xdr:spPr>
        <a:xfrm>
          <a:off x="3696528" y="2347291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24</xdr:col>
      <xdr:colOff>419100</xdr:colOff>
      <xdr:row>11</xdr:row>
      <xdr:rowOff>152400</xdr:rowOff>
    </xdr:from>
    <xdr:ext cx="332463" cy="419025"/>
    <xdr:sp macro="" textlink="">
      <xdr:nvSpPr>
        <xdr:cNvPr id="122" name="TextBox 121"/>
        <xdr:cNvSpPr txBox="1"/>
      </xdr:nvSpPr>
      <xdr:spPr>
        <a:xfrm>
          <a:off x="2257839" y="2347291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31</xdr:col>
      <xdr:colOff>371475</xdr:colOff>
      <xdr:row>11</xdr:row>
      <xdr:rowOff>180975</xdr:rowOff>
    </xdr:from>
    <xdr:ext cx="332463" cy="419025"/>
    <xdr:sp macro="" textlink="">
      <xdr:nvSpPr>
        <xdr:cNvPr id="123" name="TextBox 122"/>
        <xdr:cNvSpPr txBox="1"/>
      </xdr:nvSpPr>
      <xdr:spPr>
        <a:xfrm>
          <a:off x="6500605" y="2375866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29</xdr:col>
      <xdr:colOff>314325</xdr:colOff>
      <xdr:row>11</xdr:row>
      <xdr:rowOff>142875</xdr:rowOff>
    </xdr:from>
    <xdr:ext cx="332463" cy="419025"/>
    <xdr:sp macro="" textlink="">
      <xdr:nvSpPr>
        <xdr:cNvPr id="124" name="TextBox 123"/>
        <xdr:cNvSpPr txBox="1"/>
      </xdr:nvSpPr>
      <xdr:spPr>
        <a:xfrm>
          <a:off x="5217629" y="2337766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34</xdr:col>
      <xdr:colOff>265056</xdr:colOff>
      <xdr:row>11</xdr:row>
      <xdr:rowOff>123825</xdr:rowOff>
    </xdr:from>
    <xdr:ext cx="332463" cy="419025"/>
    <xdr:sp macro="" textlink="">
      <xdr:nvSpPr>
        <xdr:cNvPr id="125" name="TextBox 124"/>
        <xdr:cNvSpPr txBox="1"/>
      </xdr:nvSpPr>
      <xdr:spPr>
        <a:xfrm>
          <a:off x="21104099" y="2318716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27</xdr:col>
      <xdr:colOff>28575</xdr:colOff>
      <xdr:row>7</xdr:row>
      <xdr:rowOff>123825</xdr:rowOff>
    </xdr:from>
    <xdr:ext cx="325538" cy="419025"/>
    <xdr:sp macro="" textlink="">
      <xdr:nvSpPr>
        <xdr:cNvPr id="127" name="TextBox 126"/>
        <xdr:cNvSpPr txBox="1"/>
      </xdr:nvSpPr>
      <xdr:spPr>
        <a:xfrm>
          <a:off x="3706053" y="15567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24</xdr:col>
      <xdr:colOff>409575</xdr:colOff>
      <xdr:row>7</xdr:row>
      <xdr:rowOff>76200</xdr:rowOff>
    </xdr:from>
    <xdr:ext cx="325538" cy="419025"/>
    <xdr:sp macro="" textlink="">
      <xdr:nvSpPr>
        <xdr:cNvPr id="128" name="TextBox 127"/>
        <xdr:cNvSpPr txBox="1"/>
      </xdr:nvSpPr>
      <xdr:spPr>
        <a:xfrm>
          <a:off x="2248314" y="1509091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31</xdr:col>
      <xdr:colOff>419100</xdr:colOff>
      <xdr:row>7</xdr:row>
      <xdr:rowOff>104775</xdr:rowOff>
    </xdr:from>
    <xdr:ext cx="325538" cy="419025"/>
    <xdr:sp macro="" textlink="">
      <xdr:nvSpPr>
        <xdr:cNvPr id="129" name="TextBox 128"/>
        <xdr:cNvSpPr txBox="1"/>
      </xdr:nvSpPr>
      <xdr:spPr>
        <a:xfrm>
          <a:off x="6548230" y="153766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29</xdr:col>
      <xdr:colOff>285750</xdr:colOff>
      <xdr:row>7</xdr:row>
      <xdr:rowOff>123825</xdr:rowOff>
    </xdr:from>
    <xdr:ext cx="325538" cy="419025"/>
    <xdr:sp macro="" textlink="">
      <xdr:nvSpPr>
        <xdr:cNvPr id="130" name="TextBox 129"/>
        <xdr:cNvSpPr txBox="1"/>
      </xdr:nvSpPr>
      <xdr:spPr>
        <a:xfrm>
          <a:off x="5189054" y="15567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34</xdr:col>
      <xdr:colOff>137918</xdr:colOff>
      <xdr:row>7</xdr:row>
      <xdr:rowOff>104775</xdr:rowOff>
    </xdr:from>
    <xdr:ext cx="325538" cy="419025"/>
    <xdr:sp macro="" textlink="">
      <xdr:nvSpPr>
        <xdr:cNvPr id="132" name="TextBox 131"/>
        <xdr:cNvSpPr txBox="1"/>
      </xdr:nvSpPr>
      <xdr:spPr>
        <a:xfrm>
          <a:off x="20976961" y="153766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twoCellAnchor>
    <xdr:from>
      <xdr:col>21</xdr:col>
      <xdr:colOff>114301</xdr:colOff>
      <xdr:row>7</xdr:row>
      <xdr:rowOff>19050</xdr:rowOff>
    </xdr:from>
    <xdr:to>
      <xdr:col>36</xdr:col>
      <xdr:colOff>447261</xdr:colOff>
      <xdr:row>14</xdr:row>
      <xdr:rowOff>114300</xdr:rowOff>
    </xdr:to>
    <xdr:sp macro="" textlink="">
      <xdr:nvSpPr>
        <xdr:cNvPr id="134" name="Прямоугольник 133"/>
        <xdr:cNvSpPr/>
      </xdr:nvSpPr>
      <xdr:spPr>
        <a:xfrm>
          <a:off x="12985475" y="1451941"/>
          <a:ext cx="9526656" cy="1428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32</xdr:col>
      <xdr:colOff>430696</xdr:colOff>
      <xdr:row>10</xdr:row>
      <xdr:rowOff>173935</xdr:rowOff>
    </xdr:from>
    <xdr:to>
      <xdr:col>33</xdr:col>
      <xdr:colOff>480391</xdr:colOff>
      <xdr:row>11</xdr:row>
      <xdr:rowOff>1</xdr:rowOff>
    </xdr:to>
    <xdr:cxnSp macro="">
      <xdr:nvCxnSpPr>
        <xdr:cNvPr id="135" name="Прямая соединительная линия 134"/>
        <xdr:cNvCxnSpPr/>
      </xdr:nvCxnSpPr>
      <xdr:spPr>
        <a:xfrm>
          <a:off x="20043913" y="2178326"/>
          <a:ext cx="662608" cy="16566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24</xdr:col>
      <xdr:colOff>100012</xdr:colOff>
      <xdr:row>18</xdr:row>
      <xdr:rowOff>119062</xdr:rowOff>
    </xdr:from>
    <xdr:ext cx="5091113" cy="570221"/>
    <xdr:sp macro="" textlink="">
      <xdr:nvSpPr>
        <xdr:cNvPr id="136" name="TextBox 135"/>
        <xdr:cNvSpPr txBox="1"/>
      </xdr:nvSpPr>
      <xdr:spPr>
        <a:xfrm>
          <a:off x="712925" y="5552453"/>
          <a:ext cx="5091113" cy="57022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lim</a:t>
          </a:r>
          <a:r>
            <a:rPr lang="en-US" sz="1600" b="1" i="0">
              <a:latin typeface="Cambria Math"/>
            </a:rPr>
            <a:t>┬(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∆𝒕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Cambria Math"/>
              <a:cs typeface="+mn-cs"/>
            </a:rPr>
            <a:t>→𝟎)⁡〖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𝟎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 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𝒕+∆𝒕)−𝑷_𝟎 (𝒕)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)/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∆𝒕〗</a:t>
          </a:r>
          <a:r>
            <a:rPr lang="en-US" sz="1600" b="1" i="0">
              <a:latin typeface="Cambria Math"/>
            </a:rPr>
            <a:t>=(𝒅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𝑷_𝟎 (𝒕))/</a:t>
          </a:r>
          <a:r>
            <a:rPr lang="en-US" sz="1600" b="1" i="0">
              <a:latin typeface="Cambria Math"/>
            </a:rPr>
            <a:t>𝒅𝒕=</a:t>
          </a:r>
          <a:r>
            <a:rPr lang="ru-RU" sz="1600" b="1" i="0">
              <a:latin typeface="Cambria Math"/>
            </a:rPr>
            <a:t>−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𝑷_𝟎 (𝒕)𝝀</a:t>
          </a:r>
          <a:r>
            <a:rPr lang="en-US" sz="1600" b="1" i="0">
              <a:latin typeface="Cambria Math"/>
            </a:rPr>
            <a:t>+𝑷_𝟏 (𝒕)</a:t>
          </a:r>
          <a:r>
            <a:rPr lang="en-US" sz="1600" b="1" i="0">
              <a:latin typeface="Cambria Math"/>
              <a:ea typeface="Cambria Math"/>
            </a:rPr>
            <a:t>𝝁</a:t>
          </a:r>
          <a:endParaRPr lang="ru-RU" sz="1600" b="1"/>
        </a:p>
      </xdr:txBody>
    </xdr:sp>
    <xdr:clientData/>
  </xdr:oneCellAnchor>
  <xdr:oneCellAnchor>
    <xdr:from>
      <xdr:col>24</xdr:col>
      <xdr:colOff>176211</xdr:colOff>
      <xdr:row>23</xdr:row>
      <xdr:rowOff>90486</xdr:rowOff>
    </xdr:from>
    <xdr:ext cx="6672264" cy="595313"/>
    <xdr:sp macro="" textlink="">
      <xdr:nvSpPr>
        <xdr:cNvPr id="137" name="TextBox 136"/>
        <xdr:cNvSpPr txBox="1"/>
      </xdr:nvSpPr>
      <xdr:spPr>
        <a:xfrm>
          <a:off x="789124" y="6526073"/>
          <a:ext cx="6672264" cy="5953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0" i="0">
              <a:latin typeface="Cambria Math"/>
            </a:rPr>
            <a:t>lim</a:t>
          </a:r>
          <a:r>
            <a:rPr lang="en-US" sz="1600" b="1" i="0">
              <a:latin typeface="Cambria Math"/>
            </a:rPr>
            <a:t>┬(</a:t>
          </a:r>
          <a:r>
            <a:rPr lang="en-US" sz="1600" b="0" i="0">
              <a:latin typeface="Cambria Math"/>
              <a:ea typeface="Cambria Math"/>
            </a:rPr>
            <a:t>∆</a:t>
          </a:r>
          <a:r>
            <a:rPr lang="en-US" sz="1600" b="1" i="0">
              <a:latin typeface="Cambria Math"/>
              <a:ea typeface="Cambria Math"/>
            </a:rPr>
            <a:t>𝒕→𝟎)⁡〖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(𝑷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𝒋</a:t>
          </a:r>
          <a:r>
            <a:rPr lang="ru-RU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 (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𝒕+∆𝒕)−𝑷_𝒋 (𝒕))/∆𝒕〗</a:t>
          </a:r>
          <a:r>
            <a:rPr lang="en-US" sz="1600" b="1" i="0">
              <a:latin typeface="Cambria Math"/>
            </a:rPr>
            <a:t>=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(𝒅𝑷_𝒋 (𝒕))/𝒅𝒕</a:t>
          </a:r>
          <a:r>
            <a:rPr lang="en-US" sz="1600" b="1" i="0">
              <a:latin typeface="Cambria Math"/>
            </a:rPr>
            <a:t>=</a:t>
          </a:r>
          <a:r>
            <a:rPr lang="ru-RU" sz="1600" b="1" i="0">
              <a:latin typeface="Cambria Math"/>
            </a:rPr>
            <a:t>−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𝑷_𝒋 (𝒕)(𝝀+𝝁)</a:t>
          </a:r>
          <a:r>
            <a:rPr lang="en-US" sz="1600" b="1" i="0">
              <a:latin typeface="Cambria Math"/>
            </a:rPr>
            <a:t>+𝑷_(𝒋−𝟏) (𝒕)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𝝀</a:t>
          </a:r>
          <a:r>
            <a:rPr lang="en-US" sz="1600" b="1" i="0">
              <a:latin typeface="Cambria Math"/>
              <a:ea typeface="Cambria Math"/>
            </a:rPr>
            <a:t>+</a:t>
          </a:r>
          <a:r>
            <a:rPr lang="en-US" sz="16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𝑷_(𝒋+𝟏) (𝒕)𝝁</a:t>
          </a:r>
          <a:endParaRPr lang="ru-RU" sz="1600">
            <a:effectLst/>
          </a:endParaRPr>
        </a:p>
        <a:p>
          <a:endParaRPr lang="ru-RU" sz="1600" b="1"/>
        </a:p>
      </xdr:txBody>
    </xdr:sp>
    <xdr:clientData/>
  </xdr:oneCellAnchor>
  <xdr:twoCellAnchor>
    <xdr:from>
      <xdr:col>28</xdr:col>
      <xdr:colOff>114300</xdr:colOff>
      <xdr:row>18</xdr:row>
      <xdr:rowOff>85725</xdr:rowOff>
    </xdr:from>
    <xdr:to>
      <xdr:col>32</xdr:col>
      <xdr:colOff>209549</xdr:colOff>
      <xdr:row>21</xdr:row>
      <xdr:rowOff>171450</xdr:rowOff>
    </xdr:to>
    <xdr:sp macro="" textlink="">
      <xdr:nvSpPr>
        <xdr:cNvPr id="138" name="Прямоугольник 137"/>
        <xdr:cNvSpPr/>
      </xdr:nvSpPr>
      <xdr:spPr>
        <a:xfrm>
          <a:off x="3178865" y="5519116"/>
          <a:ext cx="2546901" cy="6572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28</xdr:col>
      <xdr:colOff>104776</xdr:colOff>
      <xdr:row>23</xdr:row>
      <xdr:rowOff>47625</xdr:rowOff>
    </xdr:from>
    <xdr:to>
      <xdr:col>35</xdr:col>
      <xdr:colOff>57150</xdr:colOff>
      <xdr:row>27</xdr:row>
      <xdr:rowOff>19050</xdr:rowOff>
    </xdr:to>
    <xdr:sp macro="" textlink="">
      <xdr:nvSpPr>
        <xdr:cNvPr id="139" name="Прямоугольник 138"/>
        <xdr:cNvSpPr/>
      </xdr:nvSpPr>
      <xdr:spPr>
        <a:xfrm>
          <a:off x="3169341" y="6483212"/>
          <a:ext cx="4242766" cy="733425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33</xdr:col>
      <xdr:colOff>381000</xdr:colOff>
      <xdr:row>21</xdr:row>
      <xdr:rowOff>19050</xdr:rowOff>
    </xdr:from>
    <xdr:to>
      <xdr:col>34</xdr:col>
      <xdr:colOff>323850</xdr:colOff>
      <xdr:row>21</xdr:row>
      <xdr:rowOff>219075</xdr:rowOff>
    </xdr:to>
    <xdr:sp macro="" textlink="">
      <xdr:nvSpPr>
        <xdr:cNvPr id="140" name="Стрелка влево 139"/>
        <xdr:cNvSpPr/>
      </xdr:nvSpPr>
      <xdr:spPr>
        <a:xfrm>
          <a:off x="6510130" y="6023941"/>
          <a:ext cx="555763" cy="200025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25</xdr:col>
      <xdr:colOff>333789</xdr:colOff>
      <xdr:row>22</xdr:row>
      <xdr:rowOff>60877</xdr:rowOff>
    </xdr:from>
    <xdr:to>
      <xdr:col>31</xdr:col>
      <xdr:colOff>152400</xdr:colOff>
      <xdr:row>22</xdr:row>
      <xdr:rowOff>85725</xdr:rowOff>
    </xdr:to>
    <xdr:cxnSp macro="">
      <xdr:nvCxnSpPr>
        <xdr:cNvPr id="141" name="Прямая соединительная линия 140"/>
        <xdr:cNvCxnSpPr/>
      </xdr:nvCxnSpPr>
      <xdr:spPr>
        <a:xfrm>
          <a:off x="1559615" y="6305964"/>
          <a:ext cx="3496089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352425</xdr:colOff>
      <xdr:row>27</xdr:row>
      <xdr:rowOff>76200</xdr:rowOff>
    </xdr:from>
    <xdr:to>
      <xdr:col>31</xdr:col>
      <xdr:colOff>171036</xdr:colOff>
      <xdr:row>27</xdr:row>
      <xdr:rowOff>101048</xdr:rowOff>
    </xdr:to>
    <xdr:cxnSp macro="">
      <xdr:nvCxnSpPr>
        <xdr:cNvPr id="142" name="Прямая соединительная линия 141"/>
        <xdr:cNvCxnSpPr/>
      </xdr:nvCxnSpPr>
      <xdr:spPr>
        <a:xfrm>
          <a:off x="1578251" y="7273787"/>
          <a:ext cx="3496089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25</xdr:col>
      <xdr:colOff>0</xdr:colOff>
      <xdr:row>29</xdr:row>
      <xdr:rowOff>0</xdr:rowOff>
    </xdr:from>
    <xdr:ext cx="1257301" cy="791563"/>
    <xdr:sp macro="" textlink="">
      <xdr:nvSpPr>
        <xdr:cNvPr id="143" name="TextBox 142"/>
        <xdr:cNvSpPr txBox="1"/>
      </xdr:nvSpPr>
      <xdr:spPr>
        <a:xfrm>
          <a:off x="15322826" y="5673587"/>
          <a:ext cx="1257301" cy="7915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600" b="1" i="0">
              <a:latin typeface="Cambria Math"/>
            </a:rPr>
            <a:t>∑</a:t>
          </a:r>
          <a:r>
            <a:rPr lang="en-US" sz="1600" b="1" i="0">
              <a:latin typeface="Cambria Math"/>
            </a:rPr>
            <a:t>_</a:t>
          </a:r>
          <a:r>
            <a:rPr lang="ru-RU" sz="1600" b="1" i="0">
              <a:latin typeface="Cambria Math"/>
            </a:rPr>
            <a:t>(</a:t>
          </a:r>
          <a:r>
            <a:rPr lang="en-US" sz="1600" b="1" i="0">
              <a:latin typeface="Cambria Math"/>
            </a:rPr>
            <a:t>𝒋=𝟎</a:t>
          </a:r>
          <a:r>
            <a:rPr lang="ru-RU" sz="1600" b="1" i="0">
              <a:latin typeface="Cambria Math"/>
            </a:rPr>
            <a:t>)</a:t>
          </a:r>
          <a:r>
            <a:rPr lang="ru-RU" sz="1600" b="1" i="0">
              <a:latin typeface="Cambria Math"/>
              <a:ea typeface="Cambria Math"/>
            </a:rPr>
            <a:t>^∞</a:t>
          </a:r>
          <a:r>
            <a:rPr lang="en-US" sz="1600" b="1" i="0">
              <a:latin typeface="Cambria Math"/>
              <a:ea typeface="Cambria Math"/>
            </a:rPr>
            <a:t>▒</a:t>
          </a:r>
          <a:r>
            <a:rPr lang="ru-RU" sz="1600" b="1" i="0">
              <a:latin typeface="Cambria Math"/>
              <a:ea typeface="Cambria Math"/>
            </a:rPr>
            <a:t>〖</a:t>
          </a:r>
          <a:r>
            <a:rPr lang="en-US" sz="1600" b="1" i="0">
              <a:latin typeface="Cambria Math"/>
            </a:rPr>
            <a:t>𝑷</a:t>
          </a:r>
          <a:r>
            <a:rPr lang="ru-RU" sz="1600" b="1" i="0">
              <a:latin typeface="Cambria Math"/>
            </a:rPr>
            <a:t>_</a:t>
          </a:r>
          <a:r>
            <a:rPr lang="en-US" sz="1600" b="1" i="0">
              <a:latin typeface="Cambria Math"/>
            </a:rPr>
            <a:t>𝒋</a:t>
          </a:r>
          <a:r>
            <a:rPr lang="ru-RU" sz="1600" b="1" i="0">
              <a:latin typeface="Cambria Math"/>
            </a:rPr>
            <a:t> (</a:t>
          </a:r>
          <a:r>
            <a:rPr lang="en-US" sz="1600" b="1" i="0">
              <a:latin typeface="Cambria Math"/>
            </a:rPr>
            <a:t>𝒕)=𝟏</a:t>
          </a:r>
          <a:r>
            <a:rPr lang="ru-RU" sz="1600" b="1" i="0">
              <a:latin typeface="Cambria Math"/>
              <a:ea typeface="Cambria Math"/>
            </a:rPr>
            <a:t>〗</a:t>
          </a:r>
          <a:endParaRPr lang="ru-RU" sz="1600" b="1"/>
        </a:p>
      </xdr:txBody>
    </xdr:sp>
    <xdr:clientData/>
  </xdr:oneCellAnchor>
  <xdr:oneCellAnchor>
    <xdr:from>
      <xdr:col>25</xdr:col>
      <xdr:colOff>0</xdr:colOff>
      <xdr:row>34</xdr:row>
      <xdr:rowOff>0</xdr:rowOff>
    </xdr:from>
    <xdr:ext cx="914400" cy="522515"/>
    <xdr:sp macro="" textlink="">
      <xdr:nvSpPr>
        <xdr:cNvPr id="144" name="TextBox 143"/>
        <xdr:cNvSpPr txBox="1"/>
      </xdr:nvSpPr>
      <xdr:spPr>
        <a:xfrm>
          <a:off x="15322826" y="6675783"/>
          <a:ext cx="914400" cy="52251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(𝒅𝑷_𝒋 (𝒕))/𝒅𝒕</a:t>
          </a:r>
          <a:r>
            <a:rPr lang="en-US" sz="1800"/>
            <a:t>=0</a:t>
          </a:r>
          <a:endParaRPr lang="ru-RU" sz="1800"/>
        </a:p>
      </xdr:txBody>
    </xdr:sp>
    <xdr:clientData/>
  </xdr:oneCellAnchor>
  <xdr:oneCellAnchor>
    <xdr:from>
      <xdr:col>26</xdr:col>
      <xdr:colOff>52385</xdr:colOff>
      <xdr:row>37</xdr:row>
      <xdr:rowOff>176212</xdr:rowOff>
    </xdr:from>
    <xdr:ext cx="1909765" cy="374141"/>
    <xdr:sp macro="" textlink="">
      <xdr:nvSpPr>
        <xdr:cNvPr id="145" name="TextBox 144"/>
        <xdr:cNvSpPr txBox="1"/>
      </xdr:nvSpPr>
      <xdr:spPr>
        <a:xfrm>
          <a:off x="665298" y="10107060"/>
          <a:ext cx="1909765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−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</a:t>
          </a:r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_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𝟎 𝝀+𝑷_𝟏 𝝁</a:t>
          </a:r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=𝟎</a:t>
          </a:r>
          <a:endParaRPr lang="ru-RU" sz="1800"/>
        </a:p>
      </xdr:txBody>
    </xdr:sp>
    <xdr:clientData/>
  </xdr:oneCellAnchor>
  <xdr:oneCellAnchor>
    <xdr:from>
      <xdr:col>26</xdr:col>
      <xdr:colOff>33336</xdr:colOff>
      <xdr:row>39</xdr:row>
      <xdr:rowOff>176212</xdr:rowOff>
    </xdr:from>
    <xdr:ext cx="4376739" cy="568297"/>
    <xdr:sp macro="" textlink="">
      <xdr:nvSpPr>
        <xdr:cNvPr id="146" name="TextBox 145"/>
        <xdr:cNvSpPr txBox="1"/>
      </xdr:nvSpPr>
      <xdr:spPr>
        <a:xfrm>
          <a:off x="646249" y="10488060"/>
          <a:ext cx="4376739" cy="56829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ru-RU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−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𝑷_𝒋 (𝒕)(𝝀+𝝁)+𝑷_(𝒋−𝟏) (𝒕)𝝀+𝑷_(𝒋+𝟏) (𝒕)𝝁</a:t>
          </a:r>
          <a:r>
            <a:rPr lang="en-US" sz="1800" b="0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=</a:t>
          </a:r>
          <a:r>
            <a:rPr lang="en-US" sz="1800" b="1" i="0">
              <a:solidFill>
                <a:schemeClr val="tx1"/>
              </a:solidFill>
              <a:effectLst/>
              <a:latin typeface="Cambria Math"/>
              <a:ea typeface="+mn-ea"/>
              <a:cs typeface="+mn-cs"/>
            </a:rPr>
            <a:t>𝟎</a:t>
          </a:r>
          <a:endParaRPr lang="ru-RU" sz="1800" b="1">
            <a:effectLst/>
          </a:endParaRPr>
        </a:p>
        <a:p>
          <a:endParaRPr lang="ru-RU" sz="1100"/>
        </a:p>
      </xdr:txBody>
    </xdr:sp>
    <xdr:clientData/>
  </xdr:oneCellAnchor>
  <xdr:twoCellAnchor>
    <xdr:from>
      <xdr:col>25</xdr:col>
      <xdr:colOff>514350</xdr:colOff>
      <xdr:row>39</xdr:row>
      <xdr:rowOff>171450</xdr:rowOff>
    </xdr:from>
    <xdr:to>
      <xdr:col>31</xdr:col>
      <xdr:colOff>332961</xdr:colOff>
      <xdr:row>40</xdr:row>
      <xdr:rowOff>5798</xdr:rowOff>
    </xdr:to>
    <xdr:cxnSp macro="">
      <xdr:nvCxnSpPr>
        <xdr:cNvPr id="147" name="Прямая соединительная линия 146"/>
        <xdr:cNvCxnSpPr/>
      </xdr:nvCxnSpPr>
      <xdr:spPr>
        <a:xfrm>
          <a:off x="514350" y="10483298"/>
          <a:ext cx="3496089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542925</xdr:colOff>
      <xdr:row>41</xdr:row>
      <xdr:rowOff>180975</xdr:rowOff>
    </xdr:from>
    <xdr:to>
      <xdr:col>31</xdr:col>
      <xdr:colOff>361536</xdr:colOff>
      <xdr:row>42</xdr:row>
      <xdr:rowOff>15323</xdr:rowOff>
    </xdr:to>
    <xdr:cxnSp macro="">
      <xdr:nvCxnSpPr>
        <xdr:cNvPr id="148" name="Прямая соединительная линия 147"/>
        <xdr:cNvCxnSpPr/>
      </xdr:nvCxnSpPr>
      <xdr:spPr>
        <a:xfrm>
          <a:off x="542925" y="10873823"/>
          <a:ext cx="3496089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25</xdr:col>
      <xdr:colOff>0</xdr:colOff>
      <xdr:row>43</xdr:row>
      <xdr:rowOff>0</xdr:rowOff>
    </xdr:from>
    <xdr:ext cx="914400" cy="662554"/>
    <xdr:sp macro="" textlink="">
      <xdr:nvSpPr>
        <xdr:cNvPr id="149" name="TextBox 148"/>
        <xdr:cNvSpPr txBox="1"/>
      </xdr:nvSpPr>
      <xdr:spPr>
        <a:xfrm>
          <a:off x="15322826" y="8390283"/>
          <a:ext cx="914400" cy="66255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rtlCol="0" anchor="t">
          <a:spAutoFit/>
        </a:bodyPr>
        <a:lstStyle/>
        <a:p>
          <a:r>
            <a:rPr lang="ru-RU" sz="1800" b="1" i="0">
              <a:latin typeface="Cambria Math"/>
              <a:ea typeface="Cambria Math"/>
            </a:rPr>
            <a:t>𝝆=𝝀/𝝁</a:t>
          </a:r>
          <a:endParaRPr lang="ru-RU" sz="1800" b="1"/>
        </a:p>
      </xdr:txBody>
    </xdr:sp>
    <xdr:clientData/>
  </xdr:oneCellAnchor>
  <xdr:oneCellAnchor>
    <xdr:from>
      <xdr:col>24</xdr:col>
      <xdr:colOff>495299</xdr:colOff>
      <xdr:row>47</xdr:row>
      <xdr:rowOff>35614</xdr:rowOff>
    </xdr:from>
    <xdr:ext cx="1533939" cy="374141"/>
    <xdr:sp macro="" textlink="">
      <xdr:nvSpPr>
        <xdr:cNvPr id="22" name="TextBox 21"/>
        <xdr:cNvSpPr txBox="1"/>
      </xdr:nvSpPr>
      <xdr:spPr>
        <a:xfrm>
          <a:off x="15205212" y="9187897"/>
          <a:ext cx="1533939" cy="37414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𝟏=</a:t>
          </a:r>
          <a:r>
            <a:rPr lang="en-US" sz="1800" b="1" i="0">
              <a:latin typeface="Cambria Math"/>
              <a:ea typeface="Cambria Math"/>
            </a:rPr>
            <a:t>𝝆∙</a:t>
          </a:r>
          <a:r>
            <a:rPr lang="en-US" sz="1800" b="1" i="0">
              <a:latin typeface="Cambria Math"/>
            </a:rPr>
            <a:t>𝑷_𝟎</a:t>
          </a:r>
          <a:endParaRPr lang="ru-RU" sz="1800" b="1"/>
        </a:p>
      </xdr:txBody>
    </xdr:sp>
    <xdr:clientData/>
  </xdr:oneCellAnchor>
  <xdr:oneCellAnchor>
    <xdr:from>
      <xdr:col>24</xdr:col>
      <xdr:colOff>538369</xdr:colOff>
      <xdr:row>49</xdr:row>
      <xdr:rowOff>33129</xdr:rowOff>
    </xdr:from>
    <xdr:ext cx="1533939" cy="386260"/>
    <xdr:sp macro="" textlink="">
      <xdr:nvSpPr>
        <xdr:cNvPr id="150" name="TextBox 149"/>
        <xdr:cNvSpPr txBox="1"/>
      </xdr:nvSpPr>
      <xdr:spPr>
        <a:xfrm>
          <a:off x="15248282" y="9582977"/>
          <a:ext cx="1533939" cy="3862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𝟐=</a:t>
          </a:r>
          <a:r>
            <a:rPr lang="en-US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𝟐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𝑷_𝟎</a:t>
          </a:r>
          <a:endParaRPr lang="ru-RU" sz="1800" b="1"/>
        </a:p>
      </xdr:txBody>
    </xdr:sp>
    <xdr:clientData/>
  </xdr:oneCellAnchor>
  <xdr:twoCellAnchor>
    <xdr:from>
      <xdr:col>23</xdr:col>
      <xdr:colOff>339587</xdr:colOff>
      <xdr:row>51</xdr:row>
      <xdr:rowOff>66261</xdr:rowOff>
    </xdr:from>
    <xdr:to>
      <xdr:col>29</xdr:col>
      <xdr:colOff>158198</xdr:colOff>
      <xdr:row>51</xdr:row>
      <xdr:rowOff>91109</xdr:rowOff>
    </xdr:to>
    <xdr:cxnSp macro="">
      <xdr:nvCxnSpPr>
        <xdr:cNvPr id="151" name="Прямая соединительная линия 150"/>
        <xdr:cNvCxnSpPr/>
      </xdr:nvCxnSpPr>
      <xdr:spPr>
        <a:xfrm>
          <a:off x="14436587" y="9997109"/>
          <a:ext cx="3496089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372717</xdr:colOff>
      <xdr:row>54</xdr:row>
      <xdr:rowOff>24848</xdr:rowOff>
    </xdr:from>
    <xdr:to>
      <xdr:col>29</xdr:col>
      <xdr:colOff>191328</xdr:colOff>
      <xdr:row>54</xdr:row>
      <xdr:rowOff>49696</xdr:rowOff>
    </xdr:to>
    <xdr:cxnSp macro="">
      <xdr:nvCxnSpPr>
        <xdr:cNvPr id="152" name="Прямая соединительная линия 151"/>
        <xdr:cNvCxnSpPr/>
      </xdr:nvCxnSpPr>
      <xdr:spPr>
        <a:xfrm>
          <a:off x="14469717" y="10527196"/>
          <a:ext cx="3496089" cy="24848"/>
        </a:xfrm>
        <a:prstGeom prst="line">
          <a:avLst/>
        </a:prstGeom>
        <a:ln w="12700"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24</xdr:col>
      <xdr:colOff>588065</xdr:colOff>
      <xdr:row>52</xdr:row>
      <xdr:rowOff>16565</xdr:rowOff>
    </xdr:from>
    <xdr:ext cx="1533939" cy="390492"/>
    <xdr:sp macro="" textlink="">
      <xdr:nvSpPr>
        <xdr:cNvPr id="153" name="TextBox 152"/>
        <xdr:cNvSpPr txBox="1"/>
      </xdr:nvSpPr>
      <xdr:spPr>
        <a:xfrm>
          <a:off x="15297978" y="10137913"/>
          <a:ext cx="1533939" cy="39049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𝒌=</a:t>
          </a:r>
          <a:r>
            <a:rPr lang="en-US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𝒌</a:t>
          </a:r>
          <a:r>
            <a:rPr lang="en-US" sz="1800" b="1" i="0">
              <a:latin typeface="Cambria Math"/>
              <a:ea typeface="Cambria Math"/>
            </a:rPr>
            <a:t>∙</a:t>
          </a:r>
          <a:r>
            <a:rPr lang="en-US" sz="1800" b="1" i="0">
              <a:latin typeface="Cambria Math"/>
            </a:rPr>
            <a:t>𝑷_𝟎</a:t>
          </a:r>
          <a:endParaRPr lang="ru-RU" sz="1800" b="1"/>
        </a:p>
      </xdr:txBody>
    </xdr:sp>
    <xdr:clientData/>
  </xdr:oneCellAnchor>
  <xdr:oneCellAnchor>
    <xdr:from>
      <xdr:col>24</xdr:col>
      <xdr:colOff>472108</xdr:colOff>
      <xdr:row>56</xdr:row>
      <xdr:rowOff>8283</xdr:rowOff>
    </xdr:from>
    <xdr:ext cx="1533939" cy="744563"/>
    <xdr:sp macro="" textlink="">
      <xdr:nvSpPr>
        <xdr:cNvPr id="154" name="TextBox 153"/>
        <xdr:cNvSpPr txBox="1"/>
      </xdr:nvSpPr>
      <xdr:spPr>
        <a:xfrm>
          <a:off x="15182021" y="10891631"/>
          <a:ext cx="1533939" cy="74456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</a:t>
          </a:r>
          <a:r>
            <a:rPr lang="en-US" sz="1800" b="1" i="0">
              <a:latin typeface="Cambria Math"/>
            </a:rPr>
            <a:t>𝟎=𝟏/(∑24_(𝒋=𝟎)^𝑵▒</a:t>
          </a:r>
          <a:r>
            <a:rPr lang="en-US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𝒋 )</a:t>
          </a:r>
          <a:endParaRPr lang="ru-RU" sz="1800" b="1"/>
        </a:p>
      </xdr:txBody>
    </xdr:sp>
    <xdr:clientData/>
  </xdr:oneCellAnchor>
  <xdr:oneCellAnchor>
    <xdr:from>
      <xdr:col>24</xdr:col>
      <xdr:colOff>430695</xdr:colOff>
      <xdr:row>61</xdr:row>
      <xdr:rowOff>16565</xdr:rowOff>
    </xdr:from>
    <xdr:ext cx="2203175" cy="791242"/>
    <xdr:sp macro="" textlink="">
      <xdr:nvSpPr>
        <xdr:cNvPr id="155" name="TextBox 154"/>
        <xdr:cNvSpPr txBox="1"/>
      </xdr:nvSpPr>
      <xdr:spPr>
        <a:xfrm>
          <a:off x="15140608" y="11852413"/>
          <a:ext cx="2203175" cy="79124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800" b="1" i="0">
              <a:latin typeface="Cambria Math"/>
            </a:rPr>
            <a:t>𝑷</a:t>
          </a:r>
          <a:r>
            <a:rPr lang="ru-RU" sz="1800" b="1" i="0">
              <a:latin typeface="Cambria Math"/>
            </a:rPr>
            <a:t>_(</a:t>
          </a:r>
          <a:r>
            <a:rPr lang="en-US" sz="1800" b="1" i="0">
              <a:latin typeface="Cambria Math"/>
            </a:rPr>
            <a:t>𝒌 (𝟎</a:t>
          </a:r>
          <a:r>
            <a:rPr lang="en-US" sz="1800" b="1" i="0">
              <a:latin typeface="Cambria Math"/>
              <a:ea typeface="Cambria Math"/>
            </a:rPr>
            <a:t>≤𝒌≤𝑵)</a:t>
          </a:r>
          <a:r>
            <a:rPr lang="ru-RU" sz="1800" b="1" i="0">
              <a:latin typeface="Cambria Math"/>
              <a:ea typeface="Cambria Math"/>
            </a:rPr>
            <a:t> )</a:t>
          </a:r>
          <a:r>
            <a:rPr lang="en-US" sz="1800" b="1" i="0">
              <a:latin typeface="Cambria Math"/>
            </a:rPr>
            <a:t>=</a:t>
          </a:r>
          <a:r>
            <a:rPr lang="en-US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𝒌/(∑24_(𝒋=𝟎)^𝑵▒</a:t>
          </a:r>
          <a:r>
            <a:rPr lang="en-US" sz="1800" b="1" i="0">
              <a:latin typeface="Cambria Math"/>
              <a:ea typeface="Cambria Math"/>
            </a:rPr>
            <a:t>𝝆^</a:t>
          </a:r>
          <a:r>
            <a:rPr lang="en-US" sz="1800" b="1" i="0">
              <a:latin typeface="Cambria Math"/>
            </a:rPr>
            <a:t>𝒋 )</a:t>
          </a:r>
          <a:endParaRPr lang="ru-RU" sz="1800" b="1"/>
        </a:p>
      </xdr:txBody>
    </xdr:sp>
    <xdr:clientData/>
  </xdr:oneCellAnchor>
  <xdr:twoCellAnchor>
    <xdr:from>
      <xdr:col>55</xdr:col>
      <xdr:colOff>105387</xdr:colOff>
      <xdr:row>9</xdr:row>
      <xdr:rowOff>97195</xdr:rowOff>
    </xdr:from>
    <xdr:to>
      <xdr:col>56</xdr:col>
      <xdr:colOff>450529</xdr:colOff>
      <xdr:row>9</xdr:row>
      <xdr:rowOff>111038</xdr:rowOff>
    </xdr:to>
    <xdr:cxnSp macro="">
      <xdr:nvCxnSpPr>
        <xdr:cNvPr id="156" name="Прямая со стрелкой 155"/>
        <xdr:cNvCxnSpPr/>
      </xdr:nvCxnSpPr>
      <xdr:spPr>
        <a:xfrm>
          <a:off x="6234517" y="1911086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426758</xdr:colOff>
      <xdr:row>9</xdr:row>
      <xdr:rowOff>161798</xdr:rowOff>
    </xdr:from>
    <xdr:to>
      <xdr:col>59</xdr:col>
      <xdr:colOff>158987</xdr:colOff>
      <xdr:row>9</xdr:row>
      <xdr:rowOff>175641</xdr:rowOff>
    </xdr:to>
    <xdr:cxnSp macro="">
      <xdr:nvCxnSpPr>
        <xdr:cNvPr id="157" name="Прямая со стрелкой 156"/>
        <xdr:cNvCxnSpPr/>
      </xdr:nvCxnSpPr>
      <xdr:spPr>
        <a:xfrm>
          <a:off x="35362801" y="1975689"/>
          <a:ext cx="958056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57</xdr:col>
      <xdr:colOff>521764</xdr:colOff>
      <xdr:row>11</xdr:row>
      <xdr:rowOff>124290</xdr:rowOff>
    </xdr:from>
    <xdr:to>
      <xdr:col>59</xdr:col>
      <xdr:colOff>126927</xdr:colOff>
      <xdr:row>11</xdr:row>
      <xdr:rowOff>143577</xdr:rowOff>
    </xdr:to>
    <xdr:cxnSp macro="">
      <xdr:nvCxnSpPr>
        <xdr:cNvPr id="158" name="Прямая со стрелкой 157"/>
        <xdr:cNvCxnSpPr/>
      </xdr:nvCxnSpPr>
      <xdr:spPr>
        <a:xfrm flipH="1" flipV="1">
          <a:off x="35457807" y="2319181"/>
          <a:ext cx="830990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55</xdr:col>
      <xdr:colOff>137444</xdr:colOff>
      <xdr:row>11</xdr:row>
      <xdr:rowOff>187238</xdr:rowOff>
    </xdr:from>
    <xdr:to>
      <xdr:col>56</xdr:col>
      <xdr:colOff>355520</xdr:colOff>
      <xdr:row>12</xdr:row>
      <xdr:rowOff>16025</xdr:rowOff>
    </xdr:to>
    <xdr:cxnSp macro="">
      <xdr:nvCxnSpPr>
        <xdr:cNvPr id="159" name="Прямая со стрелкой 158"/>
        <xdr:cNvCxnSpPr/>
      </xdr:nvCxnSpPr>
      <xdr:spPr>
        <a:xfrm flipH="1" flipV="1">
          <a:off x="6266574" y="238212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215301</xdr:colOff>
      <xdr:row>9</xdr:row>
      <xdr:rowOff>79149</xdr:rowOff>
    </xdr:from>
    <xdr:to>
      <xdr:col>46</xdr:col>
      <xdr:colOff>81951</xdr:colOff>
      <xdr:row>11</xdr:row>
      <xdr:rowOff>126774</xdr:rowOff>
    </xdr:to>
    <xdr:sp macro="" textlink="">
      <xdr:nvSpPr>
        <xdr:cNvPr id="161" name="Овал 160"/>
        <xdr:cNvSpPr/>
      </xdr:nvSpPr>
      <xdr:spPr>
        <a:xfrm>
          <a:off x="215301" y="1893040"/>
          <a:ext cx="479563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54</xdr:col>
      <xdr:colOff>290672</xdr:colOff>
      <xdr:row>9</xdr:row>
      <xdr:rowOff>123825</xdr:rowOff>
    </xdr:from>
    <xdr:to>
      <xdr:col>55</xdr:col>
      <xdr:colOff>171449</xdr:colOff>
      <xdr:row>12</xdr:row>
      <xdr:rowOff>19929</xdr:rowOff>
    </xdr:to>
    <xdr:sp macro="" textlink="">
      <xdr:nvSpPr>
        <xdr:cNvPr id="162" name="Овал 161"/>
        <xdr:cNvSpPr/>
      </xdr:nvSpPr>
      <xdr:spPr>
        <a:xfrm>
          <a:off x="5806889" y="1937716"/>
          <a:ext cx="493690" cy="467604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 i="1">
              <a:solidFill>
                <a:sysClr val="windowText" lastClr="000000"/>
              </a:solidFill>
            </a:rPr>
            <a:t>k</a:t>
          </a:r>
          <a:endParaRPr lang="ru-RU" sz="20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47</xdr:col>
      <xdr:colOff>304339</xdr:colOff>
      <xdr:row>9</xdr:row>
      <xdr:rowOff>117249</xdr:rowOff>
    </xdr:from>
    <xdr:to>
      <xdr:col>48</xdr:col>
      <xdr:colOff>167676</xdr:colOff>
      <xdr:row>11</xdr:row>
      <xdr:rowOff>164874</xdr:rowOff>
    </xdr:to>
    <xdr:sp macro="" textlink="">
      <xdr:nvSpPr>
        <xdr:cNvPr id="163" name="Овал 162"/>
        <xdr:cNvSpPr/>
      </xdr:nvSpPr>
      <xdr:spPr>
        <a:xfrm>
          <a:off x="1530165" y="1931140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46</xdr:col>
      <xdr:colOff>44094</xdr:colOff>
      <xdr:row>9</xdr:row>
      <xdr:rowOff>93881</xdr:rowOff>
    </xdr:from>
    <xdr:to>
      <xdr:col>47</xdr:col>
      <xdr:colOff>389236</xdr:colOff>
      <xdr:row>9</xdr:row>
      <xdr:rowOff>107724</xdr:rowOff>
    </xdr:to>
    <xdr:cxnSp macro="">
      <xdr:nvCxnSpPr>
        <xdr:cNvPr id="164" name="Прямая со стрелкой 163"/>
        <xdr:cNvCxnSpPr/>
      </xdr:nvCxnSpPr>
      <xdr:spPr>
        <a:xfrm>
          <a:off x="657007" y="1907772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166677</xdr:colOff>
      <xdr:row>9</xdr:row>
      <xdr:rowOff>150202</xdr:rowOff>
    </xdr:from>
    <xdr:to>
      <xdr:col>49</xdr:col>
      <xdr:colOff>511819</xdr:colOff>
      <xdr:row>9</xdr:row>
      <xdr:rowOff>164045</xdr:rowOff>
    </xdr:to>
    <xdr:cxnSp macro="">
      <xdr:nvCxnSpPr>
        <xdr:cNvPr id="165" name="Прямая со стрелкой 164"/>
        <xdr:cNvCxnSpPr/>
      </xdr:nvCxnSpPr>
      <xdr:spPr>
        <a:xfrm>
          <a:off x="2005416" y="1964093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372086</xdr:colOff>
      <xdr:row>9</xdr:row>
      <xdr:rowOff>165112</xdr:rowOff>
    </xdr:from>
    <xdr:to>
      <xdr:col>52</xdr:col>
      <xdr:colOff>104315</xdr:colOff>
      <xdr:row>9</xdr:row>
      <xdr:rowOff>178955</xdr:rowOff>
    </xdr:to>
    <xdr:cxnSp macro="">
      <xdr:nvCxnSpPr>
        <xdr:cNvPr id="166" name="Прямая со стрелкой 165"/>
        <xdr:cNvCxnSpPr/>
      </xdr:nvCxnSpPr>
      <xdr:spPr>
        <a:xfrm>
          <a:off x="3436651" y="1979003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46</xdr:col>
      <xdr:colOff>69526</xdr:colOff>
      <xdr:row>11</xdr:row>
      <xdr:rowOff>111038</xdr:rowOff>
    </xdr:from>
    <xdr:to>
      <xdr:col>47</xdr:col>
      <xdr:colOff>287602</xdr:colOff>
      <xdr:row>11</xdr:row>
      <xdr:rowOff>130325</xdr:rowOff>
    </xdr:to>
    <xdr:cxnSp macro="">
      <xdr:nvCxnSpPr>
        <xdr:cNvPr id="167" name="Прямая со стрелкой 166"/>
        <xdr:cNvCxnSpPr/>
      </xdr:nvCxnSpPr>
      <xdr:spPr>
        <a:xfrm flipH="1" flipV="1">
          <a:off x="682439" y="230592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48</xdr:col>
      <xdr:colOff>197079</xdr:colOff>
      <xdr:row>11</xdr:row>
      <xdr:rowOff>106068</xdr:rowOff>
    </xdr:from>
    <xdr:to>
      <xdr:col>49</xdr:col>
      <xdr:colOff>415155</xdr:colOff>
      <xdr:row>11</xdr:row>
      <xdr:rowOff>125355</xdr:rowOff>
    </xdr:to>
    <xdr:cxnSp macro="">
      <xdr:nvCxnSpPr>
        <xdr:cNvPr id="168" name="Прямая со стрелкой 167"/>
        <xdr:cNvCxnSpPr/>
      </xdr:nvCxnSpPr>
      <xdr:spPr>
        <a:xfrm flipH="1" flipV="1">
          <a:off x="2035818" y="230095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43023</xdr:colOff>
      <xdr:row>11</xdr:row>
      <xdr:rowOff>117664</xdr:rowOff>
    </xdr:from>
    <xdr:to>
      <xdr:col>54</xdr:col>
      <xdr:colOff>261099</xdr:colOff>
      <xdr:row>11</xdr:row>
      <xdr:rowOff>136951</xdr:rowOff>
    </xdr:to>
    <xdr:cxnSp macro="">
      <xdr:nvCxnSpPr>
        <xdr:cNvPr id="169" name="Прямая со стрелкой 168"/>
        <xdr:cNvCxnSpPr/>
      </xdr:nvCxnSpPr>
      <xdr:spPr>
        <a:xfrm flipH="1" flipV="1">
          <a:off x="4946327" y="2312555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53</xdr:col>
      <xdr:colOff>22560</xdr:colOff>
      <xdr:row>9</xdr:row>
      <xdr:rowOff>146890</xdr:rowOff>
    </xdr:from>
    <xdr:to>
      <xdr:col>54</xdr:col>
      <xdr:colOff>367702</xdr:colOff>
      <xdr:row>9</xdr:row>
      <xdr:rowOff>160733</xdr:rowOff>
    </xdr:to>
    <xdr:cxnSp macro="">
      <xdr:nvCxnSpPr>
        <xdr:cNvPr id="170" name="Прямая со стрелкой 169"/>
        <xdr:cNvCxnSpPr/>
      </xdr:nvCxnSpPr>
      <xdr:spPr>
        <a:xfrm>
          <a:off x="4925864" y="1960781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50</xdr:col>
      <xdr:colOff>374327</xdr:colOff>
      <xdr:row>11</xdr:row>
      <xdr:rowOff>117664</xdr:rowOff>
    </xdr:from>
    <xdr:to>
      <xdr:col>51</xdr:col>
      <xdr:colOff>592403</xdr:colOff>
      <xdr:row>11</xdr:row>
      <xdr:rowOff>136951</xdr:rowOff>
    </xdr:to>
    <xdr:cxnSp macro="">
      <xdr:nvCxnSpPr>
        <xdr:cNvPr id="171" name="Прямая со стрелкой 170"/>
        <xdr:cNvCxnSpPr/>
      </xdr:nvCxnSpPr>
      <xdr:spPr>
        <a:xfrm flipH="1" flipV="1">
          <a:off x="3438892" y="2312555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49</xdr:col>
      <xdr:colOff>473305</xdr:colOff>
      <xdr:row>9</xdr:row>
      <xdr:rowOff>125532</xdr:rowOff>
    </xdr:from>
    <xdr:to>
      <xdr:col>50</xdr:col>
      <xdr:colOff>336642</xdr:colOff>
      <xdr:row>11</xdr:row>
      <xdr:rowOff>173157</xdr:rowOff>
    </xdr:to>
    <xdr:sp macro="" textlink="">
      <xdr:nvSpPr>
        <xdr:cNvPr id="172" name="Овал 171"/>
        <xdr:cNvSpPr/>
      </xdr:nvSpPr>
      <xdr:spPr>
        <a:xfrm>
          <a:off x="2924957" y="1939423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52</xdr:col>
      <xdr:colOff>24848</xdr:colOff>
      <xdr:row>10</xdr:row>
      <xdr:rowOff>165652</xdr:rowOff>
    </xdr:from>
    <xdr:to>
      <xdr:col>52</xdr:col>
      <xdr:colOff>596348</xdr:colOff>
      <xdr:row>10</xdr:row>
      <xdr:rowOff>165652</xdr:rowOff>
    </xdr:to>
    <xdr:cxnSp macro="">
      <xdr:nvCxnSpPr>
        <xdr:cNvPr id="173" name="Прямая соединительная линия 172"/>
        <xdr:cNvCxnSpPr/>
      </xdr:nvCxnSpPr>
      <xdr:spPr>
        <a:xfrm>
          <a:off x="4315239" y="2170043"/>
          <a:ext cx="571500" cy="0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61</xdr:col>
      <xdr:colOff>356160</xdr:colOff>
      <xdr:row>11</xdr:row>
      <xdr:rowOff>12045</xdr:rowOff>
    </xdr:from>
    <xdr:to>
      <xdr:col>62</xdr:col>
      <xdr:colOff>405855</xdr:colOff>
      <xdr:row>11</xdr:row>
      <xdr:rowOff>28611</xdr:rowOff>
    </xdr:to>
    <xdr:cxnSp macro="">
      <xdr:nvCxnSpPr>
        <xdr:cNvPr id="174" name="Прямая соединительная линия 173"/>
        <xdr:cNvCxnSpPr/>
      </xdr:nvCxnSpPr>
      <xdr:spPr>
        <a:xfrm>
          <a:off x="37743856" y="2206936"/>
          <a:ext cx="662608" cy="16566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49119</xdr:colOff>
      <xdr:row>9</xdr:row>
      <xdr:rowOff>181213</xdr:rowOff>
    </xdr:from>
    <xdr:to>
      <xdr:col>61</xdr:col>
      <xdr:colOff>394261</xdr:colOff>
      <xdr:row>10</xdr:row>
      <xdr:rowOff>4556</xdr:rowOff>
    </xdr:to>
    <xdr:cxnSp macro="">
      <xdr:nvCxnSpPr>
        <xdr:cNvPr id="175" name="Прямая со стрелкой 174"/>
        <xdr:cNvCxnSpPr/>
      </xdr:nvCxnSpPr>
      <xdr:spPr>
        <a:xfrm>
          <a:off x="36823902" y="1995104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60</xdr:col>
      <xdr:colOff>51360</xdr:colOff>
      <xdr:row>11</xdr:row>
      <xdr:rowOff>133765</xdr:rowOff>
    </xdr:from>
    <xdr:to>
      <xdr:col>61</xdr:col>
      <xdr:colOff>272749</xdr:colOff>
      <xdr:row>11</xdr:row>
      <xdr:rowOff>153052</xdr:rowOff>
    </xdr:to>
    <xdr:cxnSp macro="">
      <xdr:nvCxnSpPr>
        <xdr:cNvPr id="176" name="Прямая со стрелкой 175"/>
        <xdr:cNvCxnSpPr/>
      </xdr:nvCxnSpPr>
      <xdr:spPr>
        <a:xfrm flipH="1" flipV="1">
          <a:off x="36826143" y="2328656"/>
          <a:ext cx="834302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59</xdr:col>
      <xdr:colOff>150338</xdr:colOff>
      <xdr:row>9</xdr:row>
      <xdr:rowOff>66675</xdr:rowOff>
    </xdr:from>
    <xdr:to>
      <xdr:col>60</xdr:col>
      <xdr:colOff>114722</xdr:colOff>
      <xdr:row>12</xdr:row>
      <xdr:rowOff>47625</xdr:rowOff>
    </xdr:to>
    <xdr:sp macro="" textlink="">
      <xdr:nvSpPr>
        <xdr:cNvPr id="177" name="Овал 176"/>
        <xdr:cNvSpPr/>
      </xdr:nvSpPr>
      <xdr:spPr>
        <a:xfrm>
          <a:off x="36312208" y="1880566"/>
          <a:ext cx="577297" cy="55245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800" b="1" i="1">
              <a:solidFill>
                <a:sysClr val="windowText" lastClr="000000"/>
              </a:solidFill>
            </a:rPr>
            <a:t>M</a:t>
          </a:r>
          <a:endParaRPr lang="ru-RU" sz="1800" b="1" i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46</xdr:col>
      <xdr:colOff>438150</xdr:colOff>
      <xdr:row>7</xdr:row>
      <xdr:rowOff>9525</xdr:rowOff>
    </xdr:from>
    <xdr:ext cx="325538" cy="419025"/>
    <xdr:sp macro="" textlink="">
      <xdr:nvSpPr>
        <xdr:cNvPr id="178" name="TextBox 177"/>
        <xdr:cNvSpPr txBox="1"/>
      </xdr:nvSpPr>
      <xdr:spPr>
        <a:xfrm>
          <a:off x="1051063" y="14424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46</xdr:col>
      <xdr:colOff>371475</xdr:colOff>
      <xdr:row>11</xdr:row>
      <xdr:rowOff>95250</xdr:rowOff>
    </xdr:from>
    <xdr:ext cx="332463" cy="419025"/>
    <xdr:sp macro="" textlink="">
      <xdr:nvSpPr>
        <xdr:cNvPr id="179" name="TextBox 178"/>
        <xdr:cNvSpPr txBox="1"/>
      </xdr:nvSpPr>
      <xdr:spPr>
        <a:xfrm>
          <a:off x="984388" y="2290141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51</xdr:col>
      <xdr:colOff>19050</xdr:colOff>
      <xdr:row>11</xdr:row>
      <xdr:rowOff>152400</xdr:rowOff>
    </xdr:from>
    <xdr:ext cx="462563" cy="419025"/>
    <xdr:sp macro="" textlink="">
      <xdr:nvSpPr>
        <xdr:cNvPr id="180" name="TextBox 179"/>
        <xdr:cNvSpPr txBox="1"/>
      </xdr:nvSpPr>
      <xdr:spPr>
        <a:xfrm>
          <a:off x="31277615" y="2347291"/>
          <a:ext cx="4625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3</a:t>
          </a:r>
          <a:endParaRPr lang="ru-RU" sz="2000" b="1" i="1"/>
        </a:p>
      </xdr:txBody>
    </xdr:sp>
    <xdr:clientData/>
  </xdr:oneCellAnchor>
  <xdr:oneCellAnchor>
    <xdr:from>
      <xdr:col>48</xdr:col>
      <xdr:colOff>419100</xdr:colOff>
      <xdr:row>11</xdr:row>
      <xdr:rowOff>152400</xdr:rowOff>
    </xdr:from>
    <xdr:ext cx="462563" cy="419025"/>
    <xdr:sp macro="" textlink="">
      <xdr:nvSpPr>
        <xdr:cNvPr id="181" name="TextBox 180"/>
        <xdr:cNvSpPr txBox="1"/>
      </xdr:nvSpPr>
      <xdr:spPr>
        <a:xfrm>
          <a:off x="29838926" y="2347291"/>
          <a:ext cx="4625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2</a:t>
          </a:r>
          <a:endParaRPr lang="ru-RU" sz="2000" b="1" i="1"/>
        </a:p>
      </xdr:txBody>
    </xdr:sp>
    <xdr:clientData/>
  </xdr:oneCellAnchor>
  <xdr:oneCellAnchor>
    <xdr:from>
      <xdr:col>55</xdr:col>
      <xdr:colOff>172693</xdr:colOff>
      <xdr:row>12</xdr:row>
      <xdr:rowOff>7041</xdr:rowOff>
    </xdr:from>
    <xdr:ext cx="873188" cy="419025"/>
    <xdr:sp macro="" textlink="">
      <xdr:nvSpPr>
        <xdr:cNvPr id="182" name="TextBox 181"/>
        <xdr:cNvSpPr txBox="1"/>
      </xdr:nvSpPr>
      <xdr:spPr>
        <a:xfrm>
          <a:off x="33882910" y="2392432"/>
          <a:ext cx="87318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(k+1)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53</xdr:col>
      <xdr:colOff>314325</xdr:colOff>
      <xdr:row>11</xdr:row>
      <xdr:rowOff>142875</xdr:rowOff>
    </xdr:from>
    <xdr:ext cx="455702" cy="419025"/>
    <xdr:sp macro="" textlink="">
      <xdr:nvSpPr>
        <xdr:cNvPr id="183" name="TextBox 182"/>
        <xdr:cNvSpPr txBox="1"/>
      </xdr:nvSpPr>
      <xdr:spPr>
        <a:xfrm>
          <a:off x="32798716" y="2337766"/>
          <a:ext cx="455702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k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58</xdr:col>
      <xdr:colOff>165660</xdr:colOff>
      <xdr:row>11</xdr:row>
      <xdr:rowOff>123825</xdr:rowOff>
    </xdr:from>
    <xdr:ext cx="556755" cy="419025"/>
    <xdr:sp macro="" textlink="">
      <xdr:nvSpPr>
        <xdr:cNvPr id="184" name="TextBox 183"/>
        <xdr:cNvSpPr txBox="1"/>
      </xdr:nvSpPr>
      <xdr:spPr>
        <a:xfrm>
          <a:off x="35714617" y="2318716"/>
          <a:ext cx="556755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M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60</xdr:col>
      <xdr:colOff>375210</xdr:colOff>
      <xdr:row>11</xdr:row>
      <xdr:rowOff>142875</xdr:rowOff>
    </xdr:from>
    <xdr:ext cx="556755" cy="419025"/>
    <xdr:sp macro="" textlink="">
      <xdr:nvSpPr>
        <xdr:cNvPr id="185" name="TextBox 184"/>
        <xdr:cNvSpPr txBox="1"/>
      </xdr:nvSpPr>
      <xdr:spPr>
        <a:xfrm>
          <a:off x="37149993" y="2337766"/>
          <a:ext cx="556755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M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51</xdr:col>
      <xdr:colOff>28575</xdr:colOff>
      <xdr:row>7</xdr:row>
      <xdr:rowOff>123825</xdr:rowOff>
    </xdr:from>
    <xdr:ext cx="325538" cy="419025"/>
    <xdr:sp macro="" textlink="">
      <xdr:nvSpPr>
        <xdr:cNvPr id="186" name="TextBox 185"/>
        <xdr:cNvSpPr txBox="1"/>
      </xdr:nvSpPr>
      <xdr:spPr>
        <a:xfrm>
          <a:off x="3706053" y="15567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48</xdr:col>
      <xdr:colOff>409575</xdr:colOff>
      <xdr:row>7</xdr:row>
      <xdr:rowOff>76200</xdr:rowOff>
    </xdr:from>
    <xdr:ext cx="325538" cy="419025"/>
    <xdr:sp macro="" textlink="">
      <xdr:nvSpPr>
        <xdr:cNvPr id="187" name="TextBox 186"/>
        <xdr:cNvSpPr txBox="1"/>
      </xdr:nvSpPr>
      <xdr:spPr>
        <a:xfrm>
          <a:off x="2248314" y="1509091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55</xdr:col>
      <xdr:colOff>419100</xdr:colOff>
      <xdr:row>7</xdr:row>
      <xdr:rowOff>104775</xdr:rowOff>
    </xdr:from>
    <xdr:ext cx="325538" cy="419025"/>
    <xdr:sp macro="" textlink="">
      <xdr:nvSpPr>
        <xdr:cNvPr id="188" name="TextBox 187"/>
        <xdr:cNvSpPr txBox="1"/>
      </xdr:nvSpPr>
      <xdr:spPr>
        <a:xfrm>
          <a:off x="6548230" y="153766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53</xdr:col>
      <xdr:colOff>285750</xdr:colOff>
      <xdr:row>7</xdr:row>
      <xdr:rowOff>123825</xdr:rowOff>
    </xdr:from>
    <xdr:ext cx="325538" cy="419025"/>
    <xdr:sp macro="" textlink="">
      <xdr:nvSpPr>
        <xdr:cNvPr id="189" name="TextBox 188"/>
        <xdr:cNvSpPr txBox="1"/>
      </xdr:nvSpPr>
      <xdr:spPr>
        <a:xfrm>
          <a:off x="5189054" y="15567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60</xdr:col>
      <xdr:colOff>365685</xdr:colOff>
      <xdr:row>7</xdr:row>
      <xdr:rowOff>133350</xdr:rowOff>
    </xdr:from>
    <xdr:ext cx="325538" cy="419025"/>
    <xdr:sp macro="" textlink="">
      <xdr:nvSpPr>
        <xdr:cNvPr id="190" name="TextBox 189"/>
        <xdr:cNvSpPr txBox="1"/>
      </xdr:nvSpPr>
      <xdr:spPr>
        <a:xfrm>
          <a:off x="37140468" y="1566241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58</xdr:col>
      <xdr:colOff>38521</xdr:colOff>
      <xdr:row>7</xdr:row>
      <xdr:rowOff>104775</xdr:rowOff>
    </xdr:from>
    <xdr:ext cx="325538" cy="419025"/>
    <xdr:sp macro="" textlink="">
      <xdr:nvSpPr>
        <xdr:cNvPr id="191" name="TextBox 190"/>
        <xdr:cNvSpPr txBox="1"/>
      </xdr:nvSpPr>
      <xdr:spPr>
        <a:xfrm>
          <a:off x="35587478" y="153766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twoCellAnchor>
    <xdr:from>
      <xdr:col>45</xdr:col>
      <xdr:colOff>114300</xdr:colOff>
      <xdr:row>7</xdr:row>
      <xdr:rowOff>19050</xdr:rowOff>
    </xdr:from>
    <xdr:to>
      <xdr:col>62</xdr:col>
      <xdr:colOff>428625</xdr:colOff>
      <xdr:row>14</xdr:row>
      <xdr:rowOff>114300</xdr:rowOff>
    </xdr:to>
    <xdr:sp macro="" textlink="">
      <xdr:nvSpPr>
        <xdr:cNvPr id="193" name="Прямоугольник 192"/>
        <xdr:cNvSpPr/>
      </xdr:nvSpPr>
      <xdr:spPr>
        <a:xfrm>
          <a:off x="114300" y="1451941"/>
          <a:ext cx="10733847" cy="1428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56</xdr:col>
      <xdr:colOff>381001</xdr:colOff>
      <xdr:row>10</xdr:row>
      <xdr:rowOff>165652</xdr:rowOff>
    </xdr:from>
    <xdr:to>
      <xdr:col>57</xdr:col>
      <xdr:colOff>430696</xdr:colOff>
      <xdr:row>10</xdr:row>
      <xdr:rowOff>182218</xdr:rowOff>
    </xdr:to>
    <xdr:cxnSp macro="">
      <xdr:nvCxnSpPr>
        <xdr:cNvPr id="195" name="Прямая соединительная линия 194"/>
        <xdr:cNvCxnSpPr/>
      </xdr:nvCxnSpPr>
      <xdr:spPr>
        <a:xfrm>
          <a:off x="34704131" y="2170043"/>
          <a:ext cx="662608" cy="16566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105387</xdr:colOff>
      <xdr:row>9</xdr:row>
      <xdr:rowOff>97195</xdr:rowOff>
    </xdr:from>
    <xdr:to>
      <xdr:col>77</xdr:col>
      <xdr:colOff>450529</xdr:colOff>
      <xdr:row>9</xdr:row>
      <xdr:rowOff>111038</xdr:rowOff>
    </xdr:to>
    <xdr:cxnSp macro="">
      <xdr:nvCxnSpPr>
        <xdr:cNvPr id="196" name="Прямая со стрелкой 195"/>
        <xdr:cNvCxnSpPr/>
      </xdr:nvCxnSpPr>
      <xdr:spPr>
        <a:xfrm>
          <a:off x="33815604" y="1911086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426758</xdr:colOff>
      <xdr:row>9</xdr:row>
      <xdr:rowOff>161798</xdr:rowOff>
    </xdr:from>
    <xdr:to>
      <xdr:col>80</xdr:col>
      <xdr:colOff>158987</xdr:colOff>
      <xdr:row>9</xdr:row>
      <xdr:rowOff>175641</xdr:rowOff>
    </xdr:to>
    <xdr:cxnSp macro="">
      <xdr:nvCxnSpPr>
        <xdr:cNvPr id="197" name="Прямая со стрелкой 196"/>
        <xdr:cNvCxnSpPr/>
      </xdr:nvCxnSpPr>
      <xdr:spPr>
        <a:xfrm>
          <a:off x="35362801" y="1975689"/>
          <a:ext cx="958056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78</xdr:col>
      <xdr:colOff>521764</xdr:colOff>
      <xdr:row>11</xdr:row>
      <xdr:rowOff>124290</xdr:rowOff>
    </xdr:from>
    <xdr:to>
      <xdr:col>80</xdr:col>
      <xdr:colOff>126927</xdr:colOff>
      <xdr:row>11</xdr:row>
      <xdr:rowOff>143577</xdr:rowOff>
    </xdr:to>
    <xdr:cxnSp macro="">
      <xdr:nvCxnSpPr>
        <xdr:cNvPr id="198" name="Прямая со стрелкой 197"/>
        <xdr:cNvCxnSpPr/>
      </xdr:nvCxnSpPr>
      <xdr:spPr>
        <a:xfrm flipH="1" flipV="1">
          <a:off x="35457807" y="2319181"/>
          <a:ext cx="830990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76</xdr:col>
      <xdr:colOff>137444</xdr:colOff>
      <xdr:row>11</xdr:row>
      <xdr:rowOff>187238</xdr:rowOff>
    </xdr:from>
    <xdr:to>
      <xdr:col>77</xdr:col>
      <xdr:colOff>355520</xdr:colOff>
      <xdr:row>12</xdr:row>
      <xdr:rowOff>16025</xdr:rowOff>
    </xdr:to>
    <xdr:cxnSp macro="">
      <xdr:nvCxnSpPr>
        <xdr:cNvPr id="199" name="Прямая со стрелкой 198"/>
        <xdr:cNvCxnSpPr/>
      </xdr:nvCxnSpPr>
      <xdr:spPr>
        <a:xfrm flipH="1" flipV="1">
          <a:off x="33847661" y="238212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215301</xdr:colOff>
      <xdr:row>9</xdr:row>
      <xdr:rowOff>79149</xdr:rowOff>
    </xdr:from>
    <xdr:to>
      <xdr:col>67</xdr:col>
      <xdr:colOff>81951</xdr:colOff>
      <xdr:row>11</xdr:row>
      <xdr:rowOff>126774</xdr:rowOff>
    </xdr:to>
    <xdr:sp macro="" textlink="">
      <xdr:nvSpPr>
        <xdr:cNvPr id="200" name="Овал 199"/>
        <xdr:cNvSpPr/>
      </xdr:nvSpPr>
      <xdr:spPr>
        <a:xfrm>
          <a:off x="27796388" y="1893040"/>
          <a:ext cx="479563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ln>
                <a:solidFill>
                  <a:sysClr val="windowText" lastClr="000000"/>
                </a:solidFill>
              </a:ln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75</xdr:col>
      <xdr:colOff>290672</xdr:colOff>
      <xdr:row>9</xdr:row>
      <xdr:rowOff>123825</xdr:rowOff>
    </xdr:from>
    <xdr:to>
      <xdr:col>76</xdr:col>
      <xdr:colOff>171449</xdr:colOff>
      <xdr:row>12</xdr:row>
      <xdr:rowOff>19929</xdr:rowOff>
    </xdr:to>
    <xdr:sp macro="" textlink="">
      <xdr:nvSpPr>
        <xdr:cNvPr id="201" name="Овал 200"/>
        <xdr:cNvSpPr/>
      </xdr:nvSpPr>
      <xdr:spPr>
        <a:xfrm>
          <a:off x="33387976" y="1937716"/>
          <a:ext cx="493690" cy="467604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000" b="1" i="1">
              <a:solidFill>
                <a:sysClr val="windowText" lastClr="000000"/>
              </a:solidFill>
            </a:rPr>
            <a:t>M</a:t>
          </a:r>
          <a:endParaRPr lang="ru-RU" sz="2000" b="1" i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68</xdr:col>
      <xdr:colOff>304339</xdr:colOff>
      <xdr:row>9</xdr:row>
      <xdr:rowOff>117249</xdr:rowOff>
    </xdr:from>
    <xdr:to>
      <xdr:col>69</xdr:col>
      <xdr:colOff>167676</xdr:colOff>
      <xdr:row>11</xdr:row>
      <xdr:rowOff>164874</xdr:rowOff>
    </xdr:to>
    <xdr:sp macro="" textlink="">
      <xdr:nvSpPr>
        <xdr:cNvPr id="202" name="Овал 201"/>
        <xdr:cNvSpPr/>
      </xdr:nvSpPr>
      <xdr:spPr>
        <a:xfrm>
          <a:off x="29111252" y="1931140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67</xdr:col>
      <xdr:colOff>44094</xdr:colOff>
      <xdr:row>9</xdr:row>
      <xdr:rowOff>93881</xdr:rowOff>
    </xdr:from>
    <xdr:to>
      <xdr:col>68</xdr:col>
      <xdr:colOff>389236</xdr:colOff>
      <xdr:row>9</xdr:row>
      <xdr:rowOff>107724</xdr:rowOff>
    </xdr:to>
    <xdr:cxnSp macro="">
      <xdr:nvCxnSpPr>
        <xdr:cNvPr id="203" name="Прямая со стрелкой 202"/>
        <xdr:cNvCxnSpPr/>
      </xdr:nvCxnSpPr>
      <xdr:spPr>
        <a:xfrm>
          <a:off x="28238094" y="1907772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166677</xdr:colOff>
      <xdr:row>9</xdr:row>
      <xdr:rowOff>150202</xdr:rowOff>
    </xdr:from>
    <xdr:to>
      <xdr:col>70</xdr:col>
      <xdr:colOff>511819</xdr:colOff>
      <xdr:row>9</xdr:row>
      <xdr:rowOff>164045</xdr:rowOff>
    </xdr:to>
    <xdr:cxnSp macro="">
      <xdr:nvCxnSpPr>
        <xdr:cNvPr id="204" name="Прямая со стрелкой 203"/>
        <xdr:cNvCxnSpPr/>
      </xdr:nvCxnSpPr>
      <xdr:spPr>
        <a:xfrm>
          <a:off x="29586503" y="1964093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372086</xdr:colOff>
      <xdr:row>9</xdr:row>
      <xdr:rowOff>165112</xdr:rowOff>
    </xdr:from>
    <xdr:to>
      <xdr:col>73</xdr:col>
      <xdr:colOff>104315</xdr:colOff>
      <xdr:row>9</xdr:row>
      <xdr:rowOff>178955</xdr:rowOff>
    </xdr:to>
    <xdr:cxnSp macro="">
      <xdr:nvCxnSpPr>
        <xdr:cNvPr id="205" name="Прямая со стрелкой 204"/>
        <xdr:cNvCxnSpPr/>
      </xdr:nvCxnSpPr>
      <xdr:spPr>
        <a:xfrm>
          <a:off x="31017738" y="1979003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67</xdr:col>
      <xdr:colOff>69526</xdr:colOff>
      <xdr:row>11</xdr:row>
      <xdr:rowOff>111038</xdr:rowOff>
    </xdr:from>
    <xdr:to>
      <xdr:col>68</xdr:col>
      <xdr:colOff>287602</xdr:colOff>
      <xdr:row>11</xdr:row>
      <xdr:rowOff>130325</xdr:rowOff>
    </xdr:to>
    <xdr:cxnSp macro="">
      <xdr:nvCxnSpPr>
        <xdr:cNvPr id="206" name="Прямая со стрелкой 205"/>
        <xdr:cNvCxnSpPr/>
      </xdr:nvCxnSpPr>
      <xdr:spPr>
        <a:xfrm flipH="1" flipV="1">
          <a:off x="28263526" y="230592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69</xdr:col>
      <xdr:colOff>197079</xdr:colOff>
      <xdr:row>11</xdr:row>
      <xdr:rowOff>106068</xdr:rowOff>
    </xdr:from>
    <xdr:to>
      <xdr:col>70</xdr:col>
      <xdr:colOff>415155</xdr:colOff>
      <xdr:row>11</xdr:row>
      <xdr:rowOff>125355</xdr:rowOff>
    </xdr:to>
    <xdr:cxnSp macro="">
      <xdr:nvCxnSpPr>
        <xdr:cNvPr id="207" name="Прямая со стрелкой 206"/>
        <xdr:cNvCxnSpPr/>
      </xdr:nvCxnSpPr>
      <xdr:spPr>
        <a:xfrm flipH="1" flipV="1">
          <a:off x="29616905" y="2300959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43023</xdr:colOff>
      <xdr:row>11</xdr:row>
      <xdr:rowOff>117664</xdr:rowOff>
    </xdr:from>
    <xdr:to>
      <xdr:col>75</xdr:col>
      <xdr:colOff>261099</xdr:colOff>
      <xdr:row>11</xdr:row>
      <xdr:rowOff>136951</xdr:rowOff>
    </xdr:to>
    <xdr:cxnSp macro="">
      <xdr:nvCxnSpPr>
        <xdr:cNvPr id="208" name="Прямая со стрелкой 207"/>
        <xdr:cNvCxnSpPr/>
      </xdr:nvCxnSpPr>
      <xdr:spPr>
        <a:xfrm flipH="1" flipV="1">
          <a:off x="32527414" y="2312555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74</xdr:col>
      <xdr:colOff>22560</xdr:colOff>
      <xdr:row>9</xdr:row>
      <xdr:rowOff>146890</xdr:rowOff>
    </xdr:from>
    <xdr:to>
      <xdr:col>75</xdr:col>
      <xdr:colOff>367702</xdr:colOff>
      <xdr:row>9</xdr:row>
      <xdr:rowOff>160733</xdr:rowOff>
    </xdr:to>
    <xdr:cxnSp macro="">
      <xdr:nvCxnSpPr>
        <xdr:cNvPr id="209" name="Прямая со стрелкой 208"/>
        <xdr:cNvCxnSpPr/>
      </xdr:nvCxnSpPr>
      <xdr:spPr>
        <a:xfrm>
          <a:off x="32506951" y="1960781"/>
          <a:ext cx="958055" cy="13843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374327</xdr:colOff>
      <xdr:row>11</xdr:row>
      <xdr:rowOff>117664</xdr:rowOff>
    </xdr:from>
    <xdr:to>
      <xdr:col>72</xdr:col>
      <xdr:colOff>592403</xdr:colOff>
      <xdr:row>11</xdr:row>
      <xdr:rowOff>136951</xdr:rowOff>
    </xdr:to>
    <xdr:cxnSp macro="">
      <xdr:nvCxnSpPr>
        <xdr:cNvPr id="210" name="Прямая со стрелкой 209"/>
        <xdr:cNvCxnSpPr/>
      </xdr:nvCxnSpPr>
      <xdr:spPr>
        <a:xfrm flipH="1" flipV="1">
          <a:off x="31019979" y="2312555"/>
          <a:ext cx="830989" cy="19287"/>
        </a:xfrm>
        <a:prstGeom prst="straightConnector1">
          <a:avLst/>
        </a:prstGeom>
        <a:ln>
          <a:tailEnd type="arrow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473305</xdr:colOff>
      <xdr:row>9</xdr:row>
      <xdr:rowOff>125532</xdr:rowOff>
    </xdr:from>
    <xdr:to>
      <xdr:col>71</xdr:col>
      <xdr:colOff>336642</xdr:colOff>
      <xdr:row>11</xdr:row>
      <xdr:rowOff>173157</xdr:rowOff>
    </xdr:to>
    <xdr:sp macro="" textlink="">
      <xdr:nvSpPr>
        <xdr:cNvPr id="211" name="Овал 210"/>
        <xdr:cNvSpPr/>
      </xdr:nvSpPr>
      <xdr:spPr>
        <a:xfrm>
          <a:off x="30506044" y="1939423"/>
          <a:ext cx="476250" cy="428625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ru-RU" sz="2000" b="1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73</xdr:col>
      <xdr:colOff>24848</xdr:colOff>
      <xdr:row>10</xdr:row>
      <xdr:rowOff>165652</xdr:rowOff>
    </xdr:from>
    <xdr:to>
      <xdr:col>73</xdr:col>
      <xdr:colOff>596348</xdr:colOff>
      <xdr:row>10</xdr:row>
      <xdr:rowOff>165652</xdr:rowOff>
    </xdr:to>
    <xdr:cxnSp macro="">
      <xdr:nvCxnSpPr>
        <xdr:cNvPr id="212" name="Прямая соединительная линия 211"/>
        <xdr:cNvCxnSpPr/>
      </xdr:nvCxnSpPr>
      <xdr:spPr>
        <a:xfrm>
          <a:off x="31896326" y="2170043"/>
          <a:ext cx="571500" cy="0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80</xdr:col>
      <xdr:colOff>150338</xdr:colOff>
      <xdr:row>9</xdr:row>
      <xdr:rowOff>66675</xdr:rowOff>
    </xdr:from>
    <xdr:to>
      <xdr:col>81</xdr:col>
      <xdr:colOff>114722</xdr:colOff>
      <xdr:row>12</xdr:row>
      <xdr:rowOff>47625</xdr:rowOff>
    </xdr:to>
    <xdr:sp macro="" textlink="">
      <xdr:nvSpPr>
        <xdr:cNvPr id="216" name="Овал 215"/>
        <xdr:cNvSpPr/>
      </xdr:nvSpPr>
      <xdr:spPr>
        <a:xfrm>
          <a:off x="36312208" y="1880566"/>
          <a:ext cx="577297" cy="552450"/>
        </a:xfrm>
        <a:prstGeom prst="ellipse">
          <a:avLst/>
        </a:prstGeom>
        <a:noFill/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1800" b="1" i="1">
              <a:solidFill>
                <a:sysClr val="windowText" lastClr="000000"/>
              </a:solidFill>
            </a:rPr>
            <a:t>N</a:t>
          </a:r>
          <a:endParaRPr lang="ru-RU" sz="1800" b="1" i="1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67</xdr:col>
      <xdr:colOff>438150</xdr:colOff>
      <xdr:row>7</xdr:row>
      <xdr:rowOff>9525</xdr:rowOff>
    </xdr:from>
    <xdr:ext cx="325538" cy="419025"/>
    <xdr:sp macro="" textlink="">
      <xdr:nvSpPr>
        <xdr:cNvPr id="217" name="TextBox 216"/>
        <xdr:cNvSpPr txBox="1"/>
      </xdr:nvSpPr>
      <xdr:spPr>
        <a:xfrm>
          <a:off x="28632150" y="14424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67</xdr:col>
      <xdr:colOff>371475</xdr:colOff>
      <xdr:row>11</xdr:row>
      <xdr:rowOff>95250</xdr:rowOff>
    </xdr:from>
    <xdr:ext cx="332463" cy="419025"/>
    <xdr:sp macro="" textlink="">
      <xdr:nvSpPr>
        <xdr:cNvPr id="218" name="TextBox 217"/>
        <xdr:cNvSpPr txBox="1"/>
      </xdr:nvSpPr>
      <xdr:spPr>
        <a:xfrm>
          <a:off x="28565475" y="2290141"/>
          <a:ext cx="3324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72</xdr:col>
      <xdr:colOff>19050</xdr:colOff>
      <xdr:row>11</xdr:row>
      <xdr:rowOff>152400</xdr:rowOff>
    </xdr:from>
    <xdr:ext cx="462563" cy="419025"/>
    <xdr:sp macro="" textlink="">
      <xdr:nvSpPr>
        <xdr:cNvPr id="219" name="TextBox 218"/>
        <xdr:cNvSpPr txBox="1"/>
      </xdr:nvSpPr>
      <xdr:spPr>
        <a:xfrm>
          <a:off x="31277615" y="2347291"/>
          <a:ext cx="4625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3</a:t>
          </a:r>
          <a:endParaRPr lang="ru-RU" sz="2000" b="1" i="1"/>
        </a:p>
      </xdr:txBody>
    </xdr:sp>
    <xdr:clientData/>
  </xdr:oneCellAnchor>
  <xdr:oneCellAnchor>
    <xdr:from>
      <xdr:col>69</xdr:col>
      <xdr:colOff>419100</xdr:colOff>
      <xdr:row>11</xdr:row>
      <xdr:rowOff>152400</xdr:rowOff>
    </xdr:from>
    <xdr:ext cx="462563" cy="419025"/>
    <xdr:sp macro="" textlink="">
      <xdr:nvSpPr>
        <xdr:cNvPr id="220" name="TextBox 219"/>
        <xdr:cNvSpPr txBox="1"/>
      </xdr:nvSpPr>
      <xdr:spPr>
        <a:xfrm>
          <a:off x="29838926" y="2347291"/>
          <a:ext cx="462563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2</a:t>
          </a:r>
          <a:endParaRPr lang="ru-RU" sz="2000" b="1" i="1"/>
        </a:p>
      </xdr:txBody>
    </xdr:sp>
    <xdr:clientData/>
  </xdr:oneCellAnchor>
  <xdr:oneCellAnchor>
    <xdr:from>
      <xdr:col>76</xdr:col>
      <xdr:colOff>172693</xdr:colOff>
      <xdr:row>12</xdr:row>
      <xdr:rowOff>7041</xdr:rowOff>
    </xdr:from>
    <xdr:ext cx="556755" cy="419025"/>
    <xdr:sp macro="" textlink="">
      <xdr:nvSpPr>
        <xdr:cNvPr id="221" name="TextBox 220"/>
        <xdr:cNvSpPr txBox="1"/>
      </xdr:nvSpPr>
      <xdr:spPr>
        <a:xfrm>
          <a:off x="46754084" y="2392432"/>
          <a:ext cx="556755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M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74</xdr:col>
      <xdr:colOff>314325</xdr:colOff>
      <xdr:row>11</xdr:row>
      <xdr:rowOff>142875</xdr:rowOff>
    </xdr:from>
    <xdr:ext cx="556755" cy="419025"/>
    <xdr:sp macro="" textlink="">
      <xdr:nvSpPr>
        <xdr:cNvPr id="222" name="TextBox 221"/>
        <xdr:cNvSpPr txBox="1"/>
      </xdr:nvSpPr>
      <xdr:spPr>
        <a:xfrm>
          <a:off x="45669890" y="2337766"/>
          <a:ext cx="556755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M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79</xdr:col>
      <xdr:colOff>165660</xdr:colOff>
      <xdr:row>11</xdr:row>
      <xdr:rowOff>123825</xdr:rowOff>
    </xdr:from>
    <xdr:ext cx="556755" cy="419025"/>
    <xdr:sp macro="" textlink="">
      <xdr:nvSpPr>
        <xdr:cNvPr id="223" name="TextBox 222"/>
        <xdr:cNvSpPr txBox="1"/>
      </xdr:nvSpPr>
      <xdr:spPr>
        <a:xfrm>
          <a:off x="48585790" y="2318716"/>
          <a:ext cx="556755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2000" b="1" i="1">
              <a:sym typeface="Symbol"/>
            </a:rPr>
            <a:t>M</a:t>
          </a:r>
          <a:r>
            <a:rPr lang="ru-RU" sz="2000" b="1" i="1">
              <a:sym typeface="Symbol"/>
            </a:rPr>
            <a:t></a:t>
          </a:r>
          <a:endParaRPr lang="ru-RU" sz="2000" b="1" i="1"/>
        </a:p>
      </xdr:txBody>
    </xdr:sp>
    <xdr:clientData/>
  </xdr:oneCellAnchor>
  <xdr:oneCellAnchor>
    <xdr:from>
      <xdr:col>72</xdr:col>
      <xdr:colOff>28575</xdr:colOff>
      <xdr:row>7</xdr:row>
      <xdr:rowOff>123825</xdr:rowOff>
    </xdr:from>
    <xdr:ext cx="325538" cy="419025"/>
    <xdr:sp macro="" textlink="">
      <xdr:nvSpPr>
        <xdr:cNvPr id="225" name="TextBox 224"/>
        <xdr:cNvSpPr txBox="1"/>
      </xdr:nvSpPr>
      <xdr:spPr>
        <a:xfrm>
          <a:off x="31287140" y="15567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69</xdr:col>
      <xdr:colOff>409575</xdr:colOff>
      <xdr:row>7</xdr:row>
      <xdr:rowOff>76200</xdr:rowOff>
    </xdr:from>
    <xdr:ext cx="325538" cy="419025"/>
    <xdr:sp macro="" textlink="">
      <xdr:nvSpPr>
        <xdr:cNvPr id="226" name="TextBox 225"/>
        <xdr:cNvSpPr txBox="1"/>
      </xdr:nvSpPr>
      <xdr:spPr>
        <a:xfrm>
          <a:off x="29829401" y="1509091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76</xdr:col>
      <xdr:colOff>419100</xdr:colOff>
      <xdr:row>7</xdr:row>
      <xdr:rowOff>104775</xdr:rowOff>
    </xdr:from>
    <xdr:ext cx="325538" cy="419025"/>
    <xdr:sp macro="" textlink="">
      <xdr:nvSpPr>
        <xdr:cNvPr id="227" name="TextBox 226"/>
        <xdr:cNvSpPr txBox="1"/>
      </xdr:nvSpPr>
      <xdr:spPr>
        <a:xfrm>
          <a:off x="34129317" y="153766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74</xdr:col>
      <xdr:colOff>285750</xdr:colOff>
      <xdr:row>7</xdr:row>
      <xdr:rowOff>123825</xdr:rowOff>
    </xdr:from>
    <xdr:ext cx="325538" cy="419025"/>
    <xdr:sp macro="" textlink="">
      <xdr:nvSpPr>
        <xdr:cNvPr id="228" name="TextBox 227"/>
        <xdr:cNvSpPr txBox="1"/>
      </xdr:nvSpPr>
      <xdr:spPr>
        <a:xfrm>
          <a:off x="32770141" y="155671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oneCellAnchor>
    <xdr:from>
      <xdr:col>79</xdr:col>
      <xdr:colOff>38521</xdr:colOff>
      <xdr:row>7</xdr:row>
      <xdr:rowOff>104775</xdr:rowOff>
    </xdr:from>
    <xdr:ext cx="325538" cy="419025"/>
    <xdr:sp macro="" textlink="">
      <xdr:nvSpPr>
        <xdr:cNvPr id="230" name="TextBox 229"/>
        <xdr:cNvSpPr txBox="1"/>
      </xdr:nvSpPr>
      <xdr:spPr>
        <a:xfrm>
          <a:off x="35587478" y="1537666"/>
          <a:ext cx="325538" cy="4190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ru-RU" sz="2000" b="1" i="1">
              <a:sym typeface="Symbol"/>
            </a:rPr>
            <a:t></a:t>
          </a:r>
          <a:endParaRPr lang="ru-RU" sz="2000" b="1" i="1"/>
        </a:p>
      </xdr:txBody>
    </xdr:sp>
    <xdr:clientData/>
  </xdr:oneCellAnchor>
  <xdr:twoCellAnchor>
    <xdr:from>
      <xdr:col>66</xdr:col>
      <xdr:colOff>114299</xdr:colOff>
      <xdr:row>7</xdr:row>
      <xdr:rowOff>19050</xdr:rowOff>
    </xdr:from>
    <xdr:to>
      <xdr:col>83</xdr:col>
      <xdr:colOff>472108</xdr:colOff>
      <xdr:row>14</xdr:row>
      <xdr:rowOff>114300</xdr:rowOff>
    </xdr:to>
    <xdr:sp macro="" textlink="">
      <xdr:nvSpPr>
        <xdr:cNvPr id="231" name="Прямоугольник 230"/>
        <xdr:cNvSpPr/>
      </xdr:nvSpPr>
      <xdr:spPr>
        <a:xfrm>
          <a:off x="40566560" y="1451941"/>
          <a:ext cx="10777331" cy="1428750"/>
        </a:xfrm>
        <a:prstGeom prst="rect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77</xdr:col>
      <xdr:colOff>381001</xdr:colOff>
      <xdr:row>10</xdr:row>
      <xdr:rowOff>165652</xdr:rowOff>
    </xdr:from>
    <xdr:to>
      <xdr:col>78</xdr:col>
      <xdr:colOff>430696</xdr:colOff>
      <xdr:row>10</xdr:row>
      <xdr:rowOff>182218</xdr:rowOff>
    </xdr:to>
    <xdr:cxnSp macro="">
      <xdr:nvCxnSpPr>
        <xdr:cNvPr id="232" name="Прямая соединительная линия 231"/>
        <xdr:cNvCxnSpPr/>
      </xdr:nvCxnSpPr>
      <xdr:spPr>
        <a:xfrm>
          <a:off x="34704131" y="2170043"/>
          <a:ext cx="662608" cy="16566"/>
        </a:xfrm>
        <a:prstGeom prst="line">
          <a:avLst/>
        </a:prstGeom>
        <a:ln>
          <a:prstDash val="dash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123826</xdr:colOff>
      <xdr:row>3</xdr:row>
      <xdr:rowOff>9525</xdr:rowOff>
    </xdr:from>
    <xdr:to>
      <xdr:col>15</xdr:col>
      <xdr:colOff>0</xdr:colOff>
      <xdr:row>17</xdr:row>
      <xdr:rowOff>47625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0</xdr:row>
          <xdr:rowOff>22860</xdr:rowOff>
        </xdr:from>
        <xdr:to>
          <xdr:col>6</xdr:col>
          <xdr:colOff>480060</xdr:colOff>
          <xdr:row>2</xdr:row>
          <xdr:rowOff>0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19050</xdr:colOff>
      <xdr:row>3</xdr:row>
      <xdr:rowOff>4762</xdr:rowOff>
    </xdr:from>
    <xdr:to>
      <xdr:col>16</xdr:col>
      <xdr:colOff>9525</xdr:colOff>
      <xdr:row>17</xdr:row>
      <xdr:rowOff>42862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600075</xdr:colOff>
      <xdr:row>29</xdr:row>
      <xdr:rowOff>9525</xdr:rowOff>
    </xdr:from>
    <xdr:to>
      <xdr:col>15</xdr:col>
      <xdr:colOff>600075</xdr:colOff>
      <xdr:row>39</xdr:row>
      <xdr:rowOff>9525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0</xdr:row>
          <xdr:rowOff>53340</xdr:rowOff>
        </xdr:from>
        <xdr:to>
          <xdr:col>7</xdr:col>
          <xdr:colOff>464820</xdr:colOff>
          <xdr:row>1</xdr:row>
          <xdr:rowOff>144780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66675</xdr:colOff>
      <xdr:row>1</xdr:row>
      <xdr:rowOff>28575</xdr:rowOff>
    </xdr:from>
    <xdr:ext cx="1533525" cy="472694"/>
    <xdr:sp macro="" textlink="">
      <xdr:nvSpPr>
        <xdr:cNvPr id="3" name="TextBox 2"/>
        <xdr:cNvSpPr txBox="1"/>
      </xdr:nvSpPr>
      <xdr:spPr>
        <a:xfrm>
          <a:off x="8601075" y="295275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14</xdr:col>
      <xdr:colOff>47625</xdr:colOff>
      <xdr:row>3</xdr:row>
      <xdr:rowOff>9525</xdr:rowOff>
    </xdr:from>
    <xdr:ext cx="1552575" cy="472694"/>
    <xdr:sp macro="" textlink="">
      <xdr:nvSpPr>
        <xdr:cNvPr id="4" name="TextBox 3"/>
        <xdr:cNvSpPr txBox="1"/>
      </xdr:nvSpPr>
      <xdr:spPr>
        <a:xfrm>
          <a:off x="8582025" y="752475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17</xdr:col>
      <xdr:colOff>0</xdr:colOff>
      <xdr:row>0</xdr:row>
      <xdr:rowOff>0</xdr:rowOff>
    </xdr:from>
    <xdr:ext cx="2090738" cy="353623"/>
    <xdr:sp macro="" textlink="">
      <xdr:nvSpPr>
        <xdr:cNvPr id="5" name="TextBox 4"/>
        <xdr:cNvSpPr txBox="1"/>
      </xdr:nvSpPr>
      <xdr:spPr>
        <a:xfrm>
          <a:off x="10363200" y="0"/>
          <a:ext cx="2090738" cy="3536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𝐹(</a:t>
          </a:r>
          <a:r>
            <a:rPr lang="en-US" sz="1600" b="0" i="0">
              <a:latin typeface="Cambria Math"/>
              <a:ea typeface="Cambria Math"/>
            </a:rPr>
            <a:t>∆𝑡)</a:t>
          </a:r>
          <a:r>
            <a:rPr lang="en-US" sz="1600" b="0" i="0">
              <a:latin typeface="Cambria Math"/>
            </a:rPr>
            <a:t>=1−𝑒^(−</a:t>
          </a:r>
          <a:r>
            <a:rPr lang="en-US" sz="1600" b="0" i="0">
              <a:latin typeface="Cambria Math"/>
              <a:ea typeface="Cambria Math"/>
            </a:rPr>
            <a:t>𝜇∆𝑡)</a:t>
          </a:r>
          <a:endParaRPr lang="ru-RU" sz="1600"/>
        </a:p>
      </xdr:txBody>
    </xdr:sp>
    <xdr:clientData/>
  </xdr:oneCellAnchor>
  <xdr:oneCellAnchor>
    <xdr:from>
      <xdr:col>16</xdr:col>
      <xdr:colOff>519112</xdr:colOff>
      <xdr:row>1</xdr:row>
      <xdr:rowOff>166687</xdr:rowOff>
    </xdr:from>
    <xdr:ext cx="1147763" cy="436851"/>
    <xdr:sp macro="" textlink="">
      <xdr:nvSpPr>
        <xdr:cNvPr id="2" name="TextBox 1"/>
        <xdr:cNvSpPr txBox="1"/>
      </xdr:nvSpPr>
      <xdr:spPr>
        <a:xfrm>
          <a:off x="10272712" y="433387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9</xdr:col>
      <xdr:colOff>598870</xdr:colOff>
      <xdr:row>15</xdr:row>
      <xdr:rowOff>2408</xdr:rowOff>
    </xdr:from>
    <xdr:to>
      <xdr:col>19</xdr:col>
      <xdr:colOff>602155</xdr:colOff>
      <xdr:row>40</xdr:row>
      <xdr:rowOff>-1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0</xdr:col>
      <xdr:colOff>0</xdr:colOff>
      <xdr:row>57</xdr:row>
      <xdr:rowOff>0</xdr:rowOff>
    </xdr:from>
    <xdr:ext cx="1390650" cy="264560"/>
    <xdr:sp macro="" textlink="">
      <xdr:nvSpPr>
        <xdr:cNvPr id="8" name="TextBox 7"/>
        <xdr:cNvSpPr txBox="1"/>
      </xdr:nvSpPr>
      <xdr:spPr>
        <a:xfrm>
          <a:off x="0" y="11440948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57</xdr:row>
      <xdr:rowOff>0</xdr:rowOff>
    </xdr:from>
    <xdr:ext cx="1638300" cy="264560"/>
    <xdr:sp macro="" textlink="">
      <xdr:nvSpPr>
        <xdr:cNvPr id="9" name="TextBox 8"/>
        <xdr:cNvSpPr txBox="1"/>
      </xdr:nvSpPr>
      <xdr:spPr>
        <a:xfrm>
          <a:off x="4663966" y="11440948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59</xdr:row>
      <xdr:rowOff>0</xdr:rowOff>
    </xdr:from>
    <xdr:ext cx="1400175" cy="264560"/>
    <xdr:sp macro="" textlink="">
      <xdr:nvSpPr>
        <xdr:cNvPr id="10" name="TextBox 9"/>
        <xdr:cNvSpPr txBox="1"/>
      </xdr:nvSpPr>
      <xdr:spPr>
        <a:xfrm>
          <a:off x="4663966" y="11813190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6</xdr:col>
      <xdr:colOff>610367</xdr:colOff>
      <xdr:row>81</xdr:row>
      <xdr:rowOff>9634</xdr:rowOff>
    </xdr:from>
    <xdr:to>
      <xdr:col>13</xdr:col>
      <xdr:colOff>569311</xdr:colOff>
      <xdr:row>98</xdr:row>
      <xdr:rowOff>10947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18611</xdr:colOff>
      <xdr:row>41</xdr:row>
      <xdr:rowOff>24304</xdr:rowOff>
    </xdr:from>
    <xdr:to>
      <xdr:col>14</xdr:col>
      <xdr:colOff>14232</xdr:colOff>
      <xdr:row>55</xdr:row>
      <xdr:rowOff>161814</xdr:rowOff>
    </xdr:to>
    <xdr:graphicFrame macro="">
      <xdr:nvGraphicFramePr>
        <xdr:cNvPr id="15" name="Диаграмма 1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12</xdr:row>
          <xdr:rowOff>53340</xdr:rowOff>
        </xdr:from>
        <xdr:to>
          <xdr:col>11</xdr:col>
          <xdr:colOff>480060</xdr:colOff>
          <xdr:row>13</xdr:row>
          <xdr:rowOff>144780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19050</xdr:colOff>
      <xdr:row>1</xdr:row>
      <xdr:rowOff>0</xdr:rowOff>
    </xdr:from>
    <xdr:ext cx="1533525" cy="472694"/>
    <xdr:sp macro="" textlink="">
      <xdr:nvSpPr>
        <xdr:cNvPr id="2" name="TextBox 1"/>
        <xdr:cNvSpPr txBox="1"/>
      </xdr:nvSpPr>
      <xdr:spPr>
        <a:xfrm>
          <a:off x="8553450" y="266700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14</xdr:col>
      <xdr:colOff>0</xdr:colOff>
      <xdr:row>2</xdr:row>
      <xdr:rowOff>224549</xdr:rowOff>
    </xdr:from>
    <xdr:ext cx="1552575" cy="472694"/>
    <xdr:sp macro="" textlink="">
      <xdr:nvSpPr>
        <xdr:cNvPr id="3" name="TextBox 2"/>
        <xdr:cNvSpPr txBox="1"/>
      </xdr:nvSpPr>
      <xdr:spPr>
        <a:xfrm>
          <a:off x="8534400" y="729374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17</xdr:col>
      <xdr:colOff>93991</xdr:colOff>
      <xdr:row>0</xdr:row>
      <xdr:rowOff>0</xdr:rowOff>
    </xdr:from>
    <xdr:ext cx="2090738" cy="353623"/>
    <xdr:sp macro="" textlink="">
      <xdr:nvSpPr>
        <xdr:cNvPr id="4" name="TextBox 3"/>
        <xdr:cNvSpPr txBox="1"/>
      </xdr:nvSpPr>
      <xdr:spPr>
        <a:xfrm>
          <a:off x="10457191" y="0"/>
          <a:ext cx="2090738" cy="35362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600" b="0" i="0">
              <a:latin typeface="Cambria Math"/>
            </a:rPr>
            <a:t>𝐹(</a:t>
          </a:r>
          <a:r>
            <a:rPr lang="en-US" sz="1600" b="0" i="0">
              <a:latin typeface="Cambria Math"/>
              <a:ea typeface="Cambria Math"/>
            </a:rPr>
            <a:t>∆𝑡)</a:t>
          </a:r>
          <a:r>
            <a:rPr lang="en-US" sz="1600" b="0" i="0">
              <a:latin typeface="Cambria Math"/>
            </a:rPr>
            <a:t>=1−𝑒^(−</a:t>
          </a:r>
          <a:r>
            <a:rPr lang="en-US" sz="1600" b="0" i="0">
              <a:latin typeface="Cambria Math"/>
              <a:ea typeface="Cambria Math"/>
            </a:rPr>
            <a:t>𝜇∆𝑡)</a:t>
          </a:r>
          <a:endParaRPr lang="ru-RU" sz="1600"/>
        </a:p>
      </xdr:txBody>
    </xdr:sp>
    <xdr:clientData/>
  </xdr:oneCellAnchor>
  <xdr:oneCellAnchor>
    <xdr:from>
      <xdr:col>17</xdr:col>
      <xdr:colOff>0</xdr:colOff>
      <xdr:row>1</xdr:row>
      <xdr:rowOff>162746</xdr:rowOff>
    </xdr:from>
    <xdr:ext cx="1147763" cy="436851"/>
    <xdr:sp macro="" textlink="">
      <xdr:nvSpPr>
        <xdr:cNvPr id="5" name="TextBox 4"/>
        <xdr:cNvSpPr txBox="1"/>
      </xdr:nvSpPr>
      <xdr:spPr>
        <a:xfrm>
          <a:off x="10363200" y="429446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10</xdr:col>
      <xdr:colOff>42862</xdr:colOff>
      <xdr:row>15</xdr:row>
      <xdr:rowOff>42862</xdr:rowOff>
    </xdr:from>
    <xdr:to>
      <xdr:col>17</xdr:col>
      <xdr:colOff>347662</xdr:colOff>
      <xdr:row>36</xdr:row>
      <xdr:rowOff>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39</xdr:row>
      <xdr:rowOff>9524</xdr:rowOff>
    </xdr:from>
    <xdr:to>
      <xdr:col>14</xdr:col>
      <xdr:colOff>9525</xdr:colOff>
      <xdr:row>53</xdr:row>
      <xdr:rowOff>171449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7</xdr:col>
      <xdr:colOff>85726</xdr:colOff>
      <xdr:row>60</xdr:row>
      <xdr:rowOff>0</xdr:rowOff>
    </xdr:from>
    <xdr:ext cx="1390650" cy="264560"/>
    <xdr:sp macro="" textlink="">
      <xdr:nvSpPr>
        <xdr:cNvPr id="9" name="TextBox 8"/>
        <xdr:cNvSpPr txBox="1"/>
      </xdr:nvSpPr>
      <xdr:spPr>
        <a:xfrm>
          <a:off x="4352926" y="12268200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61</xdr:row>
      <xdr:rowOff>161925</xdr:rowOff>
    </xdr:from>
    <xdr:ext cx="1400175" cy="264560"/>
    <xdr:sp macro="" textlink="">
      <xdr:nvSpPr>
        <xdr:cNvPr id="10" name="TextBox 9"/>
        <xdr:cNvSpPr txBox="1"/>
      </xdr:nvSpPr>
      <xdr:spPr>
        <a:xfrm>
          <a:off x="4267200" y="12620625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180976</xdr:colOff>
      <xdr:row>63</xdr:row>
      <xdr:rowOff>85725</xdr:rowOff>
    </xdr:from>
    <xdr:ext cx="1638300" cy="264560"/>
    <xdr:sp macro="" textlink="">
      <xdr:nvSpPr>
        <xdr:cNvPr id="11" name="TextBox 10"/>
        <xdr:cNvSpPr txBox="1"/>
      </xdr:nvSpPr>
      <xdr:spPr>
        <a:xfrm>
          <a:off x="4448176" y="12925425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13</xdr:col>
      <xdr:colOff>242887</xdr:colOff>
      <xdr:row>60</xdr:row>
      <xdr:rowOff>4762</xdr:rowOff>
    </xdr:from>
    <xdr:to>
      <xdr:col>20</xdr:col>
      <xdr:colOff>547687</xdr:colOff>
      <xdr:row>74</xdr:row>
      <xdr:rowOff>71437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22</xdr:row>
          <xdr:rowOff>129540</xdr:rowOff>
        </xdr:from>
        <xdr:to>
          <xdr:col>9</xdr:col>
          <xdr:colOff>441960</xdr:colOff>
          <xdr:row>27</xdr:row>
          <xdr:rowOff>22860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185737</xdr:colOff>
      <xdr:row>5</xdr:row>
      <xdr:rowOff>19050</xdr:rowOff>
    </xdr:from>
    <xdr:to>
      <xdr:col>17</xdr:col>
      <xdr:colOff>490537</xdr:colOff>
      <xdr:row>26</xdr:row>
      <xdr:rowOff>9525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7</xdr:col>
      <xdr:colOff>85726</xdr:colOff>
      <xdr:row>32</xdr:row>
      <xdr:rowOff>0</xdr:rowOff>
    </xdr:from>
    <xdr:ext cx="1390650" cy="264560"/>
    <xdr:sp macro="" textlink="">
      <xdr:nvSpPr>
        <xdr:cNvPr id="4" name="TextBox 3"/>
        <xdr:cNvSpPr txBox="1"/>
      </xdr:nvSpPr>
      <xdr:spPr>
        <a:xfrm>
          <a:off x="4352926" y="6315075"/>
          <a:ext cx="13906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𝒀=𝑨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∙𝑿+𝑩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33</xdr:row>
      <xdr:rowOff>161925</xdr:rowOff>
    </xdr:from>
    <xdr:ext cx="1400175" cy="264560"/>
    <xdr:sp macro="" textlink="">
      <xdr:nvSpPr>
        <xdr:cNvPr id="5" name="TextBox 4"/>
        <xdr:cNvSpPr txBox="1"/>
      </xdr:nvSpPr>
      <xdr:spPr>
        <a:xfrm>
          <a:off x="4267200" y="6667500"/>
          <a:ext cx="140017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𝒀=𝑪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∙𝑿^𝒎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180976</xdr:colOff>
      <xdr:row>35</xdr:row>
      <xdr:rowOff>85725</xdr:rowOff>
    </xdr:from>
    <xdr:ext cx="1638300" cy="264560"/>
    <xdr:sp macro="" textlink="">
      <xdr:nvSpPr>
        <xdr:cNvPr id="6" name="TextBox 5"/>
        <xdr:cNvSpPr txBox="1"/>
      </xdr:nvSpPr>
      <xdr:spPr>
        <a:xfrm>
          <a:off x="4448176" y="6972300"/>
          <a:ext cx="16383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 b="1" i="0">
              <a:solidFill>
                <a:srgbClr val="FF0000"/>
              </a:solidFill>
              <a:latin typeface="Cambria Math"/>
            </a:rPr>
            <a:t>𝑳𝑵𝒀=𝑳𝑵𝑪+𝒎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∙𝑳𝑵𝑿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175260</xdr:colOff>
          <xdr:row>15</xdr:row>
          <xdr:rowOff>22860</xdr:rowOff>
        </xdr:from>
        <xdr:to>
          <xdr:col>9</xdr:col>
          <xdr:colOff>396240</xdr:colOff>
          <xdr:row>19</xdr:row>
          <xdr:rowOff>7620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19050</xdr:colOff>
      <xdr:row>1</xdr:row>
      <xdr:rowOff>0</xdr:rowOff>
    </xdr:from>
    <xdr:ext cx="1533525" cy="472694"/>
    <xdr:sp macro="" textlink="">
      <xdr:nvSpPr>
        <xdr:cNvPr id="2" name="TextBox 1"/>
        <xdr:cNvSpPr txBox="1"/>
      </xdr:nvSpPr>
      <xdr:spPr>
        <a:xfrm>
          <a:off x="6115050" y="190500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10</xdr:col>
      <xdr:colOff>0</xdr:colOff>
      <xdr:row>2</xdr:row>
      <xdr:rowOff>195974</xdr:rowOff>
    </xdr:from>
    <xdr:ext cx="1552575" cy="472694"/>
    <xdr:sp macro="" textlink="">
      <xdr:nvSpPr>
        <xdr:cNvPr id="3" name="TextBox 2"/>
        <xdr:cNvSpPr txBox="1"/>
      </xdr:nvSpPr>
      <xdr:spPr>
        <a:xfrm>
          <a:off x="6096000" y="653174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13</xdr:col>
      <xdr:colOff>0</xdr:colOff>
      <xdr:row>2</xdr:row>
      <xdr:rowOff>0</xdr:rowOff>
    </xdr:from>
    <xdr:ext cx="1147763" cy="436851"/>
    <xdr:sp macro="" textlink="">
      <xdr:nvSpPr>
        <xdr:cNvPr id="4" name="TextBox 3"/>
        <xdr:cNvSpPr txBox="1"/>
      </xdr:nvSpPr>
      <xdr:spPr>
        <a:xfrm>
          <a:off x="7924800" y="533400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10</xdr:col>
      <xdr:colOff>128587</xdr:colOff>
      <xdr:row>5</xdr:row>
      <xdr:rowOff>28575</xdr:rowOff>
    </xdr:from>
    <xdr:to>
      <xdr:col>17</xdr:col>
      <xdr:colOff>433387</xdr:colOff>
      <xdr:row>25</xdr:row>
      <xdr:rowOff>171450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205740</xdr:colOff>
          <xdr:row>11</xdr:row>
          <xdr:rowOff>99060</xdr:rowOff>
        </xdr:from>
        <xdr:to>
          <xdr:col>9</xdr:col>
          <xdr:colOff>472440</xdr:colOff>
          <xdr:row>18</xdr:row>
          <xdr:rowOff>53340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19050</xdr:colOff>
      <xdr:row>2</xdr:row>
      <xdr:rowOff>0</xdr:rowOff>
    </xdr:from>
    <xdr:ext cx="1533525" cy="472694"/>
    <xdr:sp macro="" textlink="">
      <xdr:nvSpPr>
        <xdr:cNvPr id="2" name="TextBox 1"/>
        <xdr:cNvSpPr txBox="1"/>
      </xdr:nvSpPr>
      <xdr:spPr>
        <a:xfrm>
          <a:off x="9772650" y="476250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16</xdr:col>
      <xdr:colOff>0</xdr:colOff>
      <xdr:row>3</xdr:row>
      <xdr:rowOff>224549</xdr:rowOff>
    </xdr:from>
    <xdr:ext cx="1552575" cy="472694"/>
    <xdr:sp macro="" textlink="">
      <xdr:nvSpPr>
        <xdr:cNvPr id="3" name="TextBox 2"/>
        <xdr:cNvSpPr txBox="1"/>
      </xdr:nvSpPr>
      <xdr:spPr>
        <a:xfrm>
          <a:off x="9753600" y="938924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19</xdr:col>
      <xdr:colOff>0</xdr:colOff>
      <xdr:row>3</xdr:row>
      <xdr:rowOff>28575</xdr:rowOff>
    </xdr:from>
    <xdr:ext cx="1147763" cy="436851"/>
    <xdr:sp macro="" textlink="">
      <xdr:nvSpPr>
        <xdr:cNvPr id="4" name="TextBox 3"/>
        <xdr:cNvSpPr txBox="1"/>
      </xdr:nvSpPr>
      <xdr:spPr>
        <a:xfrm>
          <a:off x="11582400" y="742950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10</xdr:col>
      <xdr:colOff>152400</xdr:colOff>
      <xdr:row>13</xdr:row>
      <xdr:rowOff>161925</xdr:rowOff>
    </xdr:from>
    <xdr:to>
      <xdr:col>18</xdr:col>
      <xdr:colOff>242887</xdr:colOff>
      <xdr:row>34</xdr:row>
      <xdr:rowOff>171450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251460</xdr:colOff>
          <xdr:row>24</xdr:row>
          <xdr:rowOff>0</xdr:rowOff>
        </xdr:from>
        <xdr:to>
          <xdr:col>10</xdr:col>
          <xdr:colOff>7620</xdr:colOff>
          <xdr:row>29</xdr:row>
          <xdr:rowOff>7620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19050</xdr:colOff>
      <xdr:row>2</xdr:row>
      <xdr:rowOff>0</xdr:rowOff>
    </xdr:from>
    <xdr:ext cx="1533525" cy="472694"/>
    <xdr:sp macro="" textlink="">
      <xdr:nvSpPr>
        <xdr:cNvPr id="2" name="TextBox 1"/>
        <xdr:cNvSpPr txBox="1"/>
      </xdr:nvSpPr>
      <xdr:spPr>
        <a:xfrm>
          <a:off x="9163050" y="504825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15</xdr:col>
      <xdr:colOff>0</xdr:colOff>
      <xdr:row>3</xdr:row>
      <xdr:rowOff>224549</xdr:rowOff>
    </xdr:from>
    <xdr:ext cx="1552575" cy="472694"/>
    <xdr:sp macro="" textlink="">
      <xdr:nvSpPr>
        <xdr:cNvPr id="3" name="TextBox 2"/>
        <xdr:cNvSpPr txBox="1"/>
      </xdr:nvSpPr>
      <xdr:spPr>
        <a:xfrm>
          <a:off x="9144000" y="967499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18</xdr:col>
      <xdr:colOff>0</xdr:colOff>
      <xdr:row>3</xdr:row>
      <xdr:rowOff>28575</xdr:rowOff>
    </xdr:from>
    <xdr:ext cx="1147763" cy="436851"/>
    <xdr:sp macro="" textlink="">
      <xdr:nvSpPr>
        <xdr:cNvPr id="4" name="TextBox 3"/>
        <xdr:cNvSpPr txBox="1"/>
      </xdr:nvSpPr>
      <xdr:spPr>
        <a:xfrm>
          <a:off x="10972800" y="771525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10</xdr:col>
      <xdr:colOff>14287</xdr:colOff>
      <xdr:row>14</xdr:row>
      <xdr:rowOff>0</xdr:rowOff>
    </xdr:from>
    <xdr:to>
      <xdr:col>17</xdr:col>
      <xdr:colOff>319087</xdr:colOff>
      <xdr:row>35</xdr:row>
      <xdr:rowOff>9525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85725</xdr:colOff>
      <xdr:row>11</xdr:row>
      <xdr:rowOff>66675</xdr:rowOff>
    </xdr:from>
    <xdr:to>
      <xdr:col>9</xdr:col>
      <xdr:colOff>542925</xdr:colOff>
      <xdr:row>11</xdr:row>
      <xdr:rowOff>209550</xdr:rowOff>
    </xdr:to>
    <xdr:sp macro="" textlink="">
      <xdr:nvSpPr>
        <xdr:cNvPr id="6" name="Стрелка вправо 5"/>
        <xdr:cNvSpPr/>
      </xdr:nvSpPr>
      <xdr:spPr>
        <a:xfrm>
          <a:off x="5572125" y="2781300"/>
          <a:ext cx="457200" cy="142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160020</xdr:colOff>
          <xdr:row>22</xdr:row>
          <xdr:rowOff>53340</xdr:rowOff>
        </xdr:from>
        <xdr:to>
          <xdr:col>9</xdr:col>
          <xdr:colOff>365760</xdr:colOff>
          <xdr:row>27</xdr:row>
          <xdr:rowOff>114300</xdr:rowOff>
        </xdr:to>
        <xdr:sp macro="" textlink="">
          <xdr:nvSpPr>
            <xdr:cNvPr id="18433" name="CommandButton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19050</xdr:colOff>
      <xdr:row>2</xdr:row>
      <xdr:rowOff>0</xdr:rowOff>
    </xdr:from>
    <xdr:ext cx="1533525" cy="472694"/>
    <xdr:sp macro="" textlink="">
      <xdr:nvSpPr>
        <xdr:cNvPr id="2" name="TextBox 1"/>
        <xdr:cNvSpPr txBox="1"/>
      </xdr:nvSpPr>
      <xdr:spPr>
        <a:xfrm>
          <a:off x="8553450" y="504825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14</xdr:col>
      <xdr:colOff>0</xdr:colOff>
      <xdr:row>3</xdr:row>
      <xdr:rowOff>224549</xdr:rowOff>
    </xdr:from>
    <xdr:ext cx="1552575" cy="472694"/>
    <xdr:sp macro="" textlink="">
      <xdr:nvSpPr>
        <xdr:cNvPr id="3" name="TextBox 2"/>
        <xdr:cNvSpPr txBox="1"/>
      </xdr:nvSpPr>
      <xdr:spPr>
        <a:xfrm>
          <a:off x="8534400" y="967499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17</xdr:col>
      <xdr:colOff>0</xdr:colOff>
      <xdr:row>3</xdr:row>
      <xdr:rowOff>28575</xdr:rowOff>
    </xdr:from>
    <xdr:ext cx="1147763" cy="436851"/>
    <xdr:sp macro="" textlink="">
      <xdr:nvSpPr>
        <xdr:cNvPr id="4" name="TextBox 3"/>
        <xdr:cNvSpPr txBox="1"/>
      </xdr:nvSpPr>
      <xdr:spPr>
        <a:xfrm>
          <a:off x="10363200" y="771525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10</xdr:col>
      <xdr:colOff>0</xdr:colOff>
      <xdr:row>14</xdr:row>
      <xdr:rowOff>19050</xdr:rowOff>
    </xdr:from>
    <xdr:to>
      <xdr:col>17</xdr:col>
      <xdr:colOff>304800</xdr:colOff>
      <xdr:row>34</xdr:row>
      <xdr:rowOff>190500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85725</xdr:colOff>
      <xdr:row>11</xdr:row>
      <xdr:rowOff>66675</xdr:rowOff>
    </xdr:from>
    <xdr:to>
      <xdr:col>9</xdr:col>
      <xdr:colOff>542925</xdr:colOff>
      <xdr:row>11</xdr:row>
      <xdr:rowOff>209550</xdr:rowOff>
    </xdr:to>
    <xdr:sp macro="" textlink="">
      <xdr:nvSpPr>
        <xdr:cNvPr id="7" name="Стрелка вправо 6"/>
        <xdr:cNvSpPr/>
      </xdr:nvSpPr>
      <xdr:spPr>
        <a:xfrm>
          <a:off x="5572125" y="2781300"/>
          <a:ext cx="457200" cy="142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121920</xdr:colOff>
          <xdr:row>21</xdr:row>
          <xdr:rowOff>106680</xdr:rowOff>
        </xdr:from>
        <xdr:to>
          <xdr:col>9</xdr:col>
          <xdr:colOff>335280</xdr:colOff>
          <xdr:row>27</xdr:row>
          <xdr:rowOff>0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14</xdr:col>
      <xdr:colOff>19050</xdr:colOff>
      <xdr:row>2</xdr:row>
      <xdr:rowOff>0</xdr:rowOff>
    </xdr:from>
    <xdr:ext cx="1533525" cy="472694"/>
    <xdr:sp macro="" textlink="">
      <xdr:nvSpPr>
        <xdr:cNvPr id="2" name="TextBox 1"/>
        <xdr:cNvSpPr txBox="1"/>
      </xdr:nvSpPr>
      <xdr:spPr>
        <a:xfrm>
          <a:off x="8553450" y="504825"/>
          <a:ext cx="153352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14</xdr:col>
      <xdr:colOff>0</xdr:colOff>
      <xdr:row>3</xdr:row>
      <xdr:rowOff>224549</xdr:rowOff>
    </xdr:from>
    <xdr:ext cx="1552575" cy="472694"/>
    <xdr:sp macro="" textlink="">
      <xdr:nvSpPr>
        <xdr:cNvPr id="3" name="TextBox 2"/>
        <xdr:cNvSpPr txBox="1"/>
      </xdr:nvSpPr>
      <xdr:spPr>
        <a:xfrm>
          <a:off x="8534400" y="967499"/>
          <a:ext cx="1552575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17</xdr:col>
      <xdr:colOff>0</xdr:colOff>
      <xdr:row>3</xdr:row>
      <xdr:rowOff>28575</xdr:rowOff>
    </xdr:from>
    <xdr:ext cx="1147763" cy="436851"/>
    <xdr:sp macro="" textlink="">
      <xdr:nvSpPr>
        <xdr:cNvPr id="4" name="TextBox 3"/>
        <xdr:cNvSpPr txBox="1"/>
      </xdr:nvSpPr>
      <xdr:spPr>
        <a:xfrm>
          <a:off x="10363200" y="771525"/>
          <a:ext cx="1147763" cy="436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i="0">
              <a:latin typeface="Cambria Math"/>
              <a:ea typeface="Cambria Math"/>
            </a:rPr>
            <a:t>∆</a:t>
          </a:r>
          <a:r>
            <a:rPr lang="en-US" sz="1100" b="0" i="0">
              <a:latin typeface="Cambria Math"/>
              <a:ea typeface="Cambria Math"/>
            </a:rPr>
            <a:t>𝑡=−1/𝜇 𝐿𝑁(𝑟)</a:t>
          </a:r>
          <a:endParaRPr lang="ru-RU" sz="1100"/>
        </a:p>
      </xdr:txBody>
    </xdr:sp>
    <xdr:clientData/>
  </xdr:oneCellAnchor>
  <xdr:twoCellAnchor>
    <xdr:from>
      <xdr:col>9</xdr:col>
      <xdr:colOff>609599</xdr:colOff>
      <xdr:row>14</xdr:row>
      <xdr:rowOff>19049</xdr:rowOff>
    </xdr:from>
    <xdr:to>
      <xdr:col>18</xdr:col>
      <xdr:colOff>161924</xdr:colOff>
      <xdr:row>36</xdr:row>
      <xdr:rowOff>38099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85725</xdr:colOff>
      <xdr:row>11</xdr:row>
      <xdr:rowOff>66675</xdr:rowOff>
    </xdr:from>
    <xdr:to>
      <xdr:col>10</xdr:col>
      <xdr:colOff>542925</xdr:colOff>
      <xdr:row>11</xdr:row>
      <xdr:rowOff>209550</xdr:rowOff>
    </xdr:to>
    <xdr:sp macro="" textlink="">
      <xdr:nvSpPr>
        <xdr:cNvPr id="7" name="Стрелка вправо 6"/>
        <xdr:cNvSpPr/>
      </xdr:nvSpPr>
      <xdr:spPr>
        <a:xfrm>
          <a:off x="5572125" y="2781300"/>
          <a:ext cx="457200" cy="1428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99060</xdr:colOff>
          <xdr:row>21</xdr:row>
          <xdr:rowOff>22860</xdr:rowOff>
        </xdr:from>
        <xdr:to>
          <xdr:col>9</xdr:col>
          <xdr:colOff>350520</xdr:colOff>
          <xdr:row>26</xdr:row>
          <xdr:rowOff>0</xdr:rowOff>
        </xdr:to>
        <xdr:sp macro="" textlink="">
          <xdr:nvSpPr>
            <xdr:cNvPr id="20481" name="CommandButton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7620</xdr:colOff>
          <xdr:row>1</xdr:row>
          <xdr:rowOff>15240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21505" name="CommandButton1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581025</xdr:colOff>
      <xdr:row>1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1962150" y="105727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1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5191125" y="10477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581025</xdr:colOff>
      <xdr:row>1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1962150" y="105727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6</xdr:col>
      <xdr:colOff>0</xdr:colOff>
      <xdr:row>1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5191125" y="10477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180975</xdr:colOff>
      <xdr:row>7</xdr:row>
      <xdr:rowOff>85724</xdr:rowOff>
    </xdr:from>
    <xdr:to>
      <xdr:col>20</xdr:col>
      <xdr:colOff>257175</xdr:colOff>
      <xdr:row>31</xdr:row>
      <xdr:rowOff>161925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822960</xdr:colOff>
          <xdr:row>1</xdr:row>
          <xdr:rowOff>144780</xdr:rowOff>
        </xdr:from>
        <xdr:to>
          <xdr:col>10</xdr:col>
          <xdr:colOff>441960</xdr:colOff>
          <xdr:row>5</xdr:row>
          <xdr:rowOff>15240</xdr:rowOff>
        </xdr:to>
        <xdr:sp macro="" textlink="">
          <xdr:nvSpPr>
            <xdr:cNvPr id="23553" name="CommandButton1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581025</xdr:colOff>
      <xdr:row>2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1962150" y="105727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2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5191125" y="10477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228600</xdr:colOff>
      <xdr:row>2</xdr:row>
      <xdr:rowOff>161924</xdr:rowOff>
    </xdr:from>
    <xdr:to>
      <xdr:col>22</xdr:col>
      <xdr:colOff>514350</xdr:colOff>
      <xdr:row>24</xdr:row>
      <xdr:rowOff>19049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472440</xdr:colOff>
          <xdr:row>1</xdr:row>
          <xdr:rowOff>30480</xdr:rowOff>
        </xdr:from>
        <xdr:to>
          <xdr:col>11</xdr:col>
          <xdr:colOff>327660</xdr:colOff>
          <xdr:row>2</xdr:row>
          <xdr:rowOff>0</xdr:rowOff>
        </xdr:to>
        <xdr:sp macro="" textlink="">
          <xdr:nvSpPr>
            <xdr:cNvPr id="24577" name="CommandButton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581025</xdr:colOff>
      <xdr:row>2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2133600" y="8191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2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6562725" y="8096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12</xdr:col>
      <xdr:colOff>38099</xdr:colOff>
      <xdr:row>4</xdr:row>
      <xdr:rowOff>104774</xdr:rowOff>
    </xdr:from>
    <xdr:to>
      <xdr:col>23</xdr:col>
      <xdr:colOff>47624</xdr:colOff>
      <xdr:row>25</xdr:row>
      <xdr:rowOff>57149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464820</xdr:colOff>
          <xdr:row>1</xdr:row>
          <xdr:rowOff>60960</xdr:rowOff>
        </xdr:from>
        <xdr:to>
          <xdr:col>12</xdr:col>
          <xdr:colOff>22860</xdr:colOff>
          <xdr:row>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581025</xdr:colOff>
      <xdr:row>2</xdr:row>
      <xdr:rowOff>57150</xdr:rowOff>
    </xdr:from>
    <xdr:ext cx="2095500" cy="264560"/>
    <xdr:sp macro="" textlink="">
      <xdr:nvSpPr>
        <xdr:cNvPr id="2" name="TextBox 1"/>
        <xdr:cNvSpPr txBox="1"/>
      </xdr:nvSpPr>
      <xdr:spPr>
        <a:xfrm>
          <a:off x="2724150" y="1009650"/>
          <a:ext cx="20955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857249</xdr:colOff>
      <xdr:row>2</xdr:row>
      <xdr:rowOff>47625</xdr:rowOff>
    </xdr:from>
    <xdr:ext cx="2066925" cy="264560"/>
    <xdr:sp macro="" textlink="">
      <xdr:nvSpPr>
        <xdr:cNvPr id="3" name="TextBox 2"/>
        <xdr:cNvSpPr txBox="1"/>
      </xdr:nvSpPr>
      <xdr:spPr>
        <a:xfrm>
          <a:off x="6619874" y="1000125"/>
          <a:ext cx="20669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19050</xdr:colOff>
      <xdr:row>3</xdr:row>
      <xdr:rowOff>171449</xdr:rowOff>
    </xdr:from>
    <xdr:to>
      <xdr:col>23</xdr:col>
      <xdr:colOff>409575</xdr:colOff>
      <xdr:row>28</xdr:row>
      <xdr:rowOff>171450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133350</xdr:colOff>
      <xdr:row>40</xdr:row>
      <xdr:rowOff>85725</xdr:rowOff>
    </xdr:from>
    <xdr:to>
      <xdr:col>19</xdr:col>
      <xdr:colOff>438150</xdr:colOff>
      <xdr:row>54</xdr:row>
      <xdr:rowOff>161925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350520</xdr:colOff>
          <xdr:row>1</xdr:row>
          <xdr:rowOff>45720</xdr:rowOff>
        </xdr:from>
        <xdr:to>
          <xdr:col>13</xdr:col>
          <xdr:colOff>7620</xdr:colOff>
          <xdr:row>4</xdr:row>
          <xdr:rowOff>7620</xdr:rowOff>
        </xdr:to>
        <xdr:sp macro="" textlink="">
          <xdr:nvSpPr>
            <xdr:cNvPr id="26625" name="CommandButton1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581025</xdr:colOff>
      <xdr:row>2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2724150" y="10096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2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6619875" y="10001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9525</xdr:colOff>
      <xdr:row>4</xdr:row>
      <xdr:rowOff>0</xdr:rowOff>
    </xdr:from>
    <xdr:to>
      <xdr:col>23</xdr:col>
      <xdr:colOff>9525</xdr:colOff>
      <xdr:row>22</xdr:row>
      <xdr:rowOff>104775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209550</xdr:colOff>
      <xdr:row>228</xdr:row>
      <xdr:rowOff>123824</xdr:rowOff>
    </xdr:from>
    <xdr:to>
      <xdr:col>5</xdr:col>
      <xdr:colOff>997323</xdr:colOff>
      <xdr:row>229</xdr:row>
      <xdr:rowOff>145675</xdr:rowOff>
    </xdr:to>
    <xdr:sp macro="" textlink="">
      <xdr:nvSpPr>
        <xdr:cNvPr id="5" name="Стрелка вправо 4"/>
        <xdr:cNvSpPr/>
      </xdr:nvSpPr>
      <xdr:spPr>
        <a:xfrm>
          <a:off x="4142815" y="45261118"/>
          <a:ext cx="787773" cy="257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9</xdr:col>
      <xdr:colOff>171450</xdr:colOff>
      <xdr:row>228</xdr:row>
      <xdr:rowOff>161925</xdr:rowOff>
    </xdr:from>
    <xdr:to>
      <xdr:col>9</xdr:col>
      <xdr:colOff>952500</xdr:colOff>
      <xdr:row>229</xdr:row>
      <xdr:rowOff>168088</xdr:rowOff>
    </xdr:to>
    <xdr:sp macro="" textlink="">
      <xdr:nvSpPr>
        <xdr:cNvPr id="9" name="Стрелка вправо 8"/>
        <xdr:cNvSpPr/>
      </xdr:nvSpPr>
      <xdr:spPr>
        <a:xfrm>
          <a:off x="8172450" y="45299219"/>
          <a:ext cx="781050" cy="241487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13</xdr:col>
      <xdr:colOff>238125</xdr:colOff>
      <xdr:row>228</xdr:row>
      <xdr:rowOff>133350</xdr:rowOff>
    </xdr:from>
    <xdr:to>
      <xdr:col>13</xdr:col>
      <xdr:colOff>1066800</xdr:colOff>
      <xdr:row>229</xdr:row>
      <xdr:rowOff>152400</xdr:rowOff>
    </xdr:to>
    <xdr:sp macro="" textlink="">
      <xdr:nvSpPr>
        <xdr:cNvPr id="10" name="Стрелка вправо 9"/>
        <xdr:cNvSpPr/>
      </xdr:nvSpPr>
      <xdr:spPr>
        <a:xfrm>
          <a:off x="11439525" y="44272200"/>
          <a:ext cx="828675" cy="2571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19</xdr:col>
      <xdr:colOff>0</xdr:colOff>
      <xdr:row>228</xdr:row>
      <xdr:rowOff>6723</xdr:rowOff>
    </xdr:from>
    <xdr:to>
      <xdr:col>33</xdr:col>
      <xdr:colOff>526677</xdr:colOff>
      <xdr:row>253</xdr:row>
      <xdr:rowOff>89646</xdr:rowOff>
    </xdr:to>
    <xdr:graphicFrame macro="">
      <xdr:nvGraphicFramePr>
        <xdr:cNvPr id="11" name="Диаграмма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605117</xdr:colOff>
      <xdr:row>631</xdr:row>
      <xdr:rowOff>129987</xdr:rowOff>
    </xdr:from>
    <xdr:to>
      <xdr:col>32</xdr:col>
      <xdr:colOff>593911</xdr:colOff>
      <xdr:row>656</xdr:row>
      <xdr:rowOff>78440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631</xdr:row>
      <xdr:rowOff>174811</xdr:rowOff>
    </xdr:from>
    <xdr:to>
      <xdr:col>13</xdr:col>
      <xdr:colOff>190500</xdr:colOff>
      <xdr:row>656</xdr:row>
      <xdr:rowOff>22410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39</xdr:col>
      <xdr:colOff>11205</xdr:colOff>
      <xdr:row>631</xdr:row>
      <xdr:rowOff>186017</xdr:rowOff>
    </xdr:from>
    <xdr:to>
      <xdr:col>54</xdr:col>
      <xdr:colOff>0</xdr:colOff>
      <xdr:row>656</xdr:row>
      <xdr:rowOff>89647</xdr:rowOff>
    </xdr:to>
    <xdr:graphicFrame macro="">
      <xdr:nvGraphicFramePr>
        <xdr:cNvPr id="12" name="Диаграмма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0</xdr:row>
          <xdr:rowOff>60960</xdr:rowOff>
        </xdr:from>
        <xdr:to>
          <xdr:col>11</xdr:col>
          <xdr:colOff>769620</xdr:colOff>
          <xdr:row>3</xdr:row>
          <xdr:rowOff>99060</xdr:rowOff>
        </xdr:to>
        <xdr:sp macro="" textlink="">
          <xdr:nvSpPr>
            <xdr:cNvPr id="27649" name="CommandButton1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594360</xdr:colOff>
          <xdr:row>225</xdr:row>
          <xdr:rowOff>205740</xdr:rowOff>
        </xdr:from>
        <xdr:to>
          <xdr:col>19</xdr:col>
          <xdr:colOff>53340</xdr:colOff>
          <xdr:row>227</xdr:row>
          <xdr:rowOff>335280</xdr:rowOff>
        </xdr:to>
        <xdr:sp macro="" textlink="">
          <xdr:nvSpPr>
            <xdr:cNvPr id="27654" name="CommandButton2" hidden="1">
              <a:extLst>
                <a:ext uri="{63B3BB69-23CF-44E3-9099-C40C66FF867C}">
                  <a14:compatExt spid="_x0000_s27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581025</xdr:colOff>
      <xdr:row>1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1905000" y="8191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1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6153150" y="8096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10</xdr:col>
      <xdr:colOff>552450</xdr:colOff>
      <xdr:row>4</xdr:row>
      <xdr:rowOff>38100</xdr:rowOff>
    </xdr:from>
    <xdr:to>
      <xdr:col>21</xdr:col>
      <xdr:colOff>571500</xdr:colOff>
      <xdr:row>25</xdr:row>
      <xdr:rowOff>9525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7620</xdr:colOff>
          <xdr:row>0</xdr:row>
          <xdr:rowOff>175260</xdr:rowOff>
        </xdr:from>
        <xdr:to>
          <xdr:col>12</xdr:col>
          <xdr:colOff>289560</xdr:colOff>
          <xdr:row>2</xdr:row>
          <xdr:rowOff>91440</xdr:rowOff>
        </xdr:to>
        <xdr:sp macro="" textlink="">
          <xdr:nvSpPr>
            <xdr:cNvPr id="28673" name="CommandButton1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581025</xdr:colOff>
      <xdr:row>1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2133600" y="6286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1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6143625" y="6191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9525</xdr:colOff>
      <xdr:row>2</xdr:row>
      <xdr:rowOff>76199</xdr:rowOff>
    </xdr:from>
    <xdr:to>
      <xdr:col>20</xdr:col>
      <xdr:colOff>333375</xdr:colOff>
      <xdr:row>19</xdr:row>
      <xdr:rowOff>114299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480060</xdr:colOff>
          <xdr:row>0</xdr:row>
          <xdr:rowOff>213360</xdr:rowOff>
        </xdr:from>
        <xdr:to>
          <xdr:col>12</xdr:col>
          <xdr:colOff>15240</xdr:colOff>
          <xdr:row>1</xdr:row>
          <xdr:rowOff>129540</xdr:rowOff>
        </xdr:to>
        <xdr:sp macro="" textlink="">
          <xdr:nvSpPr>
            <xdr:cNvPr id="29697" name="CommandButton1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581025</xdr:colOff>
      <xdr:row>2</xdr:row>
      <xdr:rowOff>57150</xdr:rowOff>
    </xdr:from>
    <xdr:ext cx="1905000" cy="472694"/>
    <xdr:sp macro="" textlink="">
      <xdr:nvSpPr>
        <xdr:cNvPr id="2" name="TextBox 1"/>
        <xdr:cNvSpPr txBox="1"/>
      </xdr:nvSpPr>
      <xdr:spPr>
        <a:xfrm>
          <a:off x="1905000" y="819150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пост=𝟏/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𝝀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oneCellAnchor>
    <xdr:from>
      <xdr:col>7</xdr:col>
      <xdr:colOff>0</xdr:colOff>
      <xdr:row>2</xdr:row>
      <xdr:rowOff>47625</xdr:rowOff>
    </xdr:from>
    <xdr:ext cx="1905000" cy="472694"/>
    <xdr:sp macro="" textlink="">
      <xdr:nvSpPr>
        <xdr:cNvPr id="3" name="TextBox 2"/>
        <xdr:cNvSpPr txBox="1"/>
      </xdr:nvSpPr>
      <xdr:spPr>
        <a:xfrm>
          <a:off x="6153150" y="809625"/>
          <a:ext cx="1905000" cy="47269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ru-RU" sz="1100" b="1" i="0">
              <a:solidFill>
                <a:srgbClr val="FF0000"/>
              </a:solidFill>
              <a:latin typeface="Cambria Math"/>
            </a:rPr>
            <a:t>〖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∆</a:t>
          </a:r>
          <a:r>
            <a:rPr lang="en-US" sz="1100" b="1" i="0">
              <a:solidFill>
                <a:srgbClr val="FF0000"/>
              </a:solidFill>
              <a:latin typeface="Cambria Math"/>
              <a:ea typeface="Cambria Math"/>
            </a:rPr>
            <a:t>𝒕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〗_</a:t>
          </a:r>
          <a:r>
            <a:rPr lang="ru-RU" sz="1100" b="1" i="0">
              <a:solidFill>
                <a:srgbClr val="FF0000"/>
              </a:solidFill>
              <a:latin typeface="Cambria Math"/>
            </a:rPr>
            <a:t>обсл=𝟏/</a:t>
          </a:r>
          <a:r>
            <a:rPr lang="ru-RU" sz="1100" b="1" i="0">
              <a:solidFill>
                <a:srgbClr val="FF0000"/>
              </a:solidFill>
              <a:latin typeface="Cambria Math"/>
              <a:ea typeface="Cambria Math"/>
            </a:rPr>
            <a:t>𝝁</a:t>
          </a:r>
          <a:r>
            <a:rPr lang="en-US" sz="1100" b="1" i="0">
              <a:solidFill>
                <a:srgbClr val="FF0000"/>
              </a:solidFill>
              <a:latin typeface="Cambria Math"/>
            </a:rPr>
            <a:t>𝐋𝐍(𝟏/(𝟏−𝒓))</a:t>
          </a:r>
          <a:endParaRPr lang="ru-RU" sz="1100" b="1">
            <a:solidFill>
              <a:srgbClr val="FF0000"/>
            </a:solidFill>
          </a:endParaRPr>
        </a:p>
      </xdr:txBody>
    </xdr:sp>
    <xdr:clientData/>
  </xdr:oneCellAnchor>
  <xdr:twoCellAnchor>
    <xdr:from>
      <xdr:col>11</xdr:col>
      <xdr:colOff>19050</xdr:colOff>
      <xdr:row>2</xdr:row>
      <xdr:rowOff>38100</xdr:rowOff>
    </xdr:from>
    <xdr:to>
      <xdr:col>24</xdr:col>
      <xdr:colOff>361950</xdr:colOff>
      <xdr:row>24</xdr:row>
      <xdr:rowOff>104775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30480</xdr:colOff>
          <xdr:row>0</xdr:row>
          <xdr:rowOff>121920</xdr:rowOff>
        </xdr:from>
        <xdr:to>
          <xdr:col>12</xdr:col>
          <xdr:colOff>213360</xdr:colOff>
          <xdr:row>1</xdr:row>
          <xdr:rowOff>670560</xdr:rowOff>
        </xdr:to>
        <xdr:sp macro="" textlink="">
          <xdr:nvSpPr>
            <xdr:cNvPr id="30721" name="CommandButton1" hidden="1">
              <a:extLst>
                <a:ext uri="{63B3BB69-23CF-44E3-9099-C40C66FF867C}">
                  <a14:compatExt spid="_x0000_s30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6.emf"/><Relationship Id="rId4" Type="http://schemas.openxmlformats.org/officeDocument/2006/relationships/control" Target="../activeX/activeX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8.xml"/><Relationship Id="rId4" Type="http://schemas.openxmlformats.org/officeDocument/2006/relationships/image" Target="../media/image7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8.emf"/><Relationship Id="rId4" Type="http://schemas.openxmlformats.org/officeDocument/2006/relationships/control" Target="../activeX/activeX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10.xml"/><Relationship Id="rId4" Type="http://schemas.openxmlformats.org/officeDocument/2006/relationships/image" Target="../media/image9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1.xml"/><Relationship Id="rId4" Type="http://schemas.openxmlformats.org/officeDocument/2006/relationships/image" Target="../media/image10.emf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2.xml"/><Relationship Id="rId4" Type="http://schemas.openxmlformats.org/officeDocument/2006/relationships/image" Target="../media/image11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3.xml"/><Relationship Id="rId4" Type="http://schemas.openxmlformats.org/officeDocument/2006/relationships/image" Target="../media/image12.emf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4.xml"/><Relationship Id="rId4" Type="http://schemas.openxmlformats.org/officeDocument/2006/relationships/image" Target="../media/image13.emf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5.xml"/><Relationship Id="rId4" Type="http://schemas.openxmlformats.org/officeDocument/2006/relationships/image" Target="../media/image14.emf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6.xml"/><Relationship Id="rId4" Type="http://schemas.openxmlformats.org/officeDocument/2006/relationships/image" Target="../media/image15.emf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7.xml"/><Relationship Id="rId4" Type="http://schemas.openxmlformats.org/officeDocument/2006/relationships/image" Target="../media/image16.emf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17.emf"/><Relationship Id="rId4" Type="http://schemas.openxmlformats.org/officeDocument/2006/relationships/control" Target="../activeX/activeX1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8.emf"/><Relationship Id="rId4" Type="http://schemas.openxmlformats.org/officeDocument/2006/relationships/control" Target="../activeX/activeX16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21.xml"/><Relationship Id="rId4" Type="http://schemas.openxmlformats.org/officeDocument/2006/relationships/image" Target="../media/image19.emf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8.xml"/><Relationship Id="rId2" Type="http://schemas.openxmlformats.org/officeDocument/2006/relationships/vmlDrawing" Target="../drawings/vmlDrawing18.vml"/><Relationship Id="rId1" Type="http://schemas.openxmlformats.org/officeDocument/2006/relationships/drawing" Target="../drawings/drawing22.xml"/><Relationship Id="rId4" Type="http://schemas.openxmlformats.org/officeDocument/2006/relationships/image" Target="../media/image20.emf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9.xml"/><Relationship Id="rId2" Type="http://schemas.openxmlformats.org/officeDocument/2006/relationships/vmlDrawing" Target="../drawings/vmlDrawing19.vml"/><Relationship Id="rId1" Type="http://schemas.openxmlformats.org/officeDocument/2006/relationships/drawing" Target="../drawings/drawing23.xml"/><Relationship Id="rId6" Type="http://schemas.openxmlformats.org/officeDocument/2006/relationships/image" Target="../media/image22.emf"/><Relationship Id="rId5" Type="http://schemas.openxmlformats.org/officeDocument/2006/relationships/control" Target="../activeX/activeX20.xml"/><Relationship Id="rId4" Type="http://schemas.openxmlformats.org/officeDocument/2006/relationships/image" Target="../media/image21.emf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20.vml"/><Relationship Id="rId1" Type="http://schemas.openxmlformats.org/officeDocument/2006/relationships/drawing" Target="../drawings/drawing24.xml"/><Relationship Id="rId4" Type="http://schemas.openxmlformats.org/officeDocument/2006/relationships/image" Target="../media/image23.emf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2" Type="http://schemas.openxmlformats.org/officeDocument/2006/relationships/vmlDrawing" Target="../drawings/vmlDrawing21.vml"/><Relationship Id="rId1" Type="http://schemas.openxmlformats.org/officeDocument/2006/relationships/drawing" Target="../drawings/drawing25.xml"/><Relationship Id="rId4" Type="http://schemas.openxmlformats.org/officeDocument/2006/relationships/image" Target="../media/image24.emf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25.emf"/><Relationship Id="rId4" Type="http://schemas.openxmlformats.org/officeDocument/2006/relationships/control" Target="../activeX/activeX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B219"/>
  <sheetViews>
    <sheetView zoomScale="70" zoomScaleNormal="70" workbookViewId="0">
      <selection activeCell="G17" sqref="G17"/>
    </sheetView>
  </sheetViews>
  <sheetFormatPr defaultRowHeight="14.4" x14ac:dyDescent="0.3"/>
  <cols>
    <col min="2" max="2" width="11.5546875" bestFit="1" customWidth="1"/>
    <col min="3" max="3" width="10.88671875" customWidth="1"/>
    <col min="4" max="8" width="11.5546875" bestFit="1" customWidth="1"/>
    <col min="9" max="9" width="11.109375" customWidth="1"/>
  </cols>
  <sheetData>
    <row r="1" spans="1:28" ht="18" x14ac:dyDescent="0.35">
      <c r="D1" s="1" t="s">
        <v>0</v>
      </c>
    </row>
    <row r="2" spans="1:28" ht="57.6" x14ac:dyDescent="0.3">
      <c r="D2" s="2" t="s">
        <v>1</v>
      </c>
      <c r="E2" s="3" t="s">
        <v>2</v>
      </c>
      <c r="F2" s="4">
        <v>0.04</v>
      </c>
      <c r="H2" s="5" t="s">
        <v>3</v>
      </c>
      <c r="I2" s="6" t="s">
        <v>4</v>
      </c>
      <c r="J2" s="42">
        <v>5.2000000000000005E-2</v>
      </c>
      <c r="L2" s="7" t="s">
        <v>5</v>
      </c>
      <c r="T2" s="68" t="s">
        <v>180</v>
      </c>
      <c r="U2" s="68" t="s">
        <v>182</v>
      </c>
      <c r="W2" s="68" t="s">
        <v>181</v>
      </c>
      <c r="Y2" s="68" t="s">
        <v>183</v>
      </c>
      <c r="Z2" s="68" t="s">
        <v>181</v>
      </c>
      <c r="AB2" s="68" t="s">
        <v>182</v>
      </c>
    </row>
    <row r="4" spans="1:28" x14ac:dyDescent="0.3">
      <c r="A4" t="s">
        <v>164</v>
      </c>
      <c r="L4" t="s">
        <v>23</v>
      </c>
    </row>
    <row r="5" spans="1:28" x14ac:dyDescent="0.3">
      <c r="A5">
        <f>F2/(J2-F2)</f>
        <v>3.3333333333333321</v>
      </c>
    </row>
    <row r="7" spans="1:28" x14ac:dyDescent="0.3">
      <c r="C7" t="s">
        <v>6</v>
      </c>
    </row>
    <row r="8" spans="1:28" ht="18.600000000000001" x14ac:dyDescent="0.3">
      <c r="C8" s="8" t="s">
        <v>7</v>
      </c>
      <c r="D8" s="7" t="s">
        <v>8</v>
      </c>
    </row>
    <row r="9" spans="1:28" ht="18.600000000000001" x14ac:dyDescent="0.3">
      <c r="C9" s="8" t="s">
        <v>9</v>
      </c>
      <c r="D9" s="7" t="s">
        <v>10</v>
      </c>
    </row>
    <row r="10" spans="1:28" ht="18" x14ac:dyDescent="0.3">
      <c r="C10" s="9" t="s">
        <v>11</v>
      </c>
      <c r="D10" s="7" t="s">
        <v>12</v>
      </c>
    </row>
    <row r="11" spans="1:28" ht="18.600000000000001" x14ac:dyDescent="0.3">
      <c r="C11" s="8" t="s">
        <v>13</v>
      </c>
      <c r="D11" s="7" t="s">
        <v>14</v>
      </c>
    </row>
    <row r="12" spans="1:28" ht="18" x14ac:dyDescent="0.3">
      <c r="C12" s="9" t="s">
        <v>15</v>
      </c>
      <c r="D12" s="7" t="s">
        <v>16</v>
      </c>
    </row>
    <row r="13" spans="1:28" ht="18.75" customHeight="1" x14ac:dyDescent="0.3">
      <c r="C13" s="8" t="s">
        <v>17</v>
      </c>
      <c r="D13" s="7" t="s">
        <v>18</v>
      </c>
    </row>
    <row r="15" spans="1:28" ht="21" x14ac:dyDescent="0.3">
      <c r="A15" s="8" t="s">
        <v>19</v>
      </c>
      <c r="B15" s="8" t="s">
        <v>20</v>
      </c>
      <c r="C15" s="8" t="s">
        <v>21</v>
      </c>
      <c r="D15" s="8" t="s">
        <v>7</v>
      </c>
      <c r="E15" s="8" t="s">
        <v>9</v>
      </c>
      <c r="F15" s="9" t="s">
        <v>11</v>
      </c>
      <c r="G15" s="8" t="s">
        <v>13</v>
      </c>
      <c r="H15" s="9" t="s">
        <v>15</v>
      </c>
      <c r="I15" s="10" t="s">
        <v>22</v>
      </c>
    </row>
    <row r="16" spans="1:28" ht="17.399999999999999" x14ac:dyDescent="0.3">
      <c r="A16" s="8">
        <v>1</v>
      </c>
      <c r="B16" s="11">
        <f ca="1">RAND()</f>
        <v>0.13754863915945148</v>
      </c>
      <c r="C16" s="11">
        <f ca="1">RAND()</f>
        <v>0.34775172188590775</v>
      </c>
      <c r="D16" s="11">
        <f ca="1">(1/$F$2)*LN(1/(1-B16))</f>
        <v>3.6994131223782394</v>
      </c>
      <c r="E16" s="11">
        <f ca="1">(1/$J$2)*LN(1/(1-C16))</f>
        <v>8.2178845170356141</v>
      </c>
      <c r="F16" s="11">
        <f ca="1">D16</f>
        <v>3.6994131223782394</v>
      </c>
      <c r="G16" s="11">
        <v>0</v>
      </c>
      <c r="H16" s="11">
        <f ca="1">F16+G16+E16</f>
        <v>11.917297639413853</v>
      </c>
      <c r="I16" s="12">
        <f ca="1">H16-F16</f>
        <v>8.2178845170356141</v>
      </c>
    </row>
    <row r="17" spans="1:9" ht="17.399999999999999" x14ac:dyDescent="0.3">
      <c r="A17" s="8">
        <v>2</v>
      </c>
      <c r="B17" s="11">
        <f ca="1">RAND()</f>
        <v>0.39135192505272109</v>
      </c>
      <c r="C17" s="11">
        <f ca="1">RAND()</f>
        <v>0.79973062983863863</v>
      </c>
      <c r="D17" s="11">
        <f ca="1">(1/$F$2)*LN(1/(1-B17))</f>
        <v>12.412876298883962</v>
      </c>
      <c r="E17" s="11">
        <f ca="1">(1/$J$2)*LN(1/(1-C17))</f>
        <v>30.924845534947387</v>
      </c>
      <c r="F17" s="11">
        <f ca="1">F16+D17</f>
        <v>16.112289421262201</v>
      </c>
      <c r="G17" s="11">
        <f ca="1">IF(F17&lt;H16,H16-F17,0)</f>
        <v>0</v>
      </c>
      <c r="H17" s="11">
        <f ca="1">F17+G17+E17</f>
        <v>47.037134956209584</v>
      </c>
      <c r="I17" s="12">
        <f ca="1">H17-F17</f>
        <v>30.924845534947384</v>
      </c>
    </row>
    <row r="18" spans="1:9" ht="17.399999999999999" x14ac:dyDescent="0.3">
      <c r="A18" s="8">
        <v>3</v>
      </c>
      <c r="B18" s="11">
        <f t="shared" ref="B18:C49" ca="1" si="0">RAND()</f>
        <v>0.49599602628995421</v>
      </c>
      <c r="C18" s="11">
        <f t="shared" ca="1" si="0"/>
        <v>0.12709332462756484</v>
      </c>
      <c r="D18" s="11">
        <f t="shared" ref="D18:D81" ca="1" si="1">(1/$F$2)*LN(1/(1-B18))</f>
        <v>17.129278164913021</v>
      </c>
      <c r="E18" s="11">
        <f t="shared" ref="E18:E81" ca="1" si="2">(1/$J$2)*LN(1/(1-C18))</f>
        <v>2.6139736522954498</v>
      </c>
      <c r="F18" s="11">
        <f t="shared" ref="F18:F81" ca="1" si="3">F17+D18</f>
        <v>33.241567586175222</v>
      </c>
      <c r="G18" s="11">
        <f ca="1">IF(F18&lt;H17,H17-F18,0)</f>
        <v>13.795567370034362</v>
      </c>
      <c r="H18" s="11">
        <f t="shared" ref="H18:H81" ca="1" si="4">F18+G18+E18</f>
        <v>49.651108608505034</v>
      </c>
      <c r="I18" s="12">
        <f t="shared" ref="I18:I81" ca="1" si="5">H18-F18</f>
        <v>16.409541022329812</v>
      </c>
    </row>
    <row r="19" spans="1:9" ht="17.399999999999999" x14ac:dyDescent="0.3">
      <c r="A19" s="8">
        <v>4</v>
      </c>
      <c r="B19" s="11">
        <f t="shared" ca="1" si="0"/>
        <v>0.53637009134035529</v>
      </c>
      <c r="C19" s="11">
        <f t="shared" ca="1" si="0"/>
        <v>1.088853344543006E-2</v>
      </c>
      <c r="D19" s="11">
        <f t="shared" ca="1" si="1"/>
        <v>19.216716391595369</v>
      </c>
      <c r="E19" s="11">
        <f t="shared" ca="1" si="2"/>
        <v>0.21054321896481032</v>
      </c>
      <c r="F19" s="11">
        <f t="shared" ca="1" si="3"/>
        <v>52.458283977770591</v>
      </c>
      <c r="G19" s="11">
        <f t="shared" ref="G19:G81" ca="1" si="6">IF(F19&lt;H18,H18-F19,0)</f>
        <v>0</v>
      </c>
      <c r="H19" s="11">
        <f t="shared" ca="1" si="4"/>
        <v>52.6688271967354</v>
      </c>
      <c r="I19" s="12">
        <f t="shared" ca="1" si="5"/>
        <v>0.21054321896480843</v>
      </c>
    </row>
    <row r="20" spans="1:9" ht="17.399999999999999" x14ac:dyDescent="0.3">
      <c r="A20" s="8">
        <v>5</v>
      </c>
      <c r="B20" s="11">
        <f t="shared" ca="1" si="0"/>
        <v>0.17986963006463408</v>
      </c>
      <c r="C20" s="11">
        <f t="shared" ca="1" si="0"/>
        <v>0.64322664473233981</v>
      </c>
      <c r="D20" s="11">
        <f t="shared" ca="1" si="1"/>
        <v>4.9572990908747849</v>
      </c>
      <c r="E20" s="11">
        <f t="shared" ca="1" si="2"/>
        <v>19.820279961637667</v>
      </c>
      <c r="F20" s="11">
        <f t="shared" ca="1" si="3"/>
        <v>57.415583068645375</v>
      </c>
      <c r="G20" s="11">
        <f t="shared" ca="1" si="6"/>
        <v>0</v>
      </c>
      <c r="H20" s="11">
        <f t="shared" ca="1" si="4"/>
        <v>77.235863030283042</v>
      </c>
      <c r="I20" s="12">
        <f t="shared" ca="1" si="5"/>
        <v>19.820279961637667</v>
      </c>
    </row>
    <row r="21" spans="1:9" ht="17.399999999999999" x14ac:dyDescent="0.3">
      <c r="A21" s="8">
        <v>6</v>
      </c>
      <c r="B21" s="11">
        <f t="shared" ca="1" si="0"/>
        <v>0.50417364624960004</v>
      </c>
      <c r="C21" s="11">
        <f t="shared" ca="1" si="0"/>
        <v>0.25326658944902725</v>
      </c>
      <c r="D21" s="11">
        <f t="shared" ca="1" si="1"/>
        <v>17.538237669982944</v>
      </c>
      <c r="E21" s="11">
        <f t="shared" ca="1" si="2"/>
        <v>5.6162891858723931</v>
      </c>
      <c r="F21" s="11">
        <f t="shared" ca="1" si="3"/>
        <v>74.953820738628323</v>
      </c>
      <c r="G21" s="11">
        <f t="shared" ca="1" si="6"/>
        <v>2.2820422916547187</v>
      </c>
      <c r="H21" s="11">
        <f t="shared" ca="1" si="4"/>
        <v>82.852152216155432</v>
      </c>
      <c r="I21" s="12">
        <f t="shared" ca="1" si="5"/>
        <v>7.8983314775271083</v>
      </c>
    </row>
    <row r="22" spans="1:9" ht="17.399999999999999" x14ac:dyDescent="0.3">
      <c r="A22" s="8">
        <v>7</v>
      </c>
      <c r="B22" s="11">
        <f t="shared" ca="1" si="0"/>
        <v>0.35736901674359911</v>
      </c>
      <c r="C22" s="11">
        <f t="shared" ca="1" si="0"/>
        <v>0.57994516570815513</v>
      </c>
      <c r="D22" s="11">
        <f t="shared" ca="1" si="1"/>
        <v>11.054615449997458</v>
      </c>
      <c r="E22" s="11">
        <f t="shared" ca="1" si="2"/>
        <v>16.680192661325577</v>
      </c>
      <c r="F22" s="11">
        <f t="shared" ca="1" si="3"/>
        <v>86.00843618862578</v>
      </c>
      <c r="G22" s="11">
        <f t="shared" ca="1" si="6"/>
        <v>0</v>
      </c>
      <c r="H22" s="11">
        <f t="shared" ca="1" si="4"/>
        <v>102.68862884995136</v>
      </c>
      <c r="I22" s="12">
        <f t="shared" ca="1" si="5"/>
        <v>16.680192661325577</v>
      </c>
    </row>
    <row r="23" spans="1:9" ht="17.399999999999999" x14ac:dyDescent="0.3">
      <c r="A23" s="8">
        <v>8</v>
      </c>
      <c r="B23" s="11">
        <f t="shared" ca="1" si="0"/>
        <v>0.97926825950471963</v>
      </c>
      <c r="C23" s="11">
        <f t="shared" ca="1" si="0"/>
        <v>0.33865037287626809</v>
      </c>
      <c r="D23" s="11">
        <f t="shared" ca="1" si="1"/>
        <v>96.902234896069515</v>
      </c>
      <c r="E23" s="11">
        <f t="shared" ca="1" si="2"/>
        <v>7.9513969677121716</v>
      </c>
      <c r="F23" s="11">
        <f t="shared" ca="1" si="3"/>
        <v>182.91067108469531</v>
      </c>
      <c r="G23" s="11">
        <f t="shared" ca="1" si="6"/>
        <v>0</v>
      </c>
      <c r="H23" s="11">
        <f t="shared" ca="1" si="4"/>
        <v>190.86206805240749</v>
      </c>
      <c r="I23" s="12">
        <f t="shared" ca="1" si="5"/>
        <v>7.951396967712185</v>
      </c>
    </row>
    <row r="24" spans="1:9" ht="17.399999999999999" x14ac:dyDescent="0.3">
      <c r="A24" s="8">
        <v>9</v>
      </c>
      <c r="B24" s="11">
        <f t="shared" ca="1" si="0"/>
        <v>0.14651827096948256</v>
      </c>
      <c r="C24" s="11">
        <f t="shared" ca="1" si="0"/>
        <v>0.9465276396465957</v>
      </c>
      <c r="D24" s="11">
        <f t="shared" ca="1" si="1"/>
        <v>3.9607786022015796</v>
      </c>
      <c r="E24" s="11">
        <f t="shared" ca="1" si="2"/>
        <v>56.31904591321544</v>
      </c>
      <c r="F24" s="11">
        <f t="shared" ca="1" si="3"/>
        <v>186.87144968689688</v>
      </c>
      <c r="G24" s="11">
        <f t="shared" ca="1" si="6"/>
        <v>3.9906183655106133</v>
      </c>
      <c r="H24" s="11">
        <f t="shared" ca="1" si="4"/>
        <v>247.18111396562293</v>
      </c>
      <c r="I24" s="12">
        <f t="shared" ca="1" si="5"/>
        <v>60.309664278726046</v>
      </c>
    </row>
    <row r="25" spans="1:9" ht="17.399999999999999" x14ac:dyDescent="0.3">
      <c r="A25" s="8">
        <v>10</v>
      </c>
      <c r="B25" s="11">
        <f t="shared" ca="1" si="0"/>
        <v>0.9347748767799775</v>
      </c>
      <c r="C25" s="11">
        <f t="shared" ca="1" si="0"/>
        <v>0.22172611691891453</v>
      </c>
      <c r="D25" s="11">
        <f t="shared" ca="1" si="1"/>
        <v>68.247763970196303</v>
      </c>
      <c r="E25" s="11">
        <f t="shared" ca="1" si="2"/>
        <v>4.8207073450935951</v>
      </c>
      <c r="F25" s="11">
        <f t="shared" ca="1" si="3"/>
        <v>255.11921365709318</v>
      </c>
      <c r="G25" s="11">
        <f t="shared" ca="1" si="6"/>
        <v>0</v>
      </c>
      <c r="H25" s="11">
        <f t="shared" ca="1" si="4"/>
        <v>259.93992100218679</v>
      </c>
      <c r="I25" s="12">
        <f t="shared" ca="1" si="5"/>
        <v>4.8207073450936093</v>
      </c>
    </row>
    <row r="26" spans="1:9" ht="17.399999999999999" x14ac:dyDescent="0.3">
      <c r="A26" s="8">
        <v>11</v>
      </c>
      <c r="B26" s="11">
        <f t="shared" ca="1" si="0"/>
        <v>0.32429623815487274</v>
      </c>
      <c r="C26" s="11">
        <f t="shared" ca="1" si="0"/>
        <v>0.94547923565039338</v>
      </c>
      <c r="D26" s="11">
        <f t="shared" ca="1" si="1"/>
        <v>9.8000130277285304</v>
      </c>
      <c r="E26" s="11">
        <f t="shared" ca="1" si="2"/>
        <v>55.945647166028252</v>
      </c>
      <c r="F26" s="11">
        <f t="shared" ca="1" si="3"/>
        <v>264.91922668482169</v>
      </c>
      <c r="G26" s="11">
        <f t="shared" ca="1" si="6"/>
        <v>0</v>
      </c>
      <c r="H26" s="11">
        <f t="shared" ca="1" si="4"/>
        <v>320.86487385084996</v>
      </c>
      <c r="I26" s="12">
        <f t="shared" ca="1" si="5"/>
        <v>55.945647166028266</v>
      </c>
    </row>
    <row r="27" spans="1:9" ht="17.399999999999999" x14ac:dyDescent="0.3">
      <c r="A27" s="8">
        <v>12</v>
      </c>
      <c r="B27" s="11">
        <f t="shared" ca="1" si="0"/>
        <v>0.28862345962447655</v>
      </c>
      <c r="C27" s="11">
        <f t="shared" ca="1" si="0"/>
        <v>0.27831609112135502</v>
      </c>
      <c r="D27" s="11">
        <f t="shared" ca="1" si="1"/>
        <v>8.5138349177915327</v>
      </c>
      <c r="E27" s="11">
        <f t="shared" ca="1" si="2"/>
        <v>6.2724622170861029</v>
      </c>
      <c r="F27" s="11">
        <f t="shared" ca="1" si="3"/>
        <v>273.43306160261324</v>
      </c>
      <c r="G27" s="11">
        <f t="shared" ca="1" si="6"/>
        <v>47.431812248236724</v>
      </c>
      <c r="H27" s="11">
        <f t="shared" ca="1" si="4"/>
        <v>327.13733606793608</v>
      </c>
      <c r="I27" s="12">
        <f t="shared" ca="1" si="5"/>
        <v>53.70427446532284</v>
      </c>
    </row>
    <row r="28" spans="1:9" ht="17.399999999999999" x14ac:dyDescent="0.3">
      <c r="A28" s="8">
        <v>13</v>
      </c>
      <c r="B28" s="11">
        <f t="shared" ca="1" si="0"/>
        <v>0.91140474684635653</v>
      </c>
      <c r="C28" s="11">
        <f t="shared" ca="1" si="0"/>
        <v>0.2784292002567248</v>
      </c>
      <c r="D28" s="11">
        <f t="shared" ca="1" si="1"/>
        <v>60.591924973758339</v>
      </c>
      <c r="E28" s="11">
        <f t="shared" ca="1" si="2"/>
        <v>6.2754764815421922</v>
      </c>
      <c r="F28" s="11">
        <f t="shared" ca="1" si="3"/>
        <v>334.02498657637159</v>
      </c>
      <c r="G28" s="11">
        <f t="shared" ca="1" si="6"/>
        <v>0</v>
      </c>
      <c r="H28" s="11">
        <f t="shared" ca="1" si="4"/>
        <v>340.30046305791376</v>
      </c>
      <c r="I28" s="12">
        <f t="shared" ca="1" si="5"/>
        <v>6.2754764815421709</v>
      </c>
    </row>
    <row r="29" spans="1:9" ht="17.399999999999999" x14ac:dyDescent="0.3">
      <c r="A29" s="8">
        <v>14</v>
      </c>
      <c r="B29" s="11">
        <f t="shared" ca="1" si="0"/>
        <v>0.97431190550937408</v>
      </c>
      <c r="C29" s="11">
        <f t="shared" ca="1" si="0"/>
        <v>5.4345102119855881E-2</v>
      </c>
      <c r="D29" s="11">
        <f t="shared" ca="1" si="1"/>
        <v>91.543191095152494</v>
      </c>
      <c r="E29" s="11">
        <f t="shared" ca="1" si="2"/>
        <v>1.0745688054167537</v>
      </c>
      <c r="F29" s="11">
        <f t="shared" ca="1" si="3"/>
        <v>425.5681776715241</v>
      </c>
      <c r="G29" s="11">
        <f t="shared" ca="1" si="6"/>
        <v>0</v>
      </c>
      <c r="H29" s="11">
        <f t="shared" ca="1" si="4"/>
        <v>426.64274647694083</v>
      </c>
      <c r="I29" s="12">
        <f t="shared" ca="1" si="5"/>
        <v>1.0745688054167317</v>
      </c>
    </row>
    <row r="30" spans="1:9" ht="17.399999999999999" x14ac:dyDescent="0.3">
      <c r="A30" s="8">
        <v>15</v>
      </c>
      <c r="B30" s="11">
        <f t="shared" ca="1" si="0"/>
        <v>0.68326826647800443</v>
      </c>
      <c r="C30" s="11">
        <f t="shared" ca="1" si="0"/>
        <v>0.28093146527837887</v>
      </c>
      <c r="D30" s="11">
        <f t="shared" ca="1" si="1"/>
        <v>28.742503247065571</v>
      </c>
      <c r="E30" s="11">
        <f t="shared" ca="1" si="2"/>
        <v>6.3422808904258847</v>
      </c>
      <c r="F30" s="11">
        <f t="shared" ca="1" si="3"/>
        <v>454.3106809185897</v>
      </c>
      <c r="G30" s="11">
        <f t="shared" ca="1" si="6"/>
        <v>0</v>
      </c>
      <c r="H30" s="11">
        <f t="shared" ca="1" si="4"/>
        <v>460.65296180901561</v>
      </c>
      <c r="I30" s="12">
        <f t="shared" ca="1" si="5"/>
        <v>6.3422808904259114</v>
      </c>
    </row>
    <row r="31" spans="1:9" ht="17.399999999999999" x14ac:dyDescent="0.3">
      <c r="A31" s="8">
        <v>16</v>
      </c>
      <c r="B31" s="11">
        <f t="shared" ca="1" si="0"/>
        <v>0.29083827543472607</v>
      </c>
      <c r="C31" s="11">
        <f t="shared" ca="1" si="0"/>
        <v>0.35714530552988788</v>
      </c>
      <c r="D31" s="11">
        <f t="shared" ca="1" si="1"/>
        <v>8.5917919028157623</v>
      </c>
      <c r="E31" s="11">
        <f t="shared" ca="1" si="2"/>
        <v>8.4968569401603808</v>
      </c>
      <c r="F31" s="11">
        <f t="shared" ca="1" si="3"/>
        <v>462.90247282140547</v>
      </c>
      <c r="G31" s="11">
        <f t="shared" ca="1" si="6"/>
        <v>0</v>
      </c>
      <c r="H31" s="11">
        <f t="shared" ca="1" si="4"/>
        <v>471.39932976156587</v>
      </c>
      <c r="I31" s="12">
        <f t="shared" ca="1" si="5"/>
        <v>8.4968569401603986</v>
      </c>
    </row>
    <row r="32" spans="1:9" ht="17.399999999999999" x14ac:dyDescent="0.3">
      <c r="A32" s="8">
        <v>17</v>
      </c>
      <c r="B32" s="11">
        <f t="shared" ca="1" si="0"/>
        <v>0.97133044267558888</v>
      </c>
      <c r="C32" s="11">
        <f t="shared" ca="1" si="0"/>
        <v>0.99057294181154543</v>
      </c>
      <c r="D32" s="11">
        <f t="shared" ca="1" si="1"/>
        <v>88.797985989559365</v>
      </c>
      <c r="E32" s="11">
        <f t="shared" ca="1" si="2"/>
        <v>89.69559988568578</v>
      </c>
      <c r="F32" s="11">
        <f t="shared" ca="1" si="3"/>
        <v>551.70045881096485</v>
      </c>
      <c r="G32" s="11">
        <f t="shared" ca="1" si="6"/>
        <v>0</v>
      </c>
      <c r="H32" s="11">
        <f t="shared" ca="1" si="4"/>
        <v>641.39605869665058</v>
      </c>
      <c r="I32" s="12">
        <f t="shared" ca="1" si="5"/>
        <v>89.695599885685738</v>
      </c>
    </row>
    <row r="33" spans="1:9" ht="17.399999999999999" x14ac:dyDescent="0.3">
      <c r="A33" s="8">
        <v>18</v>
      </c>
      <c r="B33" s="11">
        <f t="shared" ca="1" si="0"/>
        <v>6.9757555599810117E-2</v>
      </c>
      <c r="C33" s="11">
        <f t="shared" ca="1" si="0"/>
        <v>0.10306759630919904</v>
      </c>
      <c r="D33" s="11">
        <f t="shared" ca="1" si="1"/>
        <v>1.8077508476473956</v>
      </c>
      <c r="E33" s="11">
        <f t="shared" ca="1" si="2"/>
        <v>2.0918226532143915</v>
      </c>
      <c r="F33" s="11">
        <f t="shared" ca="1" si="3"/>
        <v>553.50820965861226</v>
      </c>
      <c r="G33" s="11">
        <f t="shared" ca="1" si="6"/>
        <v>87.887849038038325</v>
      </c>
      <c r="H33" s="11">
        <f t="shared" ca="1" si="4"/>
        <v>643.48788134986501</v>
      </c>
      <c r="I33" s="12">
        <f t="shared" ca="1" si="5"/>
        <v>89.979671691252747</v>
      </c>
    </row>
    <row r="34" spans="1:9" ht="17.399999999999999" x14ac:dyDescent="0.3">
      <c r="A34" s="8">
        <v>19</v>
      </c>
      <c r="B34" s="11">
        <f t="shared" ca="1" si="0"/>
        <v>0.92966354499976356</v>
      </c>
      <c r="C34" s="11">
        <f t="shared" ca="1" si="0"/>
        <v>0.76358516192161019</v>
      </c>
      <c r="D34" s="11">
        <f t="shared" ca="1" si="1"/>
        <v>66.361626281737458</v>
      </c>
      <c r="E34" s="11">
        <f t="shared" ca="1" si="2"/>
        <v>27.7339851652094</v>
      </c>
      <c r="F34" s="11">
        <f t="shared" ca="1" si="3"/>
        <v>619.86983594034973</v>
      </c>
      <c r="G34" s="11">
        <f t="shared" ca="1" si="6"/>
        <v>23.618045409515275</v>
      </c>
      <c r="H34" s="11">
        <f t="shared" ca="1" si="4"/>
        <v>671.22186651507445</v>
      </c>
      <c r="I34" s="12">
        <f t="shared" ca="1" si="5"/>
        <v>51.352030574724722</v>
      </c>
    </row>
    <row r="35" spans="1:9" ht="17.399999999999999" x14ac:dyDescent="0.3">
      <c r="A35" s="8">
        <v>20</v>
      </c>
      <c r="B35" s="11">
        <f t="shared" ca="1" si="0"/>
        <v>0.91289964936658796</v>
      </c>
      <c r="C35" s="11">
        <f t="shared" ca="1" si="0"/>
        <v>0.89401160981526862</v>
      </c>
      <c r="D35" s="11">
        <f t="shared" ca="1" si="1"/>
        <v>61.017359237246339</v>
      </c>
      <c r="E35" s="11">
        <f t="shared" ca="1" si="2"/>
        <v>43.162033027455365</v>
      </c>
      <c r="F35" s="11">
        <f t="shared" ca="1" si="3"/>
        <v>680.88719517759603</v>
      </c>
      <c r="G35" s="11">
        <f t="shared" ca="1" si="6"/>
        <v>0</v>
      </c>
      <c r="H35" s="11">
        <f t="shared" ca="1" si="4"/>
        <v>724.04922820505135</v>
      </c>
      <c r="I35" s="12">
        <f t="shared" ca="1" si="5"/>
        <v>43.162033027455323</v>
      </c>
    </row>
    <row r="36" spans="1:9" ht="17.399999999999999" x14ac:dyDescent="0.3">
      <c r="A36" s="8">
        <v>21</v>
      </c>
      <c r="B36" s="11">
        <f t="shared" ca="1" si="0"/>
        <v>0.20801950235011757</v>
      </c>
      <c r="C36" s="11">
        <f t="shared" ca="1" si="0"/>
        <v>0.10807453670364242</v>
      </c>
      <c r="D36" s="11">
        <f t="shared" ca="1" si="1"/>
        <v>5.8304627912583156</v>
      </c>
      <c r="E36" s="11">
        <f t="shared" ca="1" si="2"/>
        <v>2.1994752157792936</v>
      </c>
      <c r="F36" s="11">
        <f t="shared" ca="1" si="3"/>
        <v>686.71765796885438</v>
      </c>
      <c r="G36" s="11">
        <f t="shared" ca="1" si="6"/>
        <v>37.331570236196967</v>
      </c>
      <c r="H36" s="11">
        <f t="shared" ca="1" si="4"/>
        <v>726.24870342083068</v>
      </c>
      <c r="I36" s="12">
        <f t="shared" ca="1" si="5"/>
        <v>39.531045451976297</v>
      </c>
    </row>
    <row r="37" spans="1:9" ht="17.399999999999999" x14ac:dyDescent="0.3">
      <c r="A37" s="8">
        <v>22</v>
      </c>
      <c r="B37" s="11">
        <f t="shared" ca="1" si="0"/>
        <v>0.10536131792696235</v>
      </c>
      <c r="C37" s="11">
        <f t="shared" ca="1" si="0"/>
        <v>0.86710474126181059</v>
      </c>
      <c r="D37" s="11">
        <f t="shared" ca="1" si="1"/>
        <v>2.7833837349981976</v>
      </c>
      <c r="E37" s="11">
        <f t="shared" ca="1" si="2"/>
        <v>38.811422871307258</v>
      </c>
      <c r="F37" s="11">
        <f t="shared" ca="1" si="3"/>
        <v>689.50104170385259</v>
      </c>
      <c r="G37" s="11">
        <f t="shared" ca="1" si="6"/>
        <v>36.747661716978087</v>
      </c>
      <c r="H37" s="11">
        <f t="shared" ca="1" si="4"/>
        <v>765.06012629213797</v>
      </c>
      <c r="I37" s="12">
        <f t="shared" ca="1" si="5"/>
        <v>75.559084588285373</v>
      </c>
    </row>
    <row r="38" spans="1:9" ht="17.399999999999999" x14ac:dyDescent="0.3">
      <c r="A38" s="8">
        <v>23</v>
      </c>
      <c r="B38" s="11">
        <f t="shared" ca="1" si="0"/>
        <v>9.3701905290770826E-2</v>
      </c>
      <c r="C38" s="11">
        <f t="shared" ca="1" si="0"/>
        <v>0.62714353626966524</v>
      </c>
      <c r="D38" s="11">
        <f t="shared" ca="1" si="1"/>
        <v>2.4596751049359855</v>
      </c>
      <c r="E38" s="11">
        <f t="shared" ca="1" si="2"/>
        <v>18.972341329524333</v>
      </c>
      <c r="F38" s="11">
        <f t="shared" ca="1" si="3"/>
        <v>691.96071680878856</v>
      </c>
      <c r="G38" s="11">
        <f t="shared" ca="1" si="6"/>
        <v>73.099409483349405</v>
      </c>
      <c r="H38" s="11">
        <f t="shared" ca="1" si="4"/>
        <v>784.03246762166225</v>
      </c>
      <c r="I38" s="12">
        <f t="shared" ca="1" si="5"/>
        <v>92.071750812873688</v>
      </c>
    </row>
    <row r="39" spans="1:9" ht="17.399999999999999" x14ac:dyDescent="0.3">
      <c r="A39" s="8">
        <v>24</v>
      </c>
      <c r="B39" s="11">
        <f t="shared" ca="1" si="0"/>
        <v>0.54507218299439042</v>
      </c>
      <c r="C39" s="11">
        <f t="shared" ca="1" si="0"/>
        <v>0.83573753523095873</v>
      </c>
      <c r="D39" s="11">
        <f t="shared" ca="1" si="1"/>
        <v>19.690412914004582</v>
      </c>
      <c r="E39" s="11">
        <f t="shared" ca="1" si="2"/>
        <v>34.736341067154314</v>
      </c>
      <c r="F39" s="11">
        <f t="shared" ca="1" si="3"/>
        <v>711.65112972279314</v>
      </c>
      <c r="G39" s="11">
        <f t="shared" ca="1" si="6"/>
        <v>72.381337898869106</v>
      </c>
      <c r="H39" s="11">
        <f t="shared" ca="1" si="4"/>
        <v>818.76880868881653</v>
      </c>
      <c r="I39" s="12">
        <f t="shared" ca="1" si="5"/>
        <v>107.11767896602339</v>
      </c>
    </row>
    <row r="40" spans="1:9" ht="17.399999999999999" x14ac:dyDescent="0.3">
      <c r="A40" s="8">
        <v>25</v>
      </c>
      <c r="B40" s="11">
        <f t="shared" ca="1" si="0"/>
        <v>0.86295057943299058</v>
      </c>
      <c r="C40" s="11">
        <f t="shared" ca="1" si="0"/>
        <v>3.8017059851167323E-2</v>
      </c>
      <c r="D40" s="11">
        <f t="shared" ca="1" si="1"/>
        <v>49.685342103428496</v>
      </c>
      <c r="E40" s="11">
        <f t="shared" ca="1" si="2"/>
        <v>0.74535696551340802</v>
      </c>
      <c r="F40" s="11">
        <f t="shared" ca="1" si="3"/>
        <v>761.33647182622167</v>
      </c>
      <c r="G40" s="11">
        <f t="shared" ca="1" si="6"/>
        <v>57.432336862594866</v>
      </c>
      <c r="H40" s="11">
        <f t="shared" ca="1" si="4"/>
        <v>819.51416565432999</v>
      </c>
      <c r="I40" s="12">
        <f t="shared" ca="1" si="5"/>
        <v>58.177693828108318</v>
      </c>
    </row>
    <row r="41" spans="1:9" ht="17.399999999999999" x14ac:dyDescent="0.3">
      <c r="A41" s="8">
        <v>26</v>
      </c>
      <c r="B41" s="11">
        <f t="shared" ca="1" si="0"/>
        <v>0.89624161099348165</v>
      </c>
      <c r="C41" s="11">
        <f t="shared" ca="1" si="0"/>
        <v>0.2693069000311944</v>
      </c>
      <c r="D41" s="11">
        <f t="shared" ca="1" si="1"/>
        <v>56.642256631149998</v>
      </c>
      <c r="E41" s="11">
        <f t="shared" ca="1" si="2"/>
        <v>6.0338796783097113</v>
      </c>
      <c r="F41" s="11">
        <f t="shared" ca="1" si="3"/>
        <v>817.97872845737163</v>
      </c>
      <c r="G41" s="11">
        <f t="shared" ca="1" si="6"/>
        <v>1.5354371969583553</v>
      </c>
      <c r="H41" s="11">
        <f t="shared" ca="1" si="4"/>
        <v>825.54804533263973</v>
      </c>
      <c r="I41" s="12">
        <f t="shared" ca="1" si="5"/>
        <v>7.5693168752681004</v>
      </c>
    </row>
    <row r="42" spans="1:9" ht="17.399999999999999" x14ac:dyDescent="0.3">
      <c r="A42" s="8">
        <v>27</v>
      </c>
      <c r="B42" s="11">
        <f t="shared" ca="1" si="0"/>
        <v>0.784627750205385</v>
      </c>
      <c r="C42" s="11">
        <f t="shared" ca="1" si="0"/>
        <v>0.28410777500626616</v>
      </c>
      <c r="D42" s="11">
        <f t="shared" ca="1" si="1"/>
        <v>38.384683839908753</v>
      </c>
      <c r="E42" s="11">
        <f t="shared" ca="1" si="2"/>
        <v>6.4274162904441665</v>
      </c>
      <c r="F42" s="11">
        <f t="shared" ca="1" si="3"/>
        <v>856.36341229728043</v>
      </c>
      <c r="G42" s="11">
        <f t="shared" ca="1" si="6"/>
        <v>0</v>
      </c>
      <c r="H42" s="11">
        <f t="shared" ca="1" si="4"/>
        <v>862.7908285877246</v>
      </c>
      <c r="I42" s="12">
        <f t="shared" ca="1" si="5"/>
        <v>6.427416290444171</v>
      </c>
    </row>
    <row r="43" spans="1:9" ht="17.399999999999999" x14ac:dyDescent="0.3">
      <c r="A43" s="8">
        <v>28</v>
      </c>
      <c r="B43" s="11">
        <f t="shared" ca="1" si="0"/>
        <v>0.109214258273159</v>
      </c>
      <c r="C43" s="11">
        <f t="shared" ca="1" si="0"/>
        <v>0.39541246727608903</v>
      </c>
      <c r="D43" s="11">
        <f t="shared" ca="1" si="1"/>
        <v>2.8912837467779551</v>
      </c>
      <c r="E43" s="11">
        <f t="shared" ca="1" si="2"/>
        <v>9.677092645208198</v>
      </c>
      <c r="F43" s="11">
        <f t="shared" ca="1" si="3"/>
        <v>859.25469604405839</v>
      </c>
      <c r="G43" s="11">
        <f t="shared" ca="1" si="6"/>
        <v>3.5361325436662128</v>
      </c>
      <c r="H43" s="11">
        <f t="shared" ca="1" si="4"/>
        <v>872.46792123293278</v>
      </c>
      <c r="I43" s="12">
        <f t="shared" ca="1" si="5"/>
        <v>13.213225188874389</v>
      </c>
    </row>
    <row r="44" spans="1:9" ht="17.399999999999999" x14ac:dyDescent="0.3">
      <c r="A44" s="8">
        <v>29</v>
      </c>
      <c r="B44" s="11">
        <f t="shared" ca="1" si="0"/>
        <v>1.359806400208563E-2</v>
      </c>
      <c r="C44" s="11">
        <f t="shared" ca="1" si="0"/>
        <v>0.62323656403894712</v>
      </c>
      <c r="D44" s="11">
        <f t="shared" ca="1" si="1"/>
        <v>0.34228411108558243</v>
      </c>
      <c r="E44" s="11">
        <f t="shared" ca="1" si="2"/>
        <v>18.771880371314897</v>
      </c>
      <c r="F44" s="11">
        <f t="shared" ca="1" si="3"/>
        <v>859.59698015514402</v>
      </c>
      <c r="G44" s="11">
        <f t="shared" ca="1" si="6"/>
        <v>12.870941077788757</v>
      </c>
      <c r="H44" s="11">
        <f t="shared" ca="1" si="4"/>
        <v>891.23980160424765</v>
      </c>
      <c r="I44" s="12">
        <f t="shared" ca="1" si="5"/>
        <v>31.642821449103621</v>
      </c>
    </row>
    <row r="45" spans="1:9" ht="17.399999999999999" x14ac:dyDescent="0.3">
      <c r="A45" s="8">
        <v>30</v>
      </c>
      <c r="B45" s="11">
        <f t="shared" ca="1" si="0"/>
        <v>0.48239590251487052</v>
      </c>
      <c r="C45" s="11">
        <f t="shared" ca="1" si="0"/>
        <v>0.3316635587902117</v>
      </c>
      <c r="D45" s="11">
        <f t="shared" ca="1" si="1"/>
        <v>16.463615487771055</v>
      </c>
      <c r="E45" s="11">
        <f t="shared" ca="1" si="2"/>
        <v>7.7492995717534585</v>
      </c>
      <c r="F45" s="11">
        <f t="shared" ca="1" si="3"/>
        <v>876.06059564291513</v>
      </c>
      <c r="G45" s="11">
        <f t="shared" ca="1" si="6"/>
        <v>15.179205961332514</v>
      </c>
      <c r="H45" s="11">
        <f t="shared" ca="1" si="4"/>
        <v>898.9891011760011</v>
      </c>
      <c r="I45" s="12">
        <f t="shared" ca="1" si="5"/>
        <v>22.928505533085968</v>
      </c>
    </row>
    <row r="46" spans="1:9" ht="17.399999999999999" x14ac:dyDescent="0.3">
      <c r="A46" s="8">
        <v>31</v>
      </c>
      <c r="B46" s="11">
        <f t="shared" ca="1" si="0"/>
        <v>0.65641465914787567</v>
      </c>
      <c r="C46" s="11">
        <f t="shared" ca="1" si="0"/>
        <v>0.43713149979641031</v>
      </c>
      <c r="D46" s="11">
        <f t="shared" ca="1" si="1"/>
        <v>26.707993829818172</v>
      </c>
      <c r="E46" s="11">
        <f t="shared" ca="1" si="2"/>
        <v>11.052100921583888</v>
      </c>
      <c r="F46" s="11">
        <f t="shared" ca="1" si="3"/>
        <v>902.76858947273331</v>
      </c>
      <c r="G46" s="11">
        <f t="shared" ca="1" si="6"/>
        <v>0</v>
      </c>
      <c r="H46" s="11">
        <f t="shared" ca="1" si="4"/>
        <v>913.82069039431724</v>
      </c>
      <c r="I46" s="12">
        <f t="shared" ca="1" si="5"/>
        <v>11.052100921583929</v>
      </c>
    </row>
    <row r="47" spans="1:9" ht="17.399999999999999" x14ac:dyDescent="0.3">
      <c r="A47" s="8">
        <v>32</v>
      </c>
      <c r="B47" s="11">
        <f t="shared" ca="1" si="0"/>
        <v>0.89272041071713693</v>
      </c>
      <c r="C47" s="11">
        <f t="shared" ca="1" si="0"/>
        <v>0.86957455278206797</v>
      </c>
      <c r="D47" s="11">
        <f t="shared" ca="1" si="1"/>
        <v>55.807921711888973</v>
      </c>
      <c r="E47" s="11">
        <f t="shared" ca="1" si="2"/>
        <v>39.172182714453413</v>
      </c>
      <c r="F47" s="11">
        <f t="shared" ca="1" si="3"/>
        <v>958.57651118462229</v>
      </c>
      <c r="G47" s="11">
        <f t="shared" ca="1" si="6"/>
        <v>0</v>
      </c>
      <c r="H47" s="11">
        <f t="shared" ca="1" si="4"/>
        <v>997.74869389907576</v>
      </c>
      <c r="I47" s="12">
        <f t="shared" ca="1" si="5"/>
        <v>39.17218271445347</v>
      </c>
    </row>
    <row r="48" spans="1:9" ht="17.399999999999999" x14ac:dyDescent="0.3">
      <c r="A48" s="8">
        <v>33</v>
      </c>
      <c r="B48" s="11">
        <f t="shared" ca="1" si="0"/>
        <v>0.60362710083847659</v>
      </c>
      <c r="C48" s="11">
        <f t="shared" ca="1" si="0"/>
        <v>3.420231286353892E-2</v>
      </c>
      <c r="D48" s="11">
        <f t="shared" ca="1" si="1"/>
        <v>23.13499615665696</v>
      </c>
      <c r="E48" s="11">
        <f t="shared" ca="1" si="2"/>
        <v>0.66924808288552395</v>
      </c>
      <c r="F48" s="11">
        <f t="shared" ca="1" si="3"/>
        <v>981.71150734127923</v>
      </c>
      <c r="G48" s="11">
        <f t="shared" ca="1" si="6"/>
        <v>16.037186557796531</v>
      </c>
      <c r="H48" s="11">
        <f t="shared" ca="1" si="4"/>
        <v>998.41794198196123</v>
      </c>
      <c r="I48" s="12">
        <f t="shared" ca="1" si="5"/>
        <v>16.706434640682005</v>
      </c>
    </row>
    <row r="49" spans="1:9" ht="17.399999999999999" x14ac:dyDescent="0.3">
      <c r="A49" s="8">
        <v>34</v>
      </c>
      <c r="B49" s="11">
        <f t="shared" ca="1" si="0"/>
        <v>0.33204390307648957</v>
      </c>
      <c r="C49" s="11">
        <f t="shared" ca="1" si="0"/>
        <v>0.35367630568070074</v>
      </c>
      <c r="D49" s="11">
        <f t="shared" ca="1" si="1"/>
        <v>10.088320769343774</v>
      </c>
      <c r="E49" s="11">
        <f t="shared" ca="1" si="2"/>
        <v>8.3933620364983561</v>
      </c>
      <c r="F49" s="11">
        <f t="shared" ca="1" si="3"/>
        <v>991.79982811062303</v>
      </c>
      <c r="G49" s="11">
        <f t="shared" ca="1" si="6"/>
        <v>6.6181138713382097</v>
      </c>
      <c r="H49" s="11">
        <f t="shared" ca="1" si="4"/>
        <v>1006.8113040184596</v>
      </c>
      <c r="I49" s="12">
        <f t="shared" ca="1" si="5"/>
        <v>15.011475907836598</v>
      </c>
    </row>
    <row r="50" spans="1:9" ht="17.399999999999999" x14ac:dyDescent="0.3">
      <c r="A50" s="8">
        <v>35</v>
      </c>
      <c r="B50" s="11">
        <f t="shared" ref="B50:C81" ca="1" si="7">RAND()</f>
        <v>0.46383659408545208</v>
      </c>
      <c r="C50" s="11">
        <f t="shared" ca="1" si="7"/>
        <v>0.127000550624919</v>
      </c>
      <c r="D50" s="11">
        <f t="shared" ca="1" si="1"/>
        <v>15.582907564784307</v>
      </c>
      <c r="E50" s="11">
        <f t="shared" ca="1" si="2"/>
        <v>2.6119298821157275</v>
      </c>
      <c r="F50" s="11">
        <f t="shared" ca="1" si="3"/>
        <v>1007.3827356754073</v>
      </c>
      <c r="G50" s="11">
        <f t="shared" ca="1" si="6"/>
        <v>0</v>
      </c>
      <c r="H50" s="11">
        <f t="shared" ca="1" si="4"/>
        <v>1009.994665557523</v>
      </c>
      <c r="I50" s="12">
        <f t="shared" ca="1" si="5"/>
        <v>2.6119298821157599</v>
      </c>
    </row>
    <row r="51" spans="1:9" ht="17.399999999999999" x14ac:dyDescent="0.3">
      <c r="A51" s="8">
        <v>36</v>
      </c>
      <c r="B51" s="11">
        <f t="shared" ca="1" si="7"/>
        <v>0.68070578268786941</v>
      </c>
      <c r="C51" s="11">
        <f t="shared" ca="1" si="7"/>
        <v>5.1987767969467469E-2</v>
      </c>
      <c r="D51" s="11">
        <f t="shared" ca="1" si="1"/>
        <v>28.541057248543609</v>
      </c>
      <c r="E51" s="11">
        <f t="shared" ca="1" si="2"/>
        <v>1.0266898812416199</v>
      </c>
      <c r="F51" s="11">
        <f t="shared" ca="1" si="3"/>
        <v>1035.9237929239509</v>
      </c>
      <c r="G51" s="11">
        <f t="shared" ca="1" si="6"/>
        <v>0</v>
      </c>
      <c r="H51" s="11">
        <f t="shared" ca="1" si="4"/>
        <v>1036.9504828051925</v>
      </c>
      <c r="I51" s="12">
        <f t="shared" ca="1" si="5"/>
        <v>1.0266898812415093</v>
      </c>
    </row>
    <row r="52" spans="1:9" ht="17.399999999999999" x14ac:dyDescent="0.3">
      <c r="A52" s="8">
        <v>37</v>
      </c>
      <c r="B52" s="11">
        <f t="shared" ca="1" si="7"/>
        <v>0.26399786850477203</v>
      </c>
      <c r="C52" s="11">
        <f t="shared" ca="1" si="7"/>
        <v>9.9977963115852164E-2</v>
      </c>
      <c r="D52" s="11">
        <f t="shared" ca="1" si="1"/>
        <v>7.6630566051038853</v>
      </c>
      <c r="E52" s="11">
        <f t="shared" ca="1" si="2"/>
        <v>2.025692894822281</v>
      </c>
      <c r="F52" s="11">
        <f t="shared" ca="1" si="3"/>
        <v>1043.5868495290549</v>
      </c>
      <c r="G52" s="11">
        <f t="shared" ca="1" si="6"/>
        <v>0</v>
      </c>
      <c r="H52" s="11">
        <f t="shared" ca="1" si="4"/>
        <v>1045.6125424238771</v>
      </c>
      <c r="I52" s="12">
        <f t="shared" ca="1" si="5"/>
        <v>2.0256928948222139</v>
      </c>
    </row>
    <row r="53" spans="1:9" ht="17.399999999999999" x14ac:dyDescent="0.3">
      <c r="A53" s="8">
        <v>38</v>
      </c>
      <c r="B53" s="11">
        <f t="shared" ca="1" si="7"/>
        <v>0.84390570976951762</v>
      </c>
      <c r="C53" s="11">
        <f t="shared" ca="1" si="7"/>
        <v>8.0115987787378051E-3</v>
      </c>
      <c r="D53" s="11">
        <f t="shared" ca="1" si="1"/>
        <v>46.43237574422939</v>
      </c>
      <c r="E53" s="11">
        <f t="shared" ca="1" si="2"/>
        <v>0.15468969390184448</v>
      </c>
      <c r="F53" s="11">
        <f t="shared" ca="1" si="3"/>
        <v>1090.0192252732843</v>
      </c>
      <c r="G53" s="11">
        <f t="shared" ca="1" si="6"/>
        <v>0</v>
      </c>
      <c r="H53" s="11">
        <f t="shared" ca="1" si="4"/>
        <v>1090.1739149671862</v>
      </c>
      <c r="I53" s="12">
        <f t="shared" ca="1" si="5"/>
        <v>0.15468969390190068</v>
      </c>
    </row>
    <row r="54" spans="1:9" ht="17.399999999999999" x14ac:dyDescent="0.3">
      <c r="A54" s="8">
        <v>39</v>
      </c>
      <c r="B54" s="11">
        <f t="shared" ca="1" si="7"/>
        <v>0.52603804789140529</v>
      </c>
      <c r="C54" s="11">
        <f t="shared" ca="1" si="7"/>
        <v>0.13811226754141048</v>
      </c>
      <c r="D54" s="11">
        <f t="shared" ca="1" si="1"/>
        <v>18.665705758048645</v>
      </c>
      <c r="E54" s="11">
        <f t="shared" ca="1" si="2"/>
        <v>2.8582741839962837</v>
      </c>
      <c r="F54" s="11">
        <f t="shared" ca="1" si="3"/>
        <v>1108.684931031333</v>
      </c>
      <c r="G54" s="11">
        <f t="shared" ca="1" si="6"/>
        <v>0</v>
      </c>
      <c r="H54" s="11">
        <f t="shared" ca="1" si="4"/>
        <v>1111.5432052153292</v>
      </c>
      <c r="I54" s="12">
        <f t="shared" ca="1" si="5"/>
        <v>2.8582741839961727</v>
      </c>
    </row>
    <row r="55" spans="1:9" ht="17.399999999999999" x14ac:dyDescent="0.3">
      <c r="A55" s="8">
        <v>40</v>
      </c>
      <c r="B55" s="11">
        <f t="shared" ca="1" si="7"/>
        <v>0.27830435929415431</v>
      </c>
      <c r="C55" s="11">
        <f t="shared" ca="1" si="7"/>
        <v>0.37716559657798043</v>
      </c>
      <c r="D55" s="11">
        <f t="shared" ca="1" si="1"/>
        <v>8.1537944808878908</v>
      </c>
      <c r="E55" s="11">
        <f t="shared" ca="1" si="2"/>
        <v>9.1052807813117926</v>
      </c>
      <c r="F55" s="11">
        <f t="shared" ca="1" si="3"/>
        <v>1116.8387255122209</v>
      </c>
      <c r="G55" s="11">
        <f t="shared" ca="1" si="6"/>
        <v>0</v>
      </c>
      <c r="H55" s="11">
        <f t="shared" ca="1" si="4"/>
        <v>1125.9440062935328</v>
      </c>
      <c r="I55" s="12">
        <f t="shared" ca="1" si="5"/>
        <v>9.1052807813118761</v>
      </c>
    </row>
    <row r="56" spans="1:9" ht="17.399999999999999" x14ac:dyDescent="0.3">
      <c r="A56" s="8">
        <v>41</v>
      </c>
      <c r="B56" s="11">
        <f t="shared" ca="1" si="7"/>
        <v>0.75915256582870505</v>
      </c>
      <c r="C56" s="11">
        <f t="shared" ca="1" si="7"/>
        <v>0.79875330650872167</v>
      </c>
      <c r="D56" s="11">
        <f t="shared" ca="1" si="1"/>
        <v>35.589789979635675</v>
      </c>
      <c r="E56" s="11">
        <f t="shared" ca="1" si="2"/>
        <v>30.831226782219961</v>
      </c>
      <c r="F56" s="11">
        <f t="shared" ca="1" si="3"/>
        <v>1152.4285154918566</v>
      </c>
      <c r="G56" s="11">
        <f t="shared" ca="1" si="6"/>
        <v>0</v>
      </c>
      <c r="H56" s="11">
        <f t="shared" ca="1" si="4"/>
        <v>1183.2597422740766</v>
      </c>
      <c r="I56" s="12">
        <f t="shared" ca="1" si="5"/>
        <v>30.831226782220028</v>
      </c>
    </row>
    <row r="57" spans="1:9" ht="17.399999999999999" x14ac:dyDescent="0.3">
      <c r="A57" s="8">
        <v>42</v>
      </c>
      <c r="B57" s="11">
        <f t="shared" ca="1" si="7"/>
        <v>0.13959283439857895</v>
      </c>
      <c r="C57" s="11">
        <f t="shared" ca="1" si="7"/>
        <v>0.41650885201344545</v>
      </c>
      <c r="D57" s="11">
        <f t="shared" ca="1" si="1"/>
        <v>3.7587388350539248</v>
      </c>
      <c r="E57" s="11">
        <f t="shared" ca="1" si="2"/>
        <v>10.360115344545207</v>
      </c>
      <c r="F57" s="11">
        <f t="shared" ca="1" si="3"/>
        <v>1156.1872543269105</v>
      </c>
      <c r="G57" s="11">
        <f t="shared" ca="1" si="6"/>
        <v>27.07248794716611</v>
      </c>
      <c r="H57" s="11">
        <f t="shared" ca="1" si="4"/>
        <v>1193.6198576186218</v>
      </c>
      <c r="I57" s="12">
        <f t="shared" ca="1" si="5"/>
        <v>37.432603291711303</v>
      </c>
    </row>
    <row r="58" spans="1:9" ht="17.399999999999999" x14ac:dyDescent="0.3">
      <c r="A58" s="8">
        <v>43</v>
      </c>
      <c r="B58" s="11">
        <f t="shared" ca="1" si="7"/>
        <v>0.7934400313786083</v>
      </c>
      <c r="C58" s="11">
        <f t="shared" ca="1" si="7"/>
        <v>0.16727415050023009</v>
      </c>
      <c r="D58" s="11">
        <f t="shared" ca="1" si="1"/>
        <v>39.429112594854928</v>
      </c>
      <c r="E58" s="11">
        <f t="shared" ca="1" si="2"/>
        <v>3.5202077544190176</v>
      </c>
      <c r="F58" s="11">
        <f t="shared" ca="1" si="3"/>
        <v>1195.6163669217653</v>
      </c>
      <c r="G58" s="11">
        <f t="shared" ca="1" si="6"/>
        <v>0</v>
      </c>
      <c r="H58" s="11">
        <f t="shared" ca="1" si="4"/>
        <v>1199.1365746761844</v>
      </c>
      <c r="I58" s="12">
        <f t="shared" ca="1" si="5"/>
        <v>3.5202077544190615</v>
      </c>
    </row>
    <row r="59" spans="1:9" ht="17.399999999999999" x14ac:dyDescent="0.3">
      <c r="A59" s="8">
        <v>44</v>
      </c>
      <c r="B59" s="11">
        <f t="shared" ca="1" si="7"/>
        <v>4.3414543259311933E-2</v>
      </c>
      <c r="C59" s="11">
        <f t="shared" ca="1" si="7"/>
        <v>0.26130710624529241</v>
      </c>
      <c r="D59" s="11">
        <f t="shared" ca="1" si="1"/>
        <v>1.1096287731043484</v>
      </c>
      <c r="E59" s="11">
        <f t="shared" ca="1" si="2"/>
        <v>5.8244810466880743</v>
      </c>
      <c r="F59" s="11">
        <f t="shared" ca="1" si="3"/>
        <v>1196.7259956948697</v>
      </c>
      <c r="G59" s="11">
        <f t="shared" ca="1" si="6"/>
        <v>2.4105789813147567</v>
      </c>
      <c r="H59" s="11">
        <f t="shared" ca="1" si="4"/>
        <v>1204.9610557228725</v>
      </c>
      <c r="I59" s="12">
        <f t="shared" ca="1" si="5"/>
        <v>8.235060028002863</v>
      </c>
    </row>
    <row r="60" spans="1:9" ht="17.399999999999999" x14ac:dyDescent="0.3">
      <c r="A60" s="8">
        <v>45</v>
      </c>
      <c r="B60" s="11">
        <f t="shared" ca="1" si="7"/>
        <v>0.50459056270023628</v>
      </c>
      <c r="C60" s="11">
        <f t="shared" ca="1" si="7"/>
        <v>0.81601060468831033</v>
      </c>
      <c r="D60" s="11">
        <f t="shared" ca="1" si="1"/>
        <v>17.559267806252524</v>
      </c>
      <c r="E60" s="11">
        <f t="shared" ca="1" si="2"/>
        <v>32.55532994633969</v>
      </c>
      <c r="F60" s="11">
        <f t="shared" ca="1" si="3"/>
        <v>1214.2852635011222</v>
      </c>
      <c r="G60" s="11">
        <f t="shared" ca="1" si="6"/>
        <v>0</v>
      </c>
      <c r="H60" s="11">
        <f t="shared" ca="1" si="4"/>
        <v>1246.840593447462</v>
      </c>
      <c r="I60" s="12">
        <f t="shared" ca="1" si="5"/>
        <v>32.555329946339725</v>
      </c>
    </row>
    <row r="61" spans="1:9" ht="17.399999999999999" x14ac:dyDescent="0.3">
      <c r="A61" s="8">
        <v>46</v>
      </c>
      <c r="B61" s="11">
        <f t="shared" ca="1" si="7"/>
        <v>0.4495410035051105</v>
      </c>
      <c r="C61" s="11">
        <f t="shared" ca="1" si="7"/>
        <v>0.21739034033761051</v>
      </c>
      <c r="D61" s="11">
        <f t="shared" ca="1" si="1"/>
        <v>14.9250702427031</v>
      </c>
      <c r="E61" s="11">
        <f t="shared" ca="1" si="2"/>
        <v>4.7138697354406265</v>
      </c>
      <c r="F61" s="11">
        <f t="shared" ca="1" si="3"/>
        <v>1229.2103337438252</v>
      </c>
      <c r="G61" s="11">
        <f t="shared" ca="1" si="6"/>
        <v>17.630259703636739</v>
      </c>
      <c r="H61" s="11">
        <f t="shared" ca="1" si="4"/>
        <v>1251.5544631829025</v>
      </c>
      <c r="I61" s="12">
        <f t="shared" ca="1" si="5"/>
        <v>22.344129439077278</v>
      </c>
    </row>
    <row r="62" spans="1:9" ht="17.399999999999999" x14ac:dyDescent="0.3">
      <c r="A62" s="8">
        <v>47</v>
      </c>
      <c r="B62" s="11">
        <f t="shared" ca="1" si="7"/>
        <v>0.7121818183740668</v>
      </c>
      <c r="C62" s="11">
        <f t="shared" ca="1" si="7"/>
        <v>0.33229653215679911</v>
      </c>
      <c r="D62" s="11">
        <f t="shared" ca="1" si="1"/>
        <v>31.135657800187545</v>
      </c>
      <c r="E62" s="11">
        <f t="shared" ca="1" si="2"/>
        <v>7.7675214311011045</v>
      </c>
      <c r="F62" s="11">
        <f t="shared" ca="1" si="3"/>
        <v>1260.3459915440128</v>
      </c>
      <c r="G62" s="11">
        <f t="shared" ca="1" si="6"/>
        <v>0</v>
      </c>
      <c r="H62" s="11">
        <f t="shared" ca="1" si="4"/>
        <v>1268.113512975114</v>
      </c>
      <c r="I62" s="12">
        <f t="shared" ca="1" si="5"/>
        <v>7.7675214311011587</v>
      </c>
    </row>
    <row r="63" spans="1:9" ht="17.399999999999999" x14ac:dyDescent="0.3">
      <c r="A63" s="8">
        <v>48</v>
      </c>
      <c r="B63" s="11">
        <f t="shared" ca="1" si="7"/>
        <v>0.72471136697821525</v>
      </c>
      <c r="C63" s="11">
        <f t="shared" ca="1" si="7"/>
        <v>0.55036670963474388</v>
      </c>
      <c r="D63" s="11">
        <f t="shared" ca="1" si="1"/>
        <v>32.248378927730933</v>
      </c>
      <c r="E63" s="11">
        <f t="shared" ca="1" si="2"/>
        <v>15.371594975713442</v>
      </c>
      <c r="F63" s="11">
        <f t="shared" ca="1" si="3"/>
        <v>1292.5943704717438</v>
      </c>
      <c r="G63" s="11">
        <f t="shared" ca="1" si="6"/>
        <v>0</v>
      </c>
      <c r="H63" s="11">
        <f t="shared" ca="1" si="4"/>
        <v>1307.9659654474572</v>
      </c>
      <c r="I63" s="12">
        <f t="shared" ca="1" si="5"/>
        <v>15.371594975713379</v>
      </c>
    </row>
    <row r="64" spans="1:9" ht="17.399999999999999" x14ac:dyDescent="0.3">
      <c r="A64" s="8">
        <v>49</v>
      </c>
      <c r="B64" s="11">
        <f t="shared" ca="1" si="7"/>
        <v>0.98985929022944541</v>
      </c>
      <c r="C64" s="11">
        <f t="shared" ca="1" si="7"/>
        <v>0.2142155410218668</v>
      </c>
      <c r="D64" s="11">
        <f t="shared" ca="1" si="1"/>
        <v>114.77993215431673</v>
      </c>
      <c r="E64" s="11">
        <f t="shared" ca="1" si="2"/>
        <v>4.6360144111192527</v>
      </c>
      <c r="F64" s="11">
        <f t="shared" ca="1" si="3"/>
        <v>1407.3743026260604</v>
      </c>
      <c r="G64" s="11">
        <f t="shared" ca="1" si="6"/>
        <v>0</v>
      </c>
      <c r="H64" s="11">
        <f t="shared" ca="1" si="4"/>
        <v>1412.0103170371797</v>
      </c>
      <c r="I64" s="12">
        <f t="shared" ca="1" si="5"/>
        <v>4.6360144111192767</v>
      </c>
    </row>
    <row r="65" spans="1:9" ht="17.399999999999999" x14ac:dyDescent="0.3">
      <c r="A65" s="8">
        <v>50</v>
      </c>
      <c r="B65" s="11">
        <f t="shared" ca="1" si="7"/>
        <v>0.23215035219390689</v>
      </c>
      <c r="C65" s="11">
        <f t="shared" ca="1" si="7"/>
        <v>7.242626521926554E-2</v>
      </c>
      <c r="D65" s="11">
        <f t="shared" ca="1" si="1"/>
        <v>6.6040334021485387</v>
      </c>
      <c r="E65" s="11">
        <f t="shared" ca="1" si="2"/>
        <v>1.445826716240237</v>
      </c>
      <c r="F65" s="11">
        <f t="shared" ca="1" si="3"/>
        <v>1413.978336028209</v>
      </c>
      <c r="G65" s="11">
        <f t="shared" ca="1" si="6"/>
        <v>0</v>
      </c>
      <c r="H65" s="11">
        <f t="shared" ca="1" si="4"/>
        <v>1415.4241627444492</v>
      </c>
      <c r="I65" s="12">
        <f t="shared" ca="1" si="5"/>
        <v>1.4458267162401626</v>
      </c>
    </row>
    <row r="66" spans="1:9" ht="17.399999999999999" x14ac:dyDescent="0.3">
      <c r="A66" s="8">
        <v>51</v>
      </c>
      <c r="B66" s="11">
        <f t="shared" ca="1" si="7"/>
        <v>0.41296470707123856</v>
      </c>
      <c r="C66" s="11">
        <f t="shared" ca="1" si="7"/>
        <v>0.59916712086945412</v>
      </c>
      <c r="D66" s="11">
        <f t="shared" ca="1" si="1"/>
        <v>13.316758418040806</v>
      </c>
      <c r="E66" s="11">
        <f t="shared" ca="1" si="2"/>
        <v>17.580974977254225</v>
      </c>
      <c r="F66" s="11">
        <f t="shared" ca="1" si="3"/>
        <v>1427.2950944462498</v>
      </c>
      <c r="G66" s="11">
        <f t="shared" ca="1" si="6"/>
        <v>0</v>
      </c>
      <c r="H66" s="11">
        <f t="shared" ca="1" si="4"/>
        <v>1444.8760694235041</v>
      </c>
      <c r="I66" s="12">
        <f t="shared" ca="1" si="5"/>
        <v>17.5809749772543</v>
      </c>
    </row>
    <row r="67" spans="1:9" ht="17.399999999999999" x14ac:dyDescent="0.3">
      <c r="A67" s="8">
        <v>52</v>
      </c>
      <c r="B67" s="11">
        <f t="shared" ca="1" si="7"/>
        <v>3.5767728347200212E-2</v>
      </c>
      <c r="C67" s="11">
        <f t="shared" ca="1" si="7"/>
        <v>0.21729546841932446</v>
      </c>
      <c r="D67" s="11">
        <f t="shared" ca="1" si="1"/>
        <v>0.91057669241048045</v>
      </c>
      <c r="E67" s="11">
        <f t="shared" ca="1" si="2"/>
        <v>4.7115386252015696</v>
      </c>
      <c r="F67" s="11">
        <f t="shared" ca="1" si="3"/>
        <v>1428.2056711386604</v>
      </c>
      <c r="G67" s="11">
        <f t="shared" ca="1" si="6"/>
        <v>16.670398284843714</v>
      </c>
      <c r="H67" s="11">
        <f t="shared" ca="1" si="4"/>
        <v>1449.5876080487055</v>
      </c>
      <c r="I67" s="12">
        <f t="shared" ca="1" si="5"/>
        <v>21.381936910045169</v>
      </c>
    </row>
    <row r="68" spans="1:9" ht="17.399999999999999" x14ac:dyDescent="0.3">
      <c r="A68" s="8">
        <v>53</v>
      </c>
      <c r="B68" s="11">
        <f t="shared" ca="1" si="7"/>
        <v>0.7961438456564961</v>
      </c>
      <c r="C68" s="11">
        <f t="shared" ca="1" si="7"/>
        <v>0.97533226504314419</v>
      </c>
      <c r="D68" s="11">
        <f t="shared" ca="1" si="1"/>
        <v>39.758516490578941</v>
      </c>
      <c r="E68" s="11">
        <f t="shared" ca="1" si="2"/>
        <v>71.197291660041628</v>
      </c>
      <c r="F68" s="11">
        <f t="shared" ca="1" si="3"/>
        <v>1467.9641876292394</v>
      </c>
      <c r="G68" s="11">
        <f t="shared" ca="1" si="6"/>
        <v>0</v>
      </c>
      <c r="H68" s="11">
        <f t="shared" ca="1" si="4"/>
        <v>1539.161479289281</v>
      </c>
      <c r="I68" s="12">
        <f t="shared" ca="1" si="5"/>
        <v>71.197291660041628</v>
      </c>
    </row>
    <row r="69" spans="1:9" ht="17.399999999999999" x14ac:dyDescent="0.3">
      <c r="A69" s="8">
        <v>54</v>
      </c>
      <c r="B69" s="11">
        <f t="shared" ca="1" si="7"/>
        <v>0.30506709825076783</v>
      </c>
      <c r="C69" s="11">
        <f t="shared" ca="1" si="7"/>
        <v>0.59408088951433358</v>
      </c>
      <c r="D69" s="11">
        <f t="shared" ca="1" si="1"/>
        <v>9.0984995580937404</v>
      </c>
      <c r="E69" s="11">
        <f t="shared" ca="1" si="2"/>
        <v>17.338487970910847</v>
      </c>
      <c r="F69" s="11">
        <f t="shared" ca="1" si="3"/>
        <v>1477.062687187333</v>
      </c>
      <c r="G69" s="11">
        <f t="shared" ca="1" si="6"/>
        <v>62.098792101947993</v>
      </c>
      <c r="H69" s="11">
        <f t="shared" ca="1" si="4"/>
        <v>1556.4999672601919</v>
      </c>
      <c r="I69" s="12">
        <f t="shared" ca="1" si="5"/>
        <v>79.437280072858812</v>
      </c>
    </row>
    <row r="70" spans="1:9" ht="17.399999999999999" x14ac:dyDescent="0.3">
      <c r="A70" s="8">
        <v>55</v>
      </c>
      <c r="B70" s="11">
        <f t="shared" ca="1" si="7"/>
        <v>0.48936167524536378</v>
      </c>
      <c r="C70" s="11">
        <f t="shared" ca="1" si="7"/>
        <v>0.44541391165500954</v>
      </c>
      <c r="D70" s="11">
        <f t="shared" ca="1" si="1"/>
        <v>16.802342967940458</v>
      </c>
      <c r="E70" s="11">
        <f t="shared" ca="1" si="2"/>
        <v>11.337177504591946</v>
      </c>
      <c r="F70" s="11">
        <f t="shared" ca="1" si="3"/>
        <v>1493.8650301552734</v>
      </c>
      <c r="G70" s="11">
        <f t="shared" ca="1" si="6"/>
        <v>62.634937104918436</v>
      </c>
      <c r="H70" s="11">
        <f t="shared" ca="1" si="4"/>
        <v>1567.8371447647837</v>
      </c>
      <c r="I70" s="12">
        <f t="shared" ca="1" si="5"/>
        <v>73.972114609510299</v>
      </c>
    </row>
    <row r="71" spans="1:9" ht="17.399999999999999" x14ac:dyDescent="0.3">
      <c r="A71" s="8">
        <v>56</v>
      </c>
      <c r="B71" s="11">
        <f t="shared" ca="1" si="7"/>
        <v>0.99641665810583213</v>
      </c>
      <c r="C71" s="11">
        <f t="shared" ca="1" si="7"/>
        <v>0.59989747898375967</v>
      </c>
      <c r="D71" s="11">
        <f t="shared" ca="1" si="1"/>
        <v>140.78648560023314</v>
      </c>
      <c r="E71" s="11">
        <f t="shared" ca="1" si="2"/>
        <v>17.616047349489214</v>
      </c>
      <c r="F71" s="11">
        <f t="shared" ca="1" si="3"/>
        <v>1634.6515157555066</v>
      </c>
      <c r="G71" s="11">
        <f t="shared" ca="1" si="6"/>
        <v>0</v>
      </c>
      <c r="H71" s="11">
        <f t="shared" ca="1" si="4"/>
        <v>1652.2675631049958</v>
      </c>
      <c r="I71" s="12">
        <f t="shared" ca="1" si="5"/>
        <v>17.616047349489236</v>
      </c>
    </row>
    <row r="72" spans="1:9" ht="17.399999999999999" x14ac:dyDescent="0.3">
      <c r="A72" s="8">
        <v>57</v>
      </c>
      <c r="B72" s="11">
        <f t="shared" ca="1" si="7"/>
        <v>0.33643321938748838</v>
      </c>
      <c r="C72" s="11">
        <f t="shared" ca="1" si="7"/>
        <v>0.29057408791444106</v>
      </c>
      <c r="D72" s="11">
        <f t="shared" ca="1" si="1"/>
        <v>10.253144531828028</v>
      </c>
      <c r="E72" s="11">
        <f t="shared" ca="1" si="2"/>
        <v>6.6019078951319461</v>
      </c>
      <c r="F72" s="11">
        <f t="shared" ca="1" si="3"/>
        <v>1644.9046602873345</v>
      </c>
      <c r="G72" s="11">
        <f t="shared" ca="1" si="6"/>
        <v>7.3629028176612792</v>
      </c>
      <c r="H72" s="11">
        <f t="shared" ca="1" si="4"/>
        <v>1658.8694710001278</v>
      </c>
      <c r="I72" s="12">
        <f t="shared" ca="1" si="5"/>
        <v>13.964810712793224</v>
      </c>
    </row>
    <row r="73" spans="1:9" ht="17.399999999999999" x14ac:dyDescent="0.3">
      <c r="A73" s="8">
        <v>58</v>
      </c>
      <c r="B73" s="11">
        <f t="shared" ca="1" si="7"/>
        <v>0.98605740783603624</v>
      </c>
      <c r="C73" s="11">
        <f t="shared" ca="1" si="7"/>
        <v>4.6024535636394304E-2</v>
      </c>
      <c r="D73" s="11">
        <f t="shared" ca="1" si="1"/>
        <v>106.82017348581851</v>
      </c>
      <c r="E73" s="11">
        <f t="shared" ca="1" si="2"/>
        <v>0.90610243386561606</v>
      </c>
      <c r="F73" s="11">
        <f t="shared" ca="1" si="3"/>
        <v>1751.724833773153</v>
      </c>
      <c r="G73" s="11">
        <f t="shared" ca="1" si="6"/>
        <v>0</v>
      </c>
      <c r="H73" s="11">
        <f t="shared" ca="1" si="4"/>
        <v>1752.6309362070187</v>
      </c>
      <c r="I73" s="12">
        <f t="shared" ca="1" si="5"/>
        <v>0.9061024338657262</v>
      </c>
    </row>
    <row r="74" spans="1:9" ht="17.399999999999999" x14ac:dyDescent="0.3">
      <c r="A74" s="8">
        <v>59</v>
      </c>
      <c r="B74" s="11">
        <f t="shared" ca="1" si="7"/>
        <v>3.3701853428233175E-2</v>
      </c>
      <c r="C74" s="11">
        <f t="shared" ca="1" si="7"/>
        <v>0.68811745925071011</v>
      </c>
      <c r="D74" s="11">
        <f t="shared" ca="1" si="1"/>
        <v>0.8570713011451998</v>
      </c>
      <c r="E74" s="11">
        <f t="shared" ca="1" si="2"/>
        <v>22.406319884873408</v>
      </c>
      <c r="F74" s="11">
        <f t="shared" ca="1" si="3"/>
        <v>1752.5819050742982</v>
      </c>
      <c r="G74" s="11">
        <f t="shared" ca="1" si="6"/>
        <v>4.9031132720529058E-2</v>
      </c>
      <c r="H74" s="11">
        <f t="shared" ca="1" si="4"/>
        <v>1775.0372560918922</v>
      </c>
      <c r="I74" s="12">
        <f t="shared" ca="1" si="5"/>
        <v>22.455351017594012</v>
      </c>
    </row>
    <row r="75" spans="1:9" ht="17.399999999999999" x14ac:dyDescent="0.3">
      <c r="A75" s="8">
        <v>60</v>
      </c>
      <c r="B75" s="11">
        <f t="shared" ca="1" si="7"/>
        <v>0.96293724619415011</v>
      </c>
      <c r="C75" s="11">
        <f t="shared" ca="1" si="7"/>
        <v>0.49102650258939073</v>
      </c>
      <c r="D75" s="11">
        <f t="shared" ca="1" si="1"/>
        <v>82.378568854943197</v>
      </c>
      <c r="E75" s="11">
        <f t="shared" ca="1" si="2"/>
        <v>12.987679456591891</v>
      </c>
      <c r="F75" s="11">
        <f t="shared" ca="1" si="3"/>
        <v>1834.9604739292415</v>
      </c>
      <c r="G75" s="11">
        <f t="shared" ca="1" si="6"/>
        <v>0</v>
      </c>
      <c r="H75" s="11">
        <f t="shared" ca="1" si="4"/>
        <v>1847.9481533858334</v>
      </c>
      <c r="I75" s="12">
        <f t="shared" ca="1" si="5"/>
        <v>12.987679456591877</v>
      </c>
    </row>
    <row r="76" spans="1:9" ht="17.399999999999999" x14ac:dyDescent="0.3">
      <c r="A76" s="8">
        <v>61</v>
      </c>
      <c r="B76" s="11">
        <f t="shared" ca="1" si="7"/>
        <v>0.99473221803228185</v>
      </c>
      <c r="C76" s="11">
        <f t="shared" ca="1" si="7"/>
        <v>0.30635776356627809</v>
      </c>
      <c r="D76" s="11">
        <f t="shared" ca="1" si="1"/>
        <v>131.15364710035377</v>
      </c>
      <c r="E76" s="11">
        <f t="shared" ca="1" si="2"/>
        <v>7.0345954011060376</v>
      </c>
      <c r="F76" s="11">
        <f t="shared" ca="1" si="3"/>
        <v>1966.1141210295953</v>
      </c>
      <c r="G76" s="11">
        <f t="shared" ca="1" si="6"/>
        <v>0</v>
      </c>
      <c r="H76" s="11">
        <f t="shared" ca="1" si="4"/>
        <v>1973.1487164307014</v>
      </c>
      <c r="I76" s="12">
        <f t="shared" ca="1" si="5"/>
        <v>7.0345954011061167</v>
      </c>
    </row>
    <row r="77" spans="1:9" ht="17.399999999999999" x14ac:dyDescent="0.3">
      <c r="A77" s="8">
        <v>62</v>
      </c>
      <c r="B77" s="11">
        <f t="shared" ca="1" si="7"/>
        <v>0.14416561379389925</v>
      </c>
      <c r="C77" s="11">
        <f t="shared" ca="1" si="7"/>
        <v>0.31375829219026963</v>
      </c>
      <c r="D77" s="11">
        <f t="shared" ca="1" si="1"/>
        <v>3.8919598904302131</v>
      </c>
      <c r="E77" s="11">
        <f t="shared" ca="1" si="2"/>
        <v>7.2408724917071154</v>
      </c>
      <c r="F77" s="11">
        <f t="shared" ca="1" si="3"/>
        <v>1970.0060809200254</v>
      </c>
      <c r="G77" s="11">
        <f t="shared" ca="1" si="6"/>
        <v>3.1426355106759729</v>
      </c>
      <c r="H77" s="11">
        <f t="shared" ca="1" si="4"/>
        <v>1980.3895889224084</v>
      </c>
      <c r="I77" s="12">
        <f t="shared" ca="1" si="5"/>
        <v>10.383508002382996</v>
      </c>
    </row>
    <row r="78" spans="1:9" ht="17.399999999999999" x14ac:dyDescent="0.3">
      <c r="A78" s="8">
        <v>63</v>
      </c>
      <c r="B78" s="11">
        <f t="shared" ca="1" si="7"/>
        <v>0.69210078017804721</v>
      </c>
      <c r="C78" s="11">
        <f t="shared" ca="1" si="7"/>
        <v>8.9934360361501486E-2</v>
      </c>
      <c r="D78" s="11">
        <f t="shared" ca="1" si="1"/>
        <v>29.449568948079623</v>
      </c>
      <c r="E78" s="11">
        <f t="shared" ca="1" si="2"/>
        <v>1.8122798192637177</v>
      </c>
      <c r="F78" s="11">
        <f t="shared" ca="1" si="3"/>
        <v>1999.455649868105</v>
      </c>
      <c r="G78" s="11">
        <f t="shared" ca="1" si="6"/>
        <v>0</v>
      </c>
      <c r="H78" s="11">
        <f t="shared" ca="1" si="4"/>
        <v>2001.2679296873687</v>
      </c>
      <c r="I78" s="12">
        <f t="shared" ca="1" si="5"/>
        <v>1.8122798192637219</v>
      </c>
    </row>
    <row r="79" spans="1:9" ht="17.399999999999999" x14ac:dyDescent="0.3">
      <c r="A79" s="8">
        <v>64</v>
      </c>
      <c r="B79" s="11">
        <f t="shared" ca="1" si="7"/>
        <v>0.72582480467206889</v>
      </c>
      <c r="C79" s="11">
        <f t="shared" ca="1" si="7"/>
        <v>0.58689889459205924</v>
      </c>
      <c r="D79" s="11">
        <f t="shared" ca="1" si="1"/>
        <v>32.349699447886756</v>
      </c>
      <c r="E79" s="11">
        <f t="shared" ca="1" si="2"/>
        <v>17.001209782660926</v>
      </c>
      <c r="F79" s="11">
        <f t="shared" ca="1" si="3"/>
        <v>2031.8053493159916</v>
      </c>
      <c r="G79" s="11">
        <f t="shared" ca="1" si="6"/>
        <v>0</v>
      </c>
      <c r="H79" s="11">
        <f t="shared" ca="1" si="4"/>
        <v>2048.8065590986525</v>
      </c>
      <c r="I79" s="12">
        <f t="shared" ca="1" si="5"/>
        <v>17.001209782660908</v>
      </c>
    </row>
    <row r="80" spans="1:9" ht="17.399999999999999" x14ac:dyDescent="0.3">
      <c r="A80" s="8">
        <v>65</v>
      </c>
      <c r="B80" s="11">
        <f t="shared" ca="1" si="7"/>
        <v>0.85623815570025152</v>
      </c>
      <c r="C80" s="11">
        <f t="shared" ca="1" si="7"/>
        <v>0.98850204932315167</v>
      </c>
      <c r="D80" s="11">
        <f t="shared" ca="1" si="1"/>
        <v>48.489930189257109</v>
      </c>
      <c r="E80" s="11">
        <f t="shared" ca="1" si="2"/>
        <v>85.876662721268971</v>
      </c>
      <c r="F80" s="11">
        <f t="shared" ca="1" si="3"/>
        <v>2080.2952795052488</v>
      </c>
      <c r="G80" s="11">
        <f t="shared" ca="1" si="6"/>
        <v>0</v>
      </c>
      <c r="H80" s="11">
        <f t="shared" ca="1" si="4"/>
        <v>2166.1719422265178</v>
      </c>
      <c r="I80" s="12">
        <f t="shared" ca="1" si="5"/>
        <v>85.876662721268985</v>
      </c>
    </row>
    <row r="81" spans="1:9" ht="17.399999999999999" x14ac:dyDescent="0.3">
      <c r="A81" s="8">
        <v>66</v>
      </c>
      <c r="B81" s="11">
        <f t="shared" ca="1" si="7"/>
        <v>0.4025166161901127</v>
      </c>
      <c r="C81" s="11">
        <f t="shared" ca="1" si="7"/>
        <v>0.96843270351018351</v>
      </c>
      <c r="D81" s="11">
        <f t="shared" ca="1" si="1"/>
        <v>12.875720127159109</v>
      </c>
      <c r="E81" s="11">
        <f t="shared" ca="1" si="2"/>
        <v>66.454492605737286</v>
      </c>
      <c r="F81" s="11">
        <f t="shared" ca="1" si="3"/>
        <v>2093.170999632408</v>
      </c>
      <c r="G81" s="11">
        <f t="shared" ca="1" si="6"/>
        <v>73.000942594109802</v>
      </c>
      <c r="H81" s="11">
        <f t="shared" ca="1" si="4"/>
        <v>2232.6264348322552</v>
      </c>
      <c r="I81" s="12">
        <f t="shared" ca="1" si="5"/>
        <v>139.45543519984722</v>
      </c>
    </row>
    <row r="82" spans="1:9" ht="17.399999999999999" x14ac:dyDescent="0.3">
      <c r="A82" s="8">
        <v>67</v>
      </c>
      <c r="B82" s="11">
        <f t="shared" ref="B82:C113" ca="1" si="8">RAND()</f>
        <v>0.45258444605616754</v>
      </c>
      <c r="C82" s="11">
        <f t="shared" ca="1" si="8"/>
        <v>2.408257010292314E-2</v>
      </c>
      <c r="D82" s="11">
        <f t="shared" ref="D82:D145" ca="1" si="9">(1/$F$2)*LN(1/(1-B82))</f>
        <v>15.063676713989798</v>
      </c>
      <c r="E82" s="11">
        <f t="shared" ref="E82:E145" ca="1" si="10">(1/$J$2)*LN(1/(1-C82))</f>
        <v>0.4687941665992344</v>
      </c>
      <c r="F82" s="11">
        <f t="shared" ref="F82:F145" ca="1" si="11">F81+D82</f>
        <v>2108.2346763463979</v>
      </c>
      <c r="G82" s="11">
        <f t="shared" ref="G82:G145" ca="1" si="12">IF(F82&lt;H81,H81-F82,0)</f>
        <v>124.39175848585728</v>
      </c>
      <c r="H82" s="11">
        <f t="shared" ref="H82:H145" ca="1" si="13">F82+G82+E82</f>
        <v>2233.0952289988545</v>
      </c>
      <c r="I82" s="12">
        <f t="shared" ref="I82:I145" ca="1" si="14">H82-F82</f>
        <v>124.86055265245659</v>
      </c>
    </row>
    <row r="83" spans="1:9" ht="17.399999999999999" x14ac:dyDescent="0.3">
      <c r="A83" s="8">
        <v>68</v>
      </c>
      <c r="B83" s="11">
        <f t="shared" ca="1" si="8"/>
        <v>0.31801213184702104</v>
      </c>
      <c r="C83" s="11">
        <f t="shared" ca="1" si="8"/>
        <v>0.63745379731986207</v>
      </c>
      <c r="D83" s="11">
        <f t="shared" ca="1" si="9"/>
        <v>9.5685852482222558</v>
      </c>
      <c r="E83" s="11">
        <f t="shared" ca="1" si="10"/>
        <v>19.511603021920102</v>
      </c>
      <c r="F83" s="11">
        <f t="shared" ca="1" si="11"/>
        <v>2117.8032615946204</v>
      </c>
      <c r="G83" s="11">
        <f t="shared" ca="1" si="12"/>
        <v>115.29196740423413</v>
      </c>
      <c r="H83" s="11">
        <f t="shared" ca="1" si="13"/>
        <v>2252.6068320207746</v>
      </c>
      <c r="I83" s="12">
        <f t="shared" ca="1" si="14"/>
        <v>134.80357042615424</v>
      </c>
    </row>
    <row r="84" spans="1:9" ht="17.399999999999999" x14ac:dyDescent="0.3">
      <c r="A84" s="8">
        <v>69</v>
      </c>
      <c r="B84" s="11">
        <f t="shared" ca="1" si="8"/>
        <v>0.81290751464274036</v>
      </c>
      <c r="C84" s="11">
        <f t="shared" ca="1" si="8"/>
        <v>7.4144425982723972E-2</v>
      </c>
      <c r="D84" s="11">
        <f t="shared" ca="1" si="9"/>
        <v>41.903805257150488</v>
      </c>
      <c r="E84" s="11">
        <f t="shared" ca="1" si="10"/>
        <v>1.481481232386564</v>
      </c>
      <c r="F84" s="11">
        <f t="shared" ca="1" si="11"/>
        <v>2159.7070668517708</v>
      </c>
      <c r="G84" s="11">
        <f t="shared" ca="1" si="12"/>
        <v>92.899765169003786</v>
      </c>
      <c r="H84" s="11">
        <f t="shared" ca="1" si="13"/>
        <v>2254.0883132531612</v>
      </c>
      <c r="I84" s="12">
        <f t="shared" ca="1" si="14"/>
        <v>94.381246401390399</v>
      </c>
    </row>
    <row r="85" spans="1:9" ht="17.399999999999999" x14ac:dyDescent="0.3">
      <c r="A85" s="8">
        <v>70</v>
      </c>
      <c r="B85" s="11">
        <f t="shared" ca="1" si="8"/>
        <v>2.1233258604927419E-2</v>
      </c>
      <c r="C85" s="11">
        <f t="shared" ca="1" si="8"/>
        <v>0.90599834764686471</v>
      </c>
      <c r="D85" s="11">
        <f t="shared" ca="1" si="9"/>
        <v>0.53654817374433661</v>
      </c>
      <c r="E85" s="11">
        <f t="shared" ca="1" si="10"/>
        <v>45.470056127726629</v>
      </c>
      <c r="F85" s="11">
        <f t="shared" ca="1" si="11"/>
        <v>2160.2436150255153</v>
      </c>
      <c r="G85" s="11">
        <f t="shared" ca="1" si="12"/>
        <v>93.844698227645949</v>
      </c>
      <c r="H85" s="11">
        <f t="shared" ca="1" si="13"/>
        <v>2299.5583693808881</v>
      </c>
      <c r="I85" s="12">
        <f t="shared" ca="1" si="14"/>
        <v>139.31475435537277</v>
      </c>
    </row>
    <row r="86" spans="1:9" ht="17.399999999999999" x14ac:dyDescent="0.3">
      <c r="A86" s="8">
        <v>71</v>
      </c>
      <c r="B86" s="11">
        <f t="shared" ca="1" si="8"/>
        <v>0.65896209781817461</v>
      </c>
      <c r="C86" s="11">
        <f t="shared" ca="1" si="8"/>
        <v>0.39704495949187602</v>
      </c>
      <c r="D86" s="11">
        <f t="shared" ca="1" si="9"/>
        <v>26.894041444550115</v>
      </c>
      <c r="E86" s="11">
        <f t="shared" ca="1" si="10"/>
        <v>9.7290893215900631</v>
      </c>
      <c r="F86" s="11">
        <f t="shared" ca="1" si="11"/>
        <v>2187.1376564700654</v>
      </c>
      <c r="G86" s="11">
        <f t="shared" ca="1" si="12"/>
        <v>112.42071291082266</v>
      </c>
      <c r="H86" s="11">
        <f t="shared" ca="1" si="13"/>
        <v>2309.287458702478</v>
      </c>
      <c r="I86" s="12">
        <f t="shared" ca="1" si="14"/>
        <v>122.14980223241264</v>
      </c>
    </row>
    <row r="87" spans="1:9" ht="17.399999999999999" x14ac:dyDescent="0.3">
      <c r="A87" s="8">
        <v>72</v>
      </c>
      <c r="B87" s="11">
        <f t="shared" ca="1" si="8"/>
        <v>0.71519000570717306</v>
      </c>
      <c r="C87" s="11">
        <f t="shared" ca="1" si="8"/>
        <v>0.87244820347731522</v>
      </c>
      <c r="D87" s="11">
        <f t="shared" ca="1" si="9"/>
        <v>31.398325193492948</v>
      </c>
      <c r="E87" s="11">
        <f t="shared" ca="1" si="10"/>
        <v>39.600629800826532</v>
      </c>
      <c r="F87" s="11">
        <f t="shared" ca="1" si="11"/>
        <v>2218.5359816635582</v>
      </c>
      <c r="G87" s="11">
        <f t="shared" ca="1" si="12"/>
        <v>90.751477038919802</v>
      </c>
      <c r="H87" s="11">
        <f t="shared" ca="1" si="13"/>
        <v>2348.8880885033045</v>
      </c>
      <c r="I87" s="12">
        <f t="shared" ca="1" si="14"/>
        <v>130.35210683974628</v>
      </c>
    </row>
    <row r="88" spans="1:9" ht="17.399999999999999" x14ac:dyDescent="0.3">
      <c r="A88" s="8">
        <v>73</v>
      </c>
      <c r="B88" s="11">
        <f t="shared" ca="1" si="8"/>
        <v>0.76479340637384541</v>
      </c>
      <c r="C88" s="11">
        <f t="shared" ca="1" si="8"/>
        <v>0.84183913142519051</v>
      </c>
      <c r="D88" s="11">
        <f t="shared" ca="1" si="9"/>
        <v>36.182275730645173</v>
      </c>
      <c r="E88" s="11">
        <f t="shared" ca="1" si="10"/>
        <v>35.464280930523032</v>
      </c>
      <c r="F88" s="11">
        <f t="shared" ca="1" si="11"/>
        <v>2254.7182573942032</v>
      </c>
      <c r="G88" s="11">
        <f t="shared" ca="1" si="12"/>
        <v>94.169831109101324</v>
      </c>
      <c r="H88" s="11">
        <f t="shared" ca="1" si="13"/>
        <v>2384.3523694338273</v>
      </c>
      <c r="I88" s="12">
        <f t="shared" ca="1" si="14"/>
        <v>129.63411203962414</v>
      </c>
    </row>
    <row r="89" spans="1:9" ht="17.399999999999999" x14ac:dyDescent="0.3">
      <c r="A89" s="8">
        <v>74</v>
      </c>
      <c r="B89" s="11">
        <f t="shared" ca="1" si="8"/>
        <v>0.49042675357870091</v>
      </c>
      <c r="C89" s="11">
        <f t="shared" ca="1" si="8"/>
        <v>0.73533714290534502</v>
      </c>
      <c r="D89" s="11">
        <f t="shared" ca="1" si="9"/>
        <v>16.854541881889705</v>
      </c>
      <c r="E89" s="11">
        <f t="shared" ca="1" si="10"/>
        <v>25.563432699146425</v>
      </c>
      <c r="F89" s="11">
        <f t="shared" ca="1" si="11"/>
        <v>2271.5727992760931</v>
      </c>
      <c r="G89" s="11">
        <f t="shared" ca="1" si="12"/>
        <v>112.77957015773427</v>
      </c>
      <c r="H89" s="11">
        <f t="shared" ca="1" si="13"/>
        <v>2409.9158021329736</v>
      </c>
      <c r="I89" s="12">
        <f t="shared" ca="1" si="14"/>
        <v>138.3430028568805</v>
      </c>
    </row>
    <row r="90" spans="1:9" ht="17.399999999999999" x14ac:dyDescent="0.3">
      <c r="A90" s="8">
        <v>75</v>
      </c>
      <c r="B90" s="11">
        <f t="shared" ca="1" si="8"/>
        <v>0.43536262277135773</v>
      </c>
      <c r="C90" s="11">
        <f t="shared" ca="1" si="8"/>
        <v>0.23126931385658667</v>
      </c>
      <c r="D90" s="11">
        <f t="shared" ca="1" si="9"/>
        <v>14.289289102470795</v>
      </c>
      <c r="E90" s="11">
        <f t="shared" ca="1" si="10"/>
        <v>5.0579727671711598</v>
      </c>
      <c r="F90" s="11">
        <f t="shared" ca="1" si="11"/>
        <v>2285.8620883785638</v>
      </c>
      <c r="G90" s="11">
        <f t="shared" ca="1" si="12"/>
        <v>124.05371375440973</v>
      </c>
      <c r="H90" s="11">
        <f t="shared" ca="1" si="13"/>
        <v>2414.9737749001447</v>
      </c>
      <c r="I90" s="12">
        <f t="shared" ca="1" si="14"/>
        <v>129.11168652158085</v>
      </c>
    </row>
    <row r="91" spans="1:9" ht="17.399999999999999" x14ac:dyDescent="0.3">
      <c r="A91" s="8">
        <v>76</v>
      </c>
      <c r="B91" s="11">
        <f t="shared" ca="1" si="8"/>
        <v>0.48451825653298741</v>
      </c>
      <c r="C91" s="11">
        <f t="shared" ca="1" si="8"/>
        <v>0.53269578253191496</v>
      </c>
      <c r="D91" s="11">
        <f t="shared" ca="1" si="9"/>
        <v>16.566334783679679</v>
      </c>
      <c r="E91" s="11">
        <f t="shared" ca="1" si="10"/>
        <v>14.630284694871831</v>
      </c>
      <c r="F91" s="11">
        <f t="shared" ca="1" si="11"/>
        <v>2302.4284231622437</v>
      </c>
      <c r="G91" s="11">
        <f t="shared" ca="1" si="12"/>
        <v>112.545351737901</v>
      </c>
      <c r="H91" s="11">
        <f t="shared" ca="1" si="13"/>
        <v>2429.6040595950167</v>
      </c>
      <c r="I91" s="12">
        <f t="shared" ca="1" si="14"/>
        <v>127.17563643277299</v>
      </c>
    </row>
    <row r="92" spans="1:9" ht="17.399999999999999" x14ac:dyDescent="0.3">
      <c r="A92" s="8">
        <v>77</v>
      </c>
      <c r="B92" s="11">
        <f t="shared" ca="1" si="8"/>
        <v>1.7152052700641351E-2</v>
      </c>
      <c r="C92" s="11">
        <f t="shared" ca="1" si="8"/>
        <v>0.93592194789672489</v>
      </c>
      <c r="D92" s="11">
        <f t="shared" ca="1" si="9"/>
        <v>0.43252132748120115</v>
      </c>
      <c r="E92" s="11">
        <f t="shared" ca="1" si="10"/>
        <v>52.839487972558146</v>
      </c>
      <c r="F92" s="11">
        <f t="shared" ca="1" si="11"/>
        <v>2302.8609444897247</v>
      </c>
      <c r="G92" s="11">
        <f t="shared" ca="1" si="12"/>
        <v>126.74311510529196</v>
      </c>
      <c r="H92" s="11">
        <f t="shared" ca="1" si="13"/>
        <v>2482.443547567575</v>
      </c>
      <c r="I92" s="12">
        <f t="shared" ca="1" si="14"/>
        <v>179.58260307785031</v>
      </c>
    </row>
    <row r="93" spans="1:9" ht="17.399999999999999" x14ac:dyDescent="0.3">
      <c r="A93" s="8">
        <v>78</v>
      </c>
      <c r="B93" s="11">
        <f t="shared" ca="1" si="8"/>
        <v>5.4549586472271927E-2</v>
      </c>
      <c r="C93" s="11">
        <f t="shared" ca="1" si="8"/>
        <v>0.11478929513126435</v>
      </c>
      <c r="D93" s="11">
        <f t="shared" ca="1" si="9"/>
        <v>1.4023459241951024</v>
      </c>
      <c r="E93" s="11">
        <f t="shared" ca="1" si="10"/>
        <v>2.3447995714308854</v>
      </c>
      <c r="F93" s="11">
        <f t="shared" ca="1" si="11"/>
        <v>2304.26329041392</v>
      </c>
      <c r="G93" s="11">
        <f t="shared" ca="1" si="12"/>
        <v>178.18025715365502</v>
      </c>
      <c r="H93" s="11">
        <f t="shared" ca="1" si="13"/>
        <v>2484.788347139006</v>
      </c>
      <c r="I93" s="12">
        <f t="shared" ca="1" si="14"/>
        <v>180.52505672508596</v>
      </c>
    </row>
    <row r="94" spans="1:9" ht="17.399999999999999" x14ac:dyDescent="0.3">
      <c r="A94" s="8">
        <v>79</v>
      </c>
      <c r="B94" s="11">
        <f t="shared" ca="1" si="8"/>
        <v>0.96735353978324312</v>
      </c>
      <c r="C94" s="11">
        <f t="shared" ca="1" si="8"/>
        <v>0.91980540103101172</v>
      </c>
      <c r="D94" s="11">
        <f t="shared" ca="1" si="9"/>
        <v>85.550471129074054</v>
      </c>
      <c r="E94" s="11">
        <f t="shared" ca="1" si="10"/>
        <v>48.52498290199506</v>
      </c>
      <c r="F94" s="11">
        <f t="shared" ca="1" si="11"/>
        <v>2389.8137615429941</v>
      </c>
      <c r="G94" s="11">
        <f t="shared" ca="1" si="12"/>
        <v>94.974585596011821</v>
      </c>
      <c r="H94" s="11">
        <f t="shared" ca="1" si="13"/>
        <v>2533.3133300410009</v>
      </c>
      <c r="I94" s="12">
        <f t="shared" ca="1" si="14"/>
        <v>143.49956849800674</v>
      </c>
    </row>
    <row r="95" spans="1:9" ht="17.399999999999999" x14ac:dyDescent="0.3">
      <c r="A95" s="8">
        <v>80</v>
      </c>
      <c r="B95" s="11">
        <f t="shared" ca="1" si="8"/>
        <v>7.027290978368117E-2</v>
      </c>
      <c r="C95" s="11">
        <f t="shared" ca="1" si="8"/>
        <v>0.18206863093487191</v>
      </c>
      <c r="D95" s="11">
        <f t="shared" ca="1" si="9"/>
        <v>1.8216046820104814</v>
      </c>
      <c r="E95" s="11">
        <f t="shared" ca="1" si="10"/>
        <v>3.8649393614931462</v>
      </c>
      <c r="F95" s="11">
        <f t="shared" ca="1" si="11"/>
        <v>2391.6353662250044</v>
      </c>
      <c r="G95" s="11">
        <f t="shared" ca="1" si="12"/>
        <v>141.67796381599646</v>
      </c>
      <c r="H95" s="11">
        <f t="shared" ca="1" si="13"/>
        <v>2537.1782694024942</v>
      </c>
      <c r="I95" s="12">
        <f t="shared" ca="1" si="14"/>
        <v>145.54290317748973</v>
      </c>
    </row>
    <row r="96" spans="1:9" ht="17.399999999999999" x14ac:dyDescent="0.3">
      <c r="A96" s="8">
        <v>81</v>
      </c>
      <c r="B96" s="11">
        <f t="shared" ca="1" si="8"/>
        <v>0.60928569388903131</v>
      </c>
      <c r="C96" s="11">
        <f t="shared" ca="1" si="8"/>
        <v>0.17315746006871624</v>
      </c>
      <c r="D96" s="11">
        <f t="shared" ca="1" si="9"/>
        <v>23.494466524444853</v>
      </c>
      <c r="E96" s="11">
        <f t="shared" ca="1" si="10"/>
        <v>3.6565577154307212</v>
      </c>
      <c r="F96" s="11">
        <f t="shared" ca="1" si="11"/>
        <v>2415.1298327494492</v>
      </c>
      <c r="G96" s="11">
        <f t="shared" ca="1" si="12"/>
        <v>122.04843665304497</v>
      </c>
      <c r="H96" s="11">
        <f t="shared" ca="1" si="13"/>
        <v>2540.8348271179248</v>
      </c>
      <c r="I96" s="12">
        <f t="shared" ca="1" si="14"/>
        <v>125.70499436847558</v>
      </c>
    </row>
    <row r="97" spans="1:9" ht="17.399999999999999" x14ac:dyDescent="0.3">
      <c r="A97" s="8">
        <v>82</v>
      </c>
      <c r="B97" s="11">
        <f t="shared" ca="1" si="8"/>
        <v>0.66132978219760707</v>
      </c>
      <c r="C97" s="11">
        <f t="shared" ca="1" si="8"/>
        <v>0.37752101620140888</v>
      </c>
      <c r="D97" s="11">
        <f t="shared" ca="1" si="9"/>
        <v>27.068211348245164</v>
      </c>
      <c r="E97" s="11">
        <f t="shared" ca="1" si="10"/>
        <v>9.1162579265251402</v>
      </c>
      <c r="F97" s="11">
        <f t="shared" ca="1" si="11"/>
        <v>2442.1980440976945</v>
      </c>
      <c r="G97" s="11">
        <f t="shared" ca="1" si="12"/>
        <v>98.636783020230268</v>
      </c>
      <c r="H97" s="11">
        <f t="shared" ca="1" si="13"/>
        <v>2549.9510850444499</v>
      </c>
      <c r="I97" s="12">
        <f t="shared" ca="1" si="14"/>
        <v>107.75304094675539</v>
      </c>
    </row>
    <row r="98" spans="1:9" ht="17.399999999999999" x14ac:dyDescent="0.3">
      <c r="A98" s="8">
        <v>83</v>
      </c>
      <c r="B98" s="11">
        <f t="shared" ca="1" si="8"/>
        <v>0.59515259623438554</v>
      </c>
      <c r="C98" s="11">
        <f t="shared" ca="1" si="8"/>
        <v>0.48932772776100952</v>
      </c>
      <c r="D98" s="11">
        <f t="shared" ca="1" si="9"/>
        <v>22.606126592524284</v>
      </c>
      <c r="E98" s="11">
        <f t="shared" ca="1" si="10"/>
        <v>12.923600777704886</v>
      </c>
      <c r="F98" s="11">
        <f t="shared" ca="1" si="11"/>
        <v>2464.8041706902186</v>
      </c>
      <c r="G98" s="11">
        <f t="shared" ca="1" si="12"/>
        <v>85.146914354231285</v>
      </c>
      <c r="H98" s="11">
        <f t="shared" ca="1" si="13"/>
        <v>2562.8746858221548</v>
      </c>
      <c r="I98" s="12">
        <f t="shared" ca="1" si="14"/>
        <v>98.07051513193619</v>
      </c>
    </row>
    <row r="99" spans="1:9" ht="17.399999999999999" x14ac:dyDescent="0.3">
      <c r="A99" s="8">
        <v>84</v>
      </c>
      <c r="B99" s="11">
        <f t="shared" ca="1" si="8"/>
        <v>0.63260043255105802</v>
      </c>
      <c r="C99" s="11">
        <f t="shared" ca="1" si="8"/>
        <v>0.99365341921898664</v>
      </c>
      <c r="D99" s="11">
        <f t="shared" ca="1" si="9"/>
        <v>25.032632088296207</v>
      </c>
      <c r="E99" s="11">
        <f t="shared" ca="1" si="10"/>
        <v>97.304597515037486</v>
      </c>
      <c r="F99" s="11">
        <f t="shared" ca="1" si="11"/>
        <v>2489.836802778515</v>
      </c>
      <c r="G99" s="11">
        <f t="shared" ca="1" si="12"/>
        <v>73.037883043639795</v>
      </c>
      <c r="H99" s="11">
        <f t="shared" ca="1" si="13"/>
        <v>2660.1792833371924</v>
      </c>
      <c r="I99" s="12">
        <f t="shared" ca="1" si="14"/>
        <v>170.34248055867738</v>
      </c>
    </row>
    <row r="100" spans="1:9" ht="17.399999999999999" x14ac:dyDescent="0.3">
      <c r="A100" s="8">
        <v>85</v>
      </c>
      <c r="B100" s="11">
        <f t="shared" ca="1" si="8"/>
        <v>0.78809497592307842</v>
      </c>
      <c r="C100" s="11">
        <f t="shared" ca="1" si="8"/>
        <v>0.23386222636818232</v>
      </c>
      <c r="D100" s="11">
        <f t="shared" ca="1" si="9"/>
        <v>38.79042760822766</v>
      </c>
      <c r="E100" s="11">
        <f t="shared" ca="1" si="10"/>
        <v>5.1229473899322659</v>
      </c>
      <c r="F100" s="11">
        <f t="shared" ca="1" si="11"/>
        <v>2528.6272303867427</v>
      </c>
      <c r="G100" s="11">
        <f t="shared" ca="1" si="12"/>
        <v>131.55205295044971</v>
      </c>
      <c r="H100" s="11">
        <f t="shared" ca="1" si="13"/>
        <v>2665.3022307271244</v>
      </c>
      <c r="I100" s="12">
        <f t="shared" ca="1" si="14"/>
        <v>136.67500034038176</v>
      </c>
    </row>
    <row r="101" spans="1:9" ht="17.399999999999999" x14ac:dyDescent="0.3">
      <c r="A101" s="8">
        <v>86</v>
      </c>
      <c r="B101" s="11">
        <f t="shared" ca="1" si="8"/>
        <v>0.23626285074197051</v>
      </c>
      <c r="C101" s="11">
        <f t="shared" ca="1" si="8"/>
        <v>0.60771478469616114</v>
      </c>
      <c r="D101" s="11">
        <f t="shared" ca="1" si="9"/>
        <v>6.7382898621655505</v>
      </c>
      <c r="E101" s="11">
        <f t="shared" ca="1" si="10"/>
        <v>17.995502186465135</v>
      </c>
      <c r="F101" s="11">
        <f t="shared" ca="1" si="11"/>
        <v>2535.3655202489081</v>
      </c>
      <c r="G101" s="11">
        <f t="shared" ca="1" si="12"/>
        <v>129.93671047821636</v>
      </c>
      <c r="H101" s="11">
        <f t="shared" ca="1" si="13"/>
        <v>2683.2977329135897</v>
      </c>
      <c r="I101" s="12">
        <f t="shared" ca="1" si="14"/>
        <v>147.93221266468163</v>
      </c>
    </row>
    <row r="102" spans="1:9" ht="17.399999999999999" x14ac:dyDescent="0.3">
      <c r="A102" s="8">
        <v>87</v>
      </c>
      <c r="B102" s="11">
        <f t="shared" ca="1" si="8"/>
        <v>0.43580109297347813</v>
      </c>
      <c r="C102" s="11">
        <f t="shared" ca="1" si="8"/>
        <v>0.64689237086758011</v>
      </c>
      <c r="D102" s="11">
        <f t="shared" ca="1" si="9"/>
        <v>14.308710440635043</v>
      </c>
      <c r="E102" s="11">
        <f t="shared" ca="1" si="10"/>
        <v>20.018891733245862</v>
      </c>
      <c r="F102" s="11">
        <f t="shared" ca="1" si="11"/>
        <v>2549.674230689543</v>
      </c>
      <c r="G102" s="11">
        <f t="shared" ca="1" si="12"/>
        <v>133.62350222404666</v>
      </c>
      <c r="H102" s="11">
        <f t="shared" ca="1" si="13"/>
        <v>2703.3166246468354</v>
      </c>
      <c r="I102" s="12">
        <f t="shared" ca="1" si="14"/>
        <v>153.64239395729237</v>
      </c>
    </row>
    <row r="103" spans="1:9" ht="17.399999999999999" x14ac:dyDescent="0.3">
      <c r="A103" s="8">
        <v>88</v>
      </c>
      <c r="B103" s="11">
        <f t="shared" ca="1" si="8"/>
        <v>0.1337784759406847</v>
      </c>
      <c r="C103" s="11">
        <f t="shared" ca="1" si="8"/>
        <v>0.40148062993906675</v>
      </c>
      <c r="D103" s="11">
        <f t="shared" ca="1" si="9"/>
        <v>3.5903650419285227</v>
      </c>
      <c r="E103" s="11">
        <f t="shared" ca="1" si="10"/>
        <v>9.8710844261936561</v>
      </c>
      <c r="F103" s="11">
        <f t="shared" ca="1" si="11"/>
        <v>2553.2645957314717</v>
      </c>
      <c r="G103" s="11">
        <f t="shared" ca="1" si="12"/>
        <v>150.05202891536373</v>
      </c>
      <c r="H103" s="11">
        <f t="shared" ca="1" si="13"/>
        <v>2713.1877090730291</v>
      </c>
      <c r="I103" s="12">
        <f t="shared" ca="1" si="14"/>
        <v>159.92311334155738</v>
      </c>
    </row>
    <row r="104" spans="1:9" ht="17.399999999999999" x14ac:dyDescent="0.3">
      <c r="A104" s="8">
        <v>89</v>
      </c>
      <c r="B104" s="11">
        <f t="shared" ca="1" si="8"/>
        <v>0.41524691209018338</v>
      </c>
      <c r="C104" s="11">
        <f t="shared" ca="1" si="8"/>
        <v>0.14994262226632149</v>
      </c>
      <c r="D104" s="11">
        <f t="shared" ca="1" si="9"/>
        <v>13.414139819918706</v>
      </c>
      <c r="E104" s="11">
        <f t="shared" ca="1" si="10"/>
        <v>3.1240659338446561</v>
      </c>
      <c r="F104" s="11">
        <f t="shared" ca="1" si="11"/>
        <v>2566.6787355513902</v>
      </c>
      <c r="G104" s="11">
        <f t="shared" ca="1" si="12"/>
        <v>146.50897352163884</v>
      </c>
      <c r="H104" s="11">
        <f t="shared" ca="1" si="13"/>
        <v>2716.3117750068736</v>
      </c>
      <c r="I104" s="12">
        <f t="shared" ca="1" si="14"/>
        <v>149.63303945548341</v>
      </c>
    </row>
    <row r="105" spans="1:9" ht="17.399999999999999" x14ac:dyDescent="0.3">
      <c r="A105" s="8">
        <v>90</v>
      </c>
      <c r="B105" s="11">
        <f t="shared" ca="1" si="8"/>
        <v>2.2250501412639068E-2</v>
      </c>
      <c r="C105" s="11">
        <f t="shared" ca="1" si="8"/>
        <v>0.48981606752987117</v>
      </c>
      <c r="D105" s="11">
        <f t="shared" ca="1" si="9"/>
        <v>0.56254445423986588</v>
      </c>
      <c r="E105" s="11">
        <f t="shared" ca="1" si="10"/>
        <v>12.94199935347725</v>
      </c>
      <c r="F105" s="11">
        <f t="shared" ca="1" si="11"/>
        <v>2567.24128000563</v>
      </c>
      <c r="G105" s="11">
        <f t="shared" ca="1" si="12"/>
        <v>149.07049500124367</v>
      </c>
      <c r="H105" s="11">
        <f t="shared" ca="1" si="13"/>
        <v>2729.2537743603507</v>
      </c>
      <c r="I105" s="12">
        <f t="shared" ca="1" si="14"/>
        <v>162.01249435472073</v>
      </c>
    </row>
    <row r="106" spans="1:9" ht="17.399999999999999" x14ac:dyDescent="0.3">
      <c r="A106" s="8">
        <v>91</v>
      </c>
      <c r="B106" s="11">
        <f t="shared" ca="1" si="8"/>
        <v>0.49719404346188245</v>
      </c>
      <c r="C106" s="11">
        <f t="shared" ca="1" si="8"/>
        <v>0.95034965232123014</v>
      </c>
      <c r="D106" s="11">
        <f t="shared" ca="1" si="9"/>
        <v>17.188773890042373</v>
      </c>
      <c r="E106" s="11">
        <f t="shared" ca="1" si="10"/>
        <v>57.745190113883098</v>
      </c>
      <c r="F106" s="11">
        <f t="shared" ca="1" si="11"/>
        <v>2584.4300538956722</v>
      </c>
      <c r="G106" s="11">
        <f t="shared" ca="1" si="12"/>
        <v>144.82372046467844</v>
      </c>
      <c r="H106" s="11">
        <f t="shared" ca="1" si="13"/>
        <v>2786.9989644742336</v>
      </c>
      <c r="I106" s="12">
        <f t="shared" ca="1" si="14"/>
        <v>202.56891057856137</v>
      </c>
    </row>
    <row r="107" spans="1:9" ht="17.399999999999999" x14ac:dyDescent="0.3">
      <c r="A107" s="8">
        <v>92</v>
      </c>
      <c r="B107" s="11">
        <f t="shared" ca="1" si="8"/>
        <v>0.97590468201032587</v>
      </c>
      <c r="C107" s="11">
        <f t="shared" ca="1" si="8"/>
        <v>0.70185045199086671</v>
      </c>
      <c r="D107" s="11">
        <f t="shared" ca="1" si="9"/>
        <v>93.143443291165056</v>
      </c>
      <c r="E107" s="11">
        <f t="shared" ca="1" si="10"/>
        <v>23.272309219210893</v>
      </c>
      <c r="F107" s="11">
        <f t="shared" ca="1" si="11"/>
        <v>2677.5734971868374</v>
      </c>
      <c r="G107" s="11">
        <f t="shared" ca="1" si="12"/>
        <v>109.42546728739626</v>
      </c>
      <c r="H107" s="11">
        <f t="shared" ca="1" si="13"/>
        <v>2810.2712736934445</v>
      </c>
      <c r="I107" s="12">
        <f t="shared" ca="1" si="14"/>
        <v>132.69777650660717</v>
      </c>
    </row>
    <row r="108" spans="1:9" ht="17.399999999999999" x14ac:dyDescent="0.3">
      <c r="A108" s="8">
        <v>93</v>
      </c>
      <c r="B108" s="11">
        <f t="shared" ca="1" si="8"/>
        <v>0.27810690737513077</v>
      </c>
      <c r="C108" s="11">
        <f t="shared" ca="1" si="8"/>
        <v>0.20092744355267544</v>
      </c>
      <c r="D108" s="11">
        <f t="shared" ca="1" si="9"/>
        <v>8.1469555552404405</v>
      </c>
      <c r="E108" s="11">
        <f t="shared" ca="1" si="10"/>
        <v>4.3135293897742821</v>
      </c>
      <c r="F108" s="11">
        <f t="shared" ca="1" si="11"/>
        <v>2685.7204527420777</v>
      </c>
      <c r="G108" s="11">
        <f t="shared" ca="1" si="12"/>
        <v>124.55082095136686</v>
      </c>
      <c r="H108" s="11">
        <f t="shared" ca="1" si="13"/>
        <v>2814.584803083219</v>
      </c>
      <c r="I108" s="12">
        <f t="shared" ca="1" si="14"/>
        <v>128.86435034114129</v>
      </c>
    </row>
    <row r="109" spans="1:9" ht="17.399999999999999" x14ac:dyDescent="0.3">
      <c r="A109" s="8">
        <v>94</v>
      </c>
      <c r="B109" s="11">
        <f t="shared" ca="1" si="8"/>
        <v>0.68509946347884465</v>
      </c>
      <c r="C109" s="11">
        <f t="shared" ca="1" si="8"/>
        <v>0.21366554740734256</v>
      </c>
      <c r="D109" s="11">
        <f t="shared" ca="1" si="9"/>
        <v>28.887461177349078</v>
      </c>
      <c r="E109" s="11">
        <f t="shared" ca="1" si="10"/>
        <v>4.6225589394841693</v>
      </c>
      <c r="F109" s="11">
        <f t="shared" ca="1" si="11"/>
        <v>2714.6079139194267</v>
      </c>
      <c r="G109" s="11">
        <f t="shared" ca="1" si="12"/>
        <v>99.976889163792293</v>
      </c>
      <c r="H109" s="11">
        <f t="shared" ca="1" si="13"/>
        <v>2819.2073620227029</v>
      </c>
      <c r="I109" s="12">
        <f t="shared" ca="1" si="14"/>
        <v>104.59944810327625</v>
      </c>
    </row>
    <row r="110" spans="1:9" ht="17.399999999999999" x14ac:dyDescent="0.3">
      <c r="A110" s="8">
        <v>95</v>
      </c>
      <c r="B110" s="11">
        <f t="shared" ca="1" si="8"/>
        <v>0.69614752803695445</v>
      </c>
      <c r="C110" s="11">
        <f t="shared" ca="1" si="8"/>
        <v>0.77062549147155635</v>
      </c>
      <c r="D110" s="11">
        <f t="shared" ca="1" si="9"/>
        <v>29.780324624056647</v>
      </c>
      <c r="E110" s="11">
        <f t="shared" ca="1" si="10"/>
        <v>28.315369285209314</v>
      </c>
      <c r="F110" s="11">
        <f t="shared" ca="1" si="11"/>
        <v>2744.3882385434831</v>
      </c>
      <c r="G110" s="11">
        <f t="shared" ca="1" si="12"/>
        <v>74.819123479219797</v>
      </c>
      <c r="H110" s="11">
        <f t="shared" ca="1" si="13"/>
        <v>2847.5227313079122</v>
      </c>
      <c r="I110" s="12">
        <f t="shared" ca="1" si="14"/>
        <v>103.13449276442907</v>
      </c>
    </row>
    <row r="111" spans="1:9" ht="17.399999999999999" x14ac:dyDescent="0.3">
      <c r="A111" s="8">
        <v>96</v>
      </c>
      <c r="B111" s="11">
        <f t="shared" ca="1" si="8"/>
        <v>9.6569462803752337E-2</v>
      </c>
      <c r="C111" s="11">
        <f t="shared" ca="1" si="8"/>
        <v>0.19934470100958779</v>
      </c>
      <c r="D111" s="11">
        <f t="shared" ca="1" si="9"/>
        <v>2.5389013453320026</v>
      </c>
      <c r="E111" s="11">
        <f t="shared" ca="1" si="10"/>
        <v>4.275476209133755</v>
      </c>
      <c r="F111" s="11">
        <f t="shared" ca="1" si="11"/>
        <v>2746.927139888815</v>
      </c>
      <c r="G111" s="11">
        <f t="shared" ca="1" si="12"/>
        <v>100.59559141909722</v>
      </c>
      <c r="H111" s="11">
        <f t="shared" ca="1" si="13"/>
        <v>2851.7982075170457</v>
      </c>
      <c r="I111" s="12">
        <f t="shared" ca="1" si="14"/>
        <v>104.87106762823078</v>
      </c>
    </row>
    <row r="112" spans="1:9" ht="17.399999999999999" x14ac:dyDescent="0.3">
      <c r="A112" s="8">
        <v>97</v>
      </c>
      <c r="B112" s="11">
        <f t="shared" ca="1" si="8"/>
        <v>0.59623025536950591</v>
      </c>
      <c r="C112" s="11">
        <f t="shared" ca="1" si="8"/>
        <v>0.10556027188544115</v>
      </c>
      <c r="D112" s="11">
        <f t="shared" ca="1" si="9"/>
        <v>22.672762563285147</v>
      </c>
      <c r="E112" s="11">
        <f t="shared" ca="1" si="10"/>
        <v>2.1453415160586418</v>
      </c>
      <c r="F112" s="11">
        <f t="shared" ca="1" si="11"/>
        <v>2769.5999024521002</v>
      </c>
      <c r="G112" s="11">
        <f t="shared" ca="1" si="12"/>
        <v>82.198305064945544</v>
      </c>
      <c r="H112" s="11">
        <f t="shared" ca="1" si="13"/>
        <v>2853.9435490331043</v>
      </c>
      <c r="I112" s="12">
        <f t="shared" ca="1" si="14"/>
        <v>84.343646581004123</v>
      </c>
    </row>
    <row r="113" spans="1:9" ht="17.399999999999999" x14ac:dyDescent="0.3">
      <c r="A113" s="8">
        <v>98</v>
      </c>
      <c r="B113" s="11">
        <f t="shared" ca="1" si="8"/>
        <v>0.36987136222335182</v>
      </c>
      <c r="C113" s="11">
        <f t="shared" ca="1" si="8"/>
        <v>0.27069464658826115</v>
      </c>
      <c r="D113" s="11">
        <f t="shared" ca="1" si="9"/>
        <v>11.545782337320386</v>
      </c>
      <c r="E113" s="11">
        <f t="shared" ca="1" si="10"/>
        <v>6.0704378565257038</v>
      </c>
      <c r="F113" s="11">
        <f t="shared" ca="1" si="11"/>
        <v>2781.1456847894206</v>
      </c>
      <c r="G113" s="11">
        <f t="shared" ca="1" si="12"/>
        <v>72.797864243683762</v>
      </c>
      <c r="H113" s="11">
        <f t="shared" ca="1" si="13"/>
        <v>2860.0139868896299</v>
      </c>
      <c r="I113" s="12">
        <f t="shared" ca="1" si="14"/>
        <v>78.868302100209348</v>
      </c>
    </row>
    <row r="114" spans="1:9" ht="17.399999999999999" x14ac:dyDescent="0.3">
      <c r="A114" s="8">
        <v>99</v>
      </c>
      <c r="B114" s="11">
        <f t="shared" ref="B114:C145" ca="1" si="15">RAND()</f>
        <v>0.2143802472398072</v>
      </c>
      <c r="C114" s="11">
        <f t="shared" ca="1" si="15"/>
        <v>0.43566217346837854</v>
      </c>
      <c r="D114" s="11">
        <f t="shared" ca="1" si="9"/>
        <v>6.0320594681030988</v>
      </c>
      <c r="E114" s="11">
        <f t="shared" ca="1" si="10"/>
        <v>11.001965838285098</v>
      </c>
      <c r="F114" s="11">
        <f t="shared" ca="1" si="11"/>
        <v>2787.1777442575235</v>
      </c>
      <c r="G114" s="11">
        <f t="shared" ca="1" si="12"/>
        <v>72.836242632106405</v>
      </c>
      <c r="H114" s="11">
        <f t="shared" ca="1" si="13"/>
        <v>2871.0159527279152</v>
      </c>
      <c r="I114" s="12">
        <f t="shared" ca="1" si="14"/>
        <v>83.838208470391692</v>
      </c>
    </row>
    <row r="115" spans="1:9" ht="17.399999999999999" x14ac:dyDescent="0.3">
      <c r="A115" s="8">
        <v>100</v>
      </c>
      <c r="B115" s="11">
        <f t="shared" ca="1" si="15"/>
        <v>0.8787789338985349</v>
      </c>
      <c r="C115" s="11">
        <f t="shared" ca="1" si="15"/>
        <v>0.5825124183312268</v>
      </c>
      <c r="D115" s="11">
        <f t="shared" ca="1" si="9"/>
        <v>52.753485193306119</v>
      </c>
      <c r="E115" s="11">
        <f t="shared" ca="1" si="10"/>
        <v>16.798086146914152</v>
      </c>
      <c r="F115" s="11">
        <f t="shared" ca="1" si="11"/>
        <v>2839.9312294508295</v>
      </c>
      <c r="G115" s="11">
        <f t="shared" ca="1" si="12"/>
        <v>31.084723277085686</v>
      </c>
      <c r="H115" s="11">
        <f t="shared" ca="1" si="13"/>
        <v>2887.8140388748293</v>
      </c>
      <c r="I115" s="12">
        <f t="shared" ca="1" si="14"/>
        <v>47.882809423999788</v>
      </c>
    </row>
    <row r="116" spans="1:9" ht="17.399999999999999" x14ac:dyDescent="0.3">
      <c r="A116" s="8">
        <v>101</v>
      </c>
      <c r="B116" s="11">
        <f t="shared" ca="1" si="15"/>
        <v>0.15478804555062087</v>
      </c>
      <c r="C116" s="11">
        <f t="shared" ca="1" si="15"/>
        <v>0.5792985389286287</v>
      </c>
      <c r="D116" s="11">
        <f t="shared" ca="1" si="9"/>
        <v>4.2041962352640949</v>
      </c>
      <c r="E116" s="11">
        <f t="shared" ca="1" si="10"/>
        <v>16.650611835357452</v>
      </c>
      <c r="F116" s="11">
        <f t="shared" ca="1" si="11"/>
        <v>2844.1354256860936</v>
      </c>
      <c r="G116" s="11">
        <f t="shared" ca="1" si="12"/>
        <v>43.678613188735653</v>
      </c>
      <c r="H116" s="11">
        <f t="shared" ca="1" si="13"/>
        <v>2904.4646507101866</v>
      </c>
      <c r="I116" s="12">
        <f t="shared" ca="1" si="14"/>
        <v>60.329225024092921</v>
      </c>
    </row>
    <row r="117" spans="1:9" ht="17.399999999999999" x14ac:dyDescent="0.3">
      <c r="A117" s="8">
        <v>102</v>
      </c>
      <c r="B117" s="11">
        <f t="shared" ca="1" si="15"/>
        <v>0.85450661986186238</v>
      </c>
      <c r="C117" s="11">
        <f t="shared" ca="1" si="15"/>
        <v>0.86514300962832291</v>
      </c>
      <c r="D117" s="11">
        <f t="shared" ca="1" si="9"/>
        <v>48.19061726845031</v>
      </c>
      <c r="E117" s="11">
        <f t="shared" ca="1" si="10"/>
        <v>38.529622934828559</v>
      </c>
      <c r="F117" s="11">
        <f t="shared" ca="1" si="11"/>
        <v>2892.3260429545439</v>
      </c>
      <c r="G117" s="11">
        <f t="shared" ca="1" si="12"/>
        <v>12.138607755642624</v>
      </c>
      <c r="H117" s="11">
        <f t="shared" ca="1" si="13"/>
        <v>2942.9942736450153</v>
      </c>
      <c r="I117" s="12">
        <f t="shared" ca="1" si="14"/>
        <v>50.668230690471319</v>
      </c>
    </row>
    <row r="118" spans="1:9" ht="17.399999999999999" x14ac:dyDescent="0.3">
      <c r="A118" s="8">
        <v>103</v>
      </c>
      <c r="B118" s="11">
        <f t="shared" ca="1" si="15"/>
        <v>0.61779728999278472</v>
      </c>
      <c r="C118" s="11">
        <f t="shared" ca="1" si="15"/>
        <v>0.51335324448891828</v>
      </c>
      <c r="D118" s="11">
        <f t="shared" ca="1" si="9"/>
        <v>24.045103916342619</v>
      </c>
      <c r="E118" s="11">
        <f t="shared" ca="1" si="10"/>
        <v>13.850322444581376</v>
      </c>
      <c r="F118" s="11">
        <f t="shared" ca="1" si="11"/>
        <v>2916.3711468708866</v>
      </c>
      <c r="G118" s="11">
        <f t="shared" ca="1" si="12"/>
        <v>26.62312677412865</v>
      </c>
      <c r="H118" s="11">
        <f t="shared" ca="1" si="13"/>
        <v>2956.8445960895965</v>
      </c>
      <c r="I118" s="12">
        <f t="shared" ca="1" si="14"/>
        <v>40.473449218709902</v>
      </c>
    </row>
    <row r="119" spans="1:9" ht="17.399999999999999" x14ac:dyDescent="0.3">
      <c r="A119" s="8">
        <v>104</v>
      </c>
      <c r="B119" s="11">
        <f t="shared" ca="1" si="15"/>
        <v>0.29161211150841371</v>
      </c>
      <c r="C119" s="11">
        <f t="shared" ca="1" si="15"/>
        <v>0.69005277444368818</v>
      </c>
      <c r="D119" s="11">
        <f t="shared" ca="1" si="9"/>
        <v>8.6190867552649681</v>
      </c>
      <c r="E119" s="11">
        <f t="shared" ca="1" si="10"/>
        <v>22.526023771853314</v>
      </c>
      <c r="F119" s="11">
        <f t="shared" ca="1" si="11"/>
        <v>2924.9902336261516</v>
      </c>
      <c r="G119" s="11">
        <f t="shared" ca="1" si="12"/>
        <v>31.854362463444886</v>
      </c>
      <c r="H119" s="11">
        <f t="shared" ca="1" si="13"/>
        <v>2979.37061986145</v>
      </c>
      <c r="I119" s="12">
        <f t="shared" ca="1" si="14"/>
        <v>54.380386235298374</v>
      </c>
    </row>
    <row r="120" spans="1:9" ht="17.399999999999999" x14ac:dyDescent="0.3">
      <c r="A120" s="8">
        <v>105</v>
      </c>
      <c r="B120" s="11">
        <f t="shared" ca="1" si="15"/>
        <v>0.61691920070566775</v>
      </c>
      <c r="C120" s="11">
        <f t="shared" ca="1" si="15"/>
        <v>0.99241757454728474</v>
      </c>
      <c r="D120" s="11">
        <f t="shared" ca="1" si="9"/>
        <v>23.987733695908627</v>
      </c>
      <c r="E120" s="11">
        <f t="shared" ca="1" si="10"/>
        <v>93.88311826810434</v>
      </c>
      <c r="F120" s="11">
        <f t="shared" ca="1" si="11"/>
        <v>2948.9779673220601</v>
      </c>
      <c r="G120" s="11">
        <f t="shared" ca="1" si="12"/>
        <v>30.392652539389928</v>
      </c>
      <c r="H120" s="11">
        <f t="shared" ca="1" si="13"/>
        <v>3073.2537381295542</v>
      </c>
      <c r="I120" s="12">
        <f t="shared" ca="1" si="14"/>
        <v>124.27577080749415</v>
      </c>
    </row>
    <row r="121" spans="1:9" ht="17.399999999999999" x14ac:dyDescent="0.3">
      <c r="A121" s="8">
        <v>106</v>
      </c>
      <c r="B121" s="11">
        <f t="shared" ca="1" si="15"/>
        <v>0.38824742176681781</v>
      </c>
      <c r="C121" s="11">
        <f t="shared" ca="1" si="15"/>
        <v>5.5546541086567536E-2</v>
      </c>
      <c r="D121" s="11">
        <f t="shared" ca="1" si="9"/>
        <v>12.285684053682546</v>
      </c>
      <c r="E121" s="11">
        <f t="shared" ca="1" si="10"/>
        <v>1.0990167144928782</v>
      </c>
      <c r="F121" s="11">
        <f t="shared" ca="1" si="11"/>
        <v>2961.2636513757425</v>
      </c>
      <c r="G121" s="11">
        <f t="shared" ca="1" si="12"/>
        <v>111.99008675381174</v>
      </c>
      <c r="H121" s="11">
        <f t="shared" ca="1" si="13"/>
        <v>3074.352754844047</v>
      </c>
      <c r="I121" s="12">
        <f t="shared" ca="1" si="14"/>
        <v>113.08910346830453</v>
      </c>
    </row>
    <row r="122" spans="1:9" ht="17.399999999999999" x14ac:dyDescent="0.3">
      <c r="A122" s="8">
        <v>107</v>
      </c>
      <c r="B122" s="11">
        <f t="shared" ca="1" si="15"/>
        <v>2.8515520882383849E-2</v>
      </c>
      <c r="C122" s="11">
        <f t="shared" ca="1" si="15"/>
        <v>8.1832464144953598E-2</v>
      </c>
      <c r="D122" s="11">
        <f t="shared" ca="1" si="9"/>
        <v>0.72324966241166899</v>
      </c>
      <c r="E122" s="11">
        <f t="shared" ca="1" si="10"/>
        <v>1.6418346938748594</v>
      </c>
      <c r="F122" s="11">
        <f t="shared" ca="1" si="11"/>
        <v>2961.986901038154</v>
      </c>
      <c r="G122" s="11">
        <f t="shared" ca="1" si="12"/>
        <v>112.36585380589304</v>
      </c>
      <c r="H122" s="11">
        <f t="shared" ca="1" si="13"/>
        <v>3075.9945895379219</v>
      </c>
      <c r="I122" s="12">
        <f t="shared" ca="1" si="14"/>
        <v>114.00768849976794</v>
      </c>
    </row>
    <row r="123" spans="1:9" ht="17.399999999999999" x14ac:dyDescent="0.3">
      <c r="A123" s="8">
        <v>108</v>
      </c>
      <c r="B123" s="11">
        <f t="shared" ca="1" si="15"/>
        <v>0.7129536878394952</v>
      </c>
      <c r="C123" s="11">
        <f t="shared" ca="1" si="15"/>
        <v>0.6493350064637976</v>
      </c>
      <c r="D123" s="11">
        <f t="shared" ca="1" si="9"/>
        <v>31.202792745694158</v>
      </c>
      <c r="E123" s="11">
        <f t="shared" ca="1" si="10"/>
        <v>20.152383570164769</v>
      </c>
      <c r="F123" s="11">
        <f t="shared" ca="1" si="11"/>
        <v>2993.1896937838483</v>
      </c>
      <c r="G123" s="11">
        <f t="shared" ca="1" si="12"/>
        <v>82.804895754073641</v>
      </c>
      <c r="H123" s="11">
        <f t="shared" ca="1" si="13"/>
        <v>3096.1469731080865</v>
      </c>
      <c r="I123" s="12">
        <f t="shared" ca="1" si="14"/>
        <v>102.95727932423824</v>
      </c>
    </row>
    <row r="124" spans="1:9" ht="17.399999999999999" x14ac:dyDescent="0.3">
      <c r="A124" s="8">
        <v>109</v>
      </c>
      <c r="B124" s="11">
        <f t="shared" ca="1" si="15"/>
        <v>0.10386368035777149</v>
      </c>
      <c r="C124" s="11">
        <f t="shared" ca="1" si="15"/>
        <v>0.82397922526619238</v>
      </c>
      <c r="D124" s="11">
        <f t="shared" ca="1" si="9"/>
        <v>2.7415683780463045</v>
      </c>
      <c r="E124" s="11">
        <f t="shared" ca="1" si="10"/>
        <v>33.406793320186189</v>
      </c>
      <c r="F124" s="11">
        <f t="shared" ca="1" si="11"/>
        <v>2995.9312621618947</v>
      </c>
      <c r="G124" s="11">
        <f t="shared" ca="1" si="12"/>
        <v>100.21571094619185</v>
      </c>
      <c r="H124" s="11">
        <f t="shared" ca="1" si="13"/>
        <v>3129.5537664282729</v>
      </c>
      <c r="I124" s="12">
        <f t="shared" ca="1" si="14"/>
        <v>133.6225042663782</v>
      </c>
    </row>
    <row r="125" spans="1:9" ht="17.399999999999999" x14ac:dyDescent="0.3">
      <c r="A125" s="8">
        <v>110</v>
      </c>
      <c r="B125" s="11">
        <f t="shared" ca="1" si="15"/>
        <v>0.47601206841600341</v>
      </c>
      <c r="C125" s="11">
        <f t="shared" ca="1" si="15"/>
        <v>0.49671222090989053</v>
      </c>
      <c r="D125" s="11">
        <f t="shared" ca="1" si="9"/>
        <v>16.15716565636427</v>
      </c>
      <c r="E125" s="11">
        <f t="shared" ca="1" si="10"/>
        <v>13.20371436646346</v>
      </c>
      <c r="F125" s="11">
        <f t="shared" ca="1" si="11"/>
        <v>3012.0884278182589</v>
      </c>
      <c r="G125" s="11">
        <f t="shared" ca="1" si="12"/>
        <v>117.46533861001399</v>
      </c>
      <c r="H125" s="11">
        <f t="shared" ca="1" si="13"/>
        <v>3142.7574807947362</v>
      </c>
      <c r="I125" s="12">
        <f t="shared" ca="1" si="14"/>
        <v>130.66905297647736</v>
      </c>
    </row>
    <row r="126" spans="1:9" ht="17.399999999999999" x14ac:dyDescent="0.3">
      <c r="A126" s="8">
        <v>111</v>
      </c>
      <c r="B126" s="11">
        <f t="shared" ca="1" si="15"/>
        <v>0.57549205098733547</v>
      </c>
      <c r="C126" s="11">
        <f t="shared" ca="1" si="15"/>
        <v>0.68925987316896575</v>
      </c>
      <c r="D126" s="11">
        <f t="shared" ca="1" si="9"/>
        <v>21.420613695418524</v>
      </c>
      <c r="E126" s="11">
        <f t="shared" ca="1" si="10"/>
        <v>22.476890791544413</v>
      </c>
      <c r="F126" s="11">
        <f t="shared" ca="1" si="11"/>
        <v>3033.5090415136774</v>
      </c>
      <c r="G126" s="11">
        <f t="shared" ca="1" si="12"/>
        <v>109.24843928105884</v>
      </c>
      <c r="H126" s="11">
        <f t="shared" ca="1" si="13"/>
        <v>3165.2343715862808</v>
      </c>
      <c r="I126" s="12">
        <f t="shared" ca="1" si="14"/>
        <v>131.72533007260336</v>
      </c>
    </row>
    <row r="127" spans="1:9" ht="17.399999999999999" x14ac:dyDescent="0.3">
      <c r="A127" s="8">
        <v>112</v>
      </c>
      <c r="B127" s="11">
        <f t="shared" ca="1" si="15"/>
        <v>0.93784357960673781</v>
      </c>
      <c r="C127" s="11">
        <f t="shared" ca="1" si="15"/>
        <v>0.47032273767176758</v>
      </c>
      <c r="D127" s="11">
        <f t="shared" ca="1" si="9"/>
        <v>69.452529039048002</v>
      </c>
      <c r="E127" s="11">
        <f t="shared" ca="1" si="10"/>
        <v>12.220911479191539</v>
      </c>
      <c r="F127" s="11">
        <f t="shared" ca="1" si="11"/>
        <v>3102.9615705527253</v>
      </c>
      <c r="G127" s="11">
        <f t="shared" ca="1" si="12"/>
        <v>62.272801033555425</v>
      </c>
      <c r="H127" s="11">
        <f t="shared" ca="1" si="13"/>
        <v>3177.4552830654725</v>
      </c>
      <c r="I127" s="12">
        <f t="shared" ca="1" si="14"/>
        <v>74.493712512747152</v>
      </c>
    </row>
    <row r="128" spans="1:9" ht="17.399999999999999" x14ac:dyDescent="0.3">
      <c r="A128" s="8">
        <v>113</v>
      </c>
      <c r="B128" s="11">
        <f t="shared" ca="1" si="15"/>
        <v>0.95913951234380035</v>
      </c>
      <c r="C128" s="11">
        <f t="shared" ca="1" si="15"/>
        <v>0.89868154505673581</v>
      </c>
      <c r="D128" s="11">
        <f t="shared" ca="1" si="9"/>
        <v>79.939793871430794</v>
      </c>
      <c r="E128" s="11">
        <f t="shared" ca="1" si="10"/>
        <v>44.028590446958397</v>
      </c>
      <c r="F128" s="11">
        <f t="shared" ca="1" si="11"/>
        <v>3182.9013644241563</v>
      </c>
      <c r="G128" s="11">
        <f t="shared" ca="1" si="12"/>
        <v>0</v>
      </c>
      <c r="H128" s="11">
        <f t="shared" ca="1" si="13"/>
        <v>3226.9299548711147</v>
      </c>
      <c r="I128" s="12">
        <f t="shared" ca="1" si="14"/>
        <v>44.028590446958333</v>
      </c>
    </row>
    <row r="129" spans="1:9" ht="17.399999999999999" x14ac:dyDescent="0.3">
      <c r="A129" s="8">
        <v>114</v>
      </c>
      <c r="B129" s="11">
        <f t="shared" ca="1" si="15"/>
        <v>0.65789437647627069</v>
      </c>
      <c r="C129" s="11">
        <f t="shared" ca="1" si="15"/>
        <v>0.99732959045998726</v>
      </c>
      <c r="D129" s="11">
        <f t="shared" ca="1" si="9"/>
        <v>26.815893722208724</v>
      </c>
      <c r="E129" s="11">
        <f t="shared" ca="1" si="10"/>
        <v>113.95237370307329</v>
      </c>
      <c r="F129" s="11">
        <f t="shared" ca="1" si="11"/>
        <v>3209.7172581463651</v>
      </c>
      <c r="G129" s="11">
        <f t="shared" ca="1" si="12"/>
        <v>17.212696724749549</v>
      </c>
      <c r="H129" s="11">
        <f t="shared" ca="1" si="13"/>
        <v>3340.8823285741878</v>
      </c>
      <c r="I129" s="12">
        <f t="shared" ca="1" si="14"/>
        <v>131.16507042782268</v>
      </c>
    </row>
    <row r="130" spans="1:9" ht="17.399999999999999" x14ac:dyDescent="0.3">
      <c r="A130" s="8">
        <v>115</v>
      </c>
      <c r="B130" s="11">
        <f t="shared" ca="1" si="15"/>
        <v>0.55529679474166271</v>
      </c>
      <c r="C130" s="11">
        <f t="shared" ca="1" si="15"/>
        <v>0.2203959777933312</v>
      </c>
      <c r="D130" s="11">
        <f t="shared" ca="1" si="9"/>
        <v>20.258704345115561</v>
      </c>
      <c r="E130" s="11">
        <f t="shared" ca="1" si="10"/>
        <v>4.7878683084811264</v>
      </c>
      <c r="F130" s="11">
        <f t="shared" ca="1" si="11"/>
        <v>3229.9759624914805</v>
      </c>
      <c r="G130" s="11">
        <f t="shared" ca="1" si="12"/>
        <v>110.90636608270734</v>
      </c>
      <c r="H130" s="11">
        <f t="shared" ca="1" si="13"/>
        <v>3345.6701968826687</v>
      </c>
      <c r="I130" s="12">
        <f t="shared" ca="1" si="14"/>
        <v>115.69423439118827</v>
      </c>
    </row>
    <row r="131" spans="1:9" ht="17.399999999999999" x14ac:dyDescent="0.3">
      <c r="A131" s="8">
        <v>116</v>
      </c>
      <c r="B131" s="11">
        <f t="shared" ca="1" si="15"/>
        <v>0.32841121777385696</v>
      </c>
      <c r="C131" s="11">
        <f t="shared" ca="1" si="15"/>
        <v>0.13438960094448837</v>
      </c>
      <c r="D131" s="11">
        <f t="shared" ca="1" si="9"/>
        <v>9.9527264244101001</v>
      </c>
      <c r="E131" s="11">
        <f t="shared" ca="1" si="10"/>
        <v>2.7753914858805824</v>
      </c>
      <c r="F131" s="11">
        <f t="shared" ca="1" si="11"/>
        <v>3239.9286889158907</v>
      </c>
      <c r="G131" s="11">
        <f t="shared" ca="1" si="12"/>
        <v>105.74150796677804</v>
      </c>
      <c r="H131" s="11">
        <f t="shared" ca="1" si="13"/>
        <v>3348.4455883685491</v>
      </c>
      <c r="I131" s="12">
        <f t="shared" ca="1" si="14"/>
        <v>108.51689945265844</v>
      </c>
    </row>
    <row r="132" spans="1:9" ht="17.399999999999999" x14ac:dyDescent="0.3">
      <c r="A132" s="8">
        <v>117</v>
      </c>
      <c r="B132" s="11">
        <f t="shared" ca="1" si="15"/>
        <v>0.86946674758445142</v>
      </c>
      <c r="C132" s="11">
        <f t="shared" ca="1" si="15"/>
        <v>0.80317966238397942</v>
      </c>
      <c r="D132" s="11">
        <f t="shared" ca="1" si="9"/>
        <v>50.903181922384924</v>
      </c>
      <c r="E132" s="11">
        <f t="shared" ca="1" si="10"/>
        <v>31.258922272279495</v>
      </c>
      <c r="F132" s="11">
        <f t="shared" ca="1" si="11"/>
        <v>3290.8318708382758</v>
      </c>
      <c r="G132" s="11">
        <f t="shared" ca="1" si="12"/>
        <v>57.613717530273334</v>
      </c>
      <c r="H132" s="11">
        <f t="shared" ca="1" si="13"/>
        <v>3379.7045106408286</v>
      </c>
      <c r="I132" s="12">
        <f t="shared" ca="1" si="14"/>
        <v>88.87263980255284</v>
      </c>
    </row>
    <row r="133" spans="1:9" ht="17.399999999999999" x14ac:dyDescent="0.3">
      <c r="A133" s="8">
        <v>118</v>
      </c>
      <c r="B133" s="11">
        <f t="shared" ca="1" si="15"/>
        <v>0.27392679180032142</v>
      </c>
      <c r="C133" s="11">
        <f t="shared" ca="1" si="15"/>
        <v>0.61394439727200933</v>
      </c>
      <c r="D133" s="11">
        <f t="shared" ca="1" si="9"/>
        <v>8.002610787513003</v>
      </c>
      <c r="E133" s="11">
        <f t="shared" ca="1" si="10"/>
        <v>18.303343680253601</v>
      </c>
      <c r="F133" s="11">
        <f t="shared" ca="1" si="11"/>
        <v>3298.8344816257886</v>
      </c>
      <c r="G133" s="11">
        <f t="shared" ca="1" si="12"/>
        <v>80.870029015040018</v>
      </c>
      <c r="H133" s="11">
        <f t="shared" ca="1" si="13"/>
        <v>3398.007854321082</v>
      </c>
      <c r="I133" s="12">
        <f t="shared" ca="1" si="14"/>
        <v>99.173372695293438</v>
      </c>
    </row>
    <row r="134" spans="1:9" ht="17.399999999999999" x14ac:dyDescent="0.3">
      <c r="A134" s="8">
        <v>119</v>
      </c>
      <c r="B134" s="11">
        <f t="shared" ca="1" si="15"/>
        <v>0.16876234875281571</v>
      </c>
      <c r="C134" s="11">
        <f t="shared" ca="1" si="15"/>
        <v>0.97466999126177567</v>
      </c>
      <c r="D134" s="11">
        <f t="shared" ca="1" si="9"/>
        <v>4.62098856912261</v>
      </c>
      <c r="E134" s="11">
        <f t="shared" ca="1" si="10"/>
        <v>70.687797499871408</v>
      </c>
      <c r="F134" s="11">
        <f t="shared" ca="1" si="11"/>
        <v>3303.4554701949114</v>
      </c>
      <c r="G134" s="11">
        <f t="shared" ca="1" si="12"/>
        <v>94.552384126170637</v>
      </c>
      <c r="H134" s="11">
        <f t="shared" ca="1" si="13"/>
        <v>3468.6956518209536</v>
      </c>
      <c r="I134" s="12">
        <f t="shared" ca="1" si="14"/>
        <v>165.24018162604216</v>
      </c>
    </row>
    <row r="135" spans="1:9" ht="17.399999999999999" x14ac:dyDescent="0.3">
      <c r="A135" s="8">
        <v>120</v>
      </c>
      <c r="B135" s="11">
        <f t="shared" ca="1" si="15"/>
        <v>0.30978768928705425</v>
      </c>
      <c r="C135" s="11">
        <f t="shared" ca="1" si="15"/>
        <v>0.45013791014474736</v>
      </c>
      <c r="D135" s="11">
        <f t="shared" ca="1" si="9"/>
        <v>9.2689008008580007</v>
      </c>
      <c r="E135" s="11">
        <f t="shared" ca="1" si="10"/>
        <v>11.501688036832817</v>
      </c>
      <c r="F135" s="11">
        <f t="shared" ca="1" si="11"/>
        <v>3312.7243709957693</v>
      </c>
      <c r="G135" s="11">
        <f t="shared" ca="1" si="12"/>
        <v>155.97128082518429</v>
      </c>
      <c r="H135" s="11">
        <f t="shared" ca="1" si="13"/>
        <v>3480.1973398577866</v>
      </c>
      <c r="I135" s="12">
        <f t="shared" ca="1" si="14"/>
        <v>167.4729688620173</v>
      </c>
    </row>
    <row r="136" spans="1:9" ht="17.399999999999999" x14ac:dyDescent="0.3">
      <c r="A136" s="8">
        <v>121</v>
      </c>
      <c r="B136" s="11">
        <f t="shared" ca="1" si="15"/>
        <v>0.87538317121622322</v>
      </c>
      <c r="C136" s="11">
        <f t="shared" ca="1" si="15"/>
        <v>0.66730113851021822</v>
      </c>
      <c r="D136" s="11">
        <f t="shared" ca="1" si="9"/>
        <v>52.0627904819695</v>
      </c>
      <c r="E136" s="11">
        <f t="shared" ca="1" si="10"/>
        <v>21.163798423001491</v>
      </c>
      <c r="F136" s="11">
        <f t="shared" ca="1" si="11"/>
        <v>3364.7871614777387</v>
      </c>
      <c r="G136" s="11">
        <f t="shared" ca="1" si="12"/>
        <v>115.41017838004791</v>
      </c>
      <c r="H136" s="11">
        <f t="shared" ca="1" si="13"/>
        <v>3501.3611382807881</v>
      </c>
      <c r="I136" s="12">
        <f t="shared" ca="1" si="14"/>
        <v>136.57397680304939</v>
      </c>
    </row>
    <row r="137" spans="1:9" ht="17.399999999999999" x14ac:dyDescent="0.3">
      <c r="A137" s="8">
        <v>122</v>
      </c>
      <c r="B137" s="11">
        <f t="shared" ca="1" si="15"/>
        <v>9.0672778965507406E-2</v>
      </c>
      <c r="C137" s="11">
        <f t="shared" ca="1" si="15"/>
        <v>4.9859755743672185E-2</v>
      </c>
      <c r="D137" s="11">
        <f t="shared" ca="1" si="9"/>
        <v>2.3762567611436696</v>
      </c>
      <c r="E137" s="11">
        <f t="shared" ca="1" si="10"/>
        <v>0.98357076442597402</v>
      </c>
      <c r="F137" s="11">
        <f t="shared" ca="1" si="11"/>
        <v>3367.1634182388825</v>
      </c>
      <c r="G137" s="11">
        <f t="shared" ca="1" si="12"/>
        <v>134.19772004190554</v>
      </c>
      <c r="H137" s="11">
        <f t="shared" ca="1" si="13"/>
        <v>3502.3447090452141</v>
      </c>
      <c r="I137" s="12">
        <f t="shared" ca="1" si="14"/>
        <v>135.18129080633162</v>
      </c>
    </row>
    <row r="138" spans="1:9" ht="17.399999999999999" x14ac:dyDescent="0.3">
      <c r="A138" s="8">
        <v>123</v>
      </c>
      <c r="B138" s="11">
        <f t="shared" ca="1" si="15"/>
        <v>0.6599911398406193</v>
      </c>
      <c r="C138" s="11">
        <f t="shared" ca="1" si="15"/>
        <v>0.44407414644335108</v>
      </c>
      <c r="D138" s="11">
        <f t="shared" ca="1" si="9"/>
        <v>26.96959006047928</v>
      </c>
      <c r="E138" s="11">
        <f t="shared" ca="1" si="10"/>
        <v>11.290775971863082</v>
      </c>
      <c r="F138" s="11">
        <f t="shared" ca="1" si="11"/>
        <v>3394.1330082993618</v>
      </c>
      <c r="G138" s="11">
        <f t="shared" ca="1" si="12"/>
        <v>108.21170074585234</v>
      </c>
      <c r="H138" s="11">
        <f t="shared" ca="1" si="13"/>
        <v>3513.6354850170774</v>
      </c>
      <c r="I138" s="12">
        <f t="shared" ca="1" si="14"/>
        <v>119.50247671771558</v>
      </c>
    </row>
    <row r="139" spans="1:9" ht="17.399999999999999" x14ac:dyDescent="0.3">
      <c r="A139" s="8">
        <v>124</v>
      </c>
      <c r="B139" s="11">
        <f t="shared" ca="1" si="15"/>
        <v>0.37621994165938999</v>
      </c>
      <c r="C139" s="11">
        <f t="shared" ca="1" si="15"/>
        <v>0.70303543373044963</v>
      </c>
      <c r="D139" s="11">
        <f t="shared" ca="1" si="9"/>
        <v>11.79893608382678</v>
      </c>
      <c r="E139" s="11">
        <f t="shared" ca="1" si="10"/>
        <v>23.348893322819862</v>
      </c>
      <c r="F139" s="11">
        <f t="shared" ca="1" si="11"/>
        <v>3405.9319443831887</v>
      </c>
      <c r="G139" s="11">
        <f t="shared" ca="1" si="12"/>
        <v>107.70354063388868</v>
      </c>
      <c r="H139" s="11">
        <f t="shared" ca="1" si="13"/>
        <v>3536.9843783398974</v>
      </c>
      <c r="I139" s="12">
        <f t="shared" ca="1" si="14"/>
        <v>131.05243395670868</v>
      </c>
    </row>
    <row r="140" spans="1:9" ht="17.399999999999999" x14ac:dyDescent="0.3">
      <c r="A140" s="8">
        <v>125</v>
      </c>
      <c r="B140" s="11">
        <f t="shared" ca="1" si="15"/>
        <v>0.58325088077062948</v>
      </c>
      <c r="C140" s="11">
        <f t="shared" ca="1" si="15"/>
        <v>0.36842470921358739</v>
      </c>
      <c r="D140" s="11">
        <f t="shared" ca="1" si="9"/>
        <v>21.881771769507306</v>
      </c>
      <c r="E140" s="11">
        <f t="shared" ca="1" si="10"/>
        <v>8.8372715189111499</v>
      </c>
      <c r="F140" s="11">
        <f t="shared" ca="1" si="11"/>
        <v>3427.8137161526961</v>
      </c>
      <c r="G140" s="11">
        <f t="shared" ca="1" si="12"/>
        <v>109.17066218720129</v>
      </c>
      <c r="H140" s="11">
        <f t="shared" ca="1" si="13"/>
        <v>3545.8216498588085</v>
      </c>
      <c r="I140" s="12">
        <f t="shared" ca="1" si="14"/>
        <v>118.00793370611245</v>
      </c>
    </row>
    <row r="141" spans="1:9" ht="17.399999999999999" x14ac:dyDescent="0.3">
      <c r="A141" s="8">
        <v>126</v>
      </c>
      <c r="B141" s="11">
        <f t="shared" ca="1" si="15"/>
        <v>0.357805934758331</v>
      </c>
      <c r="C141" s="11">
        <f t="shared" ca="1" si="15"/>
        <v>0.12194167974225145</v>
      </c>
      <c r="D141" s="11">
        <f t="shared" ca="1" si="9"/>
        <v>11.071618466559304</v>
      </c>
      <c r="E141" s="11">
        <f t="shared" ca="1" si="10"/>
        <v>2.5008127609466788</v>
      </c>
      <c r="F141" s="11">
        <f t="shared" ca="1" si="11"/>
        <v>3438.8853346192554</v>
      </c>
      <c r="G141" s="11">
        <f t="shared" ca="1" si="12"/>
        <v>106.9363152395531</v>
      </c>
      <c r="H141" s="11">
        <f t="shared" ca="1" si="13"/>
        <v>3548.3224626197552</v>
      </c>
      <c r="I141" s="12">
        <f t="shared" ca="1" si="14"/>
        <v>109.4371280004998</v>
      </c>
    </row>
    <row r="142" spans="1:9" ht="17.399999999999999" x14ac:dyDescent="0.3">
      <c r="A142" s="8">
        <v>127</v>
      </c>
      <c r="B142" s="11">
        <f t="shared" ca="1" si="15"/>
        <v>0.45890168656024444</v>
      </c>
      <c r="C142" s="11">
        <f t="shared" ca="1" si="15"/>
        <v>0.76002104347952071</v>
      </c>
      <c r="D142" s="11">
        <f t="shared" ca="1" si="9"/>
        <v>15.353857281218875</v>
      </c>
      <c r="E142" s="11">
        <f t="shared" ca="1" si="10"/>
        <v>27.446231550942947</v>
      </c>
      <c r="F142" s="11">
        <f t="shared" ca="1" si="11"/>
        <v>3454.2391919004745</v>
      </c>
      <c r="G142" s="11">
        <f t="shared" ca="1" si="12"/>
        <v>94.08327071928079</v>
      </c>
      <c r="H142" s="11">
        <f t="shared" ca="1" si="13"/>
        <v>3575.7686941706984</v>
      </c>
      <c r="I142" s="12">
        <f t="shared" ca="1" si="14"/>
        <v>121.52950227022393</v>
      </c>
    </row>
    <row r="143" spans="1:9" ht="17.399999999999999" x14ac:dyDescent="0.3">
      <c r="A143" s="8">
        <v>128</v>
      </c>
      <c r="B143" s="11">
        <f t="shared" ca="1" si="15"/>
        <v>0.33179227301762948</v>
      </c>
      <c r="C143" s="11">
        <f t="shared" ca="1" si="15"/>
        <v>0.85110278879063617</v>
      </c>
      <c r="D143" s="11">
        <f t="shared" ca="1" si="9"/>
        <v>10.078904631242564</v>
      </c>
      <c r="E143" s="11">
        <f t="shared" ca="1" si="10"/>
        <v>36.624982091408427</v>
      </c>
      <c r="F143" s="11">
        <f t="shared" ca="1" si="11"/>
        <v>3464.3180965317169</v>
      </c>
      <c r="G143" s="11">
        <f t="shared" ca="1" si="12"/>
        <v>111.45059763898144</v>
      </c>
      <c r="H143" s="11">
        <f t="shared" ca="1" si="13"/>
        <v>3612.393676262107</v>
      </c>
      <c r="I143" s="12">
        <f t="shared" ca="1" si="14"/>
        <v>148.07557973039002</v>
      </c>
    </row>
    <row r="144" spans="1:9" ht="17.399999999999999" x14ac:dyDescent="0.3">
      <c r="A144" s="8">
        <v>129</v>
      </c>
      <c r="B144" s="11">
        <f t="shared" ca="1" si="15"/>
        <v>0.72343831438661699</v>
      </c>
      <c r="C144" s="11">
        <f t="shared" ca="1" si="15"/>
        <v>0.46350248636023728</v>
      </c>
      <c r="D144" s="11">
        <f t="shared" ca="1" si="9"/>
        <v>32.133034711474934</v>
      </c>
      <c r="E144" s="11">
        <f t="shared" ca="1" si="10"/>
        <v>11.974872140976276</v>
      </c>
      <c r="F144" s="11">
        <f t="shared" ca="1" si="11"/>
        <v>3496.4511312431919</v>
      </c>
      <c r="G144" s="11">
        <f t="shared" ca="1" si="12"/>
        <v>115.9425450189151</v>
      </c>
      <c r="H144" s="11">
        <f t="shared" ca="1" si="13"/>
        <v>3624.3685484030834</v>
      </c>
      <c r="I144" s="12">
        <f t="shared" ca="1" si="14"/>
        <v>127.91741715989156</v>
      </c>
    </row>
    <row r="145" spans="1:9" ht="17.399999999999999" x14ac:dyDescent="0.3">
      <c r="A145" s="8">
        <v>130</v>
      </c>
      <c r="B145" s="11">
        <f t="shared" ca="1" si="15"/>
        <v>0.28283099606119078</v>
      </c>
      <c r="C145" s="11">
        <f t="shared" ca="1" si="15"/>
        <v>2.6365845351906669E-3</v>
      </c>
      <c r="D145" s="11">
        <f t="shared" ca="1" si="9"/>
        <v>8.3110939085170745</v>
      </c>
      <c r="E145" s="11">
        <f t="shared" ca="1" si="10"/>
        <v>5.0770508572639948E-2</v>
      </c>
      <c r="F145" s="11">
        <f t="shared" ca="1" si="11"/>
        <v>3504.7622251517091</v>
      </c>
      <c r="G145" s="11">
        <f t="shared" ca="1" si="12"/>
        <v>119.60632325137431</v>
      </c>
      <c r="H145" s="11">
        <f t="shared" ca="1" si="13"/>
        <v>3624.4193189116559</v>
      </c>
      <c r="I145" s="12">
        <f t="shared" ca="1" si="14"/>
        <v>119.65709375994675</v>
      </c>
    </row>
    <row r="146" spans="1:9" ht="17.399999999999999" x14ac:dyDescent="0.3">
      <c r="A146" s="8">
        <v>131</v>
      </c>
      <c r="B146" s="11">
        <f t="shared" ref="B146:C177" ca="1" si="16">RAND()</f>
        <v>0.89466189271371876</v>
      </c>
      <c r="C146" s="11">
        <f t="shared" ca="1" si="16"/>
        <v>0.78140234938762487</v>
      </c>
      <c r="D146" s="11">
        <f t="shared" ref="D146:D209" ca="1" si="17">(1/$F$2)*LN(1/(1-B146))</f>
        <v>56.264500818806198</v>
      </c>
      <c r="E146" s="11">
        <f t="shared" ref="E146:E209" ca="1" si="18">(1/$J$2)*LN(1/(1-C146))</f>
        <v>29.2408163600929</v>
      </c>
      <c r="F146" s="11">
        <f t="shared" ref="F146:F209" ca="1" si="19">F145+D146</f>
        <v>3561.0267259705151</v>
      </c>
      <c r="G146" s="11">
        <f t="shared" ref="G146:G209" ca="1" si="20">IF(F146&lt;H145,H145-F146,0)</f>
        <v>63.39259294114072</v>
      </c>
      <c r="H146" s="11">
        <f t="shared" ref="H146:H209" ca="1" si="21">F146+G146+E146</f>
        <v>3653.6601352717489</v>
      </c>
      <c r="I146" s="12">
        <f t="shared" ref="I146:I209" ca="1" si="22">H146-F146</f>
        <v>92.633409301233769</v>
      </c>
    </row>
    <row r="147" spans="1:9" ht="17.399999999999999" x14ac:dyDescent="0.3">
      <c r="A147" s="8">
        <v>132</v>
      </c>
      <c r="B147" s="11">
        <f t="shared" ca="1" si="16"/>
        <v>0.37867556857484364</v>
      </c>
      <c r="C147" s="11">
        <f t="shared" ca="1" si="16"/>
        <v>0.30433744500841831</v>
      </c>
      <c r="D147" s="11">
        <f t="shared" ca="1" si="17"/>
        <v>11.89754749031948</v>
      </c>
      <c r="E147" s="11">
        <f t="shared" ca="1" si="18"/>
        <v>6.9786648269291076</v>
      </c>
      <c r="F147" s="11">
        <f t="shared" ca="1" si="19"/>
        <v>3572.9242734608347</v>
      </c>
      <c r="G147" s="11">
        <f t="shared" ca="1" si="20"/>
        <v>80.73586181091423</v>
      </c>
      <c r="H147" s="11">
        <f t="shared" ca="1" si="21"/>
        <v>3660.6388000986781</v>
      </c>
      <c r="I147" s="12">
        <f t="shared" ca="1" si="22"/>
        <v>87.714526637843392</v>
      </c>
    </row>
    <row r="148" spans="1:9" ht="17.399999999999999" x14ac:dyDescent="0.3">
      <c r="A148" s="8">
        <v>133</v>
      </c>
      <c r="B148" s="11">
        <f t="shared" ca="1" si="16"/>
        <v>0.83000831589722224</v>
      </c>
      <c r="C148" s="11">
        <f t="shared" ca="1" si="16"/>
        <v>0.90489843260523162</v>
      </c>
      <c r="D148" s="11">
        <f t="shared" ca="1" si="17"/>
        <v>44.300144004270912</v>
      </c>
      <c r="E148" s="11">
        <f t="shared" ca="1" si="18"/>
        <v>45.246342846602026</v>
      </c>
      <c r="F148" s="11">
        <f t="shared" ca="1" si="19"/>
        <v>3617.2244174651055</v>
      </c>
      <c r="G148" s="11">
        <f t="shared" ca="1" si="20"/>
        <v>43.414382633572586</v>
      </c>
      <c r="H148" s="11">
        <f t="shared" ca="1" si="21"/>
        <v>3705.8851429452802</v>
      </c>
      <c r="I148" s="12">
        <f t="shared" ca="1" si="22"/>
        <v>88.660725480174733</v>
      </c>
    </row>
    <row r="149" spans="1:9" ht="17.399999999999999" x14ac:dyDescent="0.3">
      <c r="A149" s="8">
        <v>134</v>
      </c>
      <c r="B149" s="11">
        <f t="shared" ca="1" si="16"/>
        <v>0.59984988633428737</v>
      </c>
      <c r="C149" s="11">
        <f t="shared" ca="1" si="16"/>
        <v>0.16234525599341731</v>
      </c>
      <c r="D149" s="11">
        <f t="shared" ca="1" si="17"/>
        <v>22.897887952784057</v>
      </c>
      <c r="E149" s="11">
        <f t="shared" ca="1" si="18"/>
        <v>3.4067166036060423</v>
      </c>
      <c r="F149" s="11">
        <f t="shared" ca="1" si="19"/>
        <v>3640.1223054178895</v>
      </c>
      <c r="G149" s="11">
        <f t="shared" ca="1" si="20"/>
        <v>65.76283752739073</v>
      </c>
      <c r="H149" s="11">
        <f t="shared" ca="1" si="21"/>
        <v>3709.2918595488864</v>
      </c>
      <c r="I149" s="12">
        <f t="shared" ca="1" si="22"/>
        <v>69.169554130996858</v>
      </c>
    </row>
    <row r="150" spans="1:9" ht="17.399999999999999" x14ac:dyDescent="0.3">
      <c r="A150" s="8">
        <v>135</v>
      </c>
      <c r="B150" s="11">
        <f t="shared" ca="1" si="16"/>
        <v>6.4549976252093799E-2</v>
      </c>
      <c r="C150" s="11">
        <f t="shared" ca="1" si="16"/>
        <v>0.7562183864623252</v>
      </c>
      <c r="D150" s="11">
        <f t="shared" ca="1" si="17"/>
        <v>1.6681889166024415</v>
      </c>
      <c r="E150" s="11">
        <f t="shared" ca="1" si="18"/>
        <v>27.14389386440833</v>
      </c>
      <c r="F150" s="11">
        <f t="shared" ca="1" si="19"/>
        <v>3641.790494334492</v>
      </c>
      <c r="G150" s="11">
        <f t="shared" ca="1" si="20"/>
        <v>67.501365214394355</v>
      </c>
      <c r="H150" s="11">
        <f t="shared" ca="1" si="21"/>
        <v>3736.4357534132946</v>
      </c>
      <c r="I150" s="12">
        <f t="shared" ca="1" si="22"/>
        <v>94.64525907880261</v>
      </c>
    </row>
    <row r="151" spans="1:9" ht="17.399999999999999" x14ac:dyDescent="0.3">
      <c r="A151" s="8">
        <v>136</v>
      </c>
      <c r="B151" s="11">
        <f t="shared" ca="1" si="16"/>
        <v>0.67318067533512438</v>
      </c>
      <c r="C151" s="11">
        <f t="shared" ca="1" si="16"/>
        <v>0.60894853298436447</v>
      </c>
      <c r="D151" s="11">
        <f t="shared" ca="1" si="17"/>
        <v>27.958694618578022</v>
      </c>
      <c r="E151" s="11">
        <f t="shared" ca="1" si="18"/>
        <v>18.056078816598749</v>
      </c>
      <c r="F151" s="11">
        <f t="shared" ca="1" si="19"/>
        <v>3669.7491889530702</v>
      </c>
      <c r="G151" s="11">
        <f t="shared" ca="1" si="20"/>
        <v>66.686564460224417</v>
      </c>
      <c r="H151" s="11">
        <f t="shared" ca="1" si="21"/>
        <v>3754.4918322298931</v>
      </c>
      <c r="I151" s="12">
        <f t="shared" ca="1" si="22"/>
        <v>84.742643276822946</v>
      </c>
    </row>
    <row r="152" spans="1:9" ht="17.399999999999999" x14ac:dyDescent="0.3">
      <c r="A152" s="8">
        <v>137</v>
      </c>
      <c r="B152" s="11">
        <f t="shared" ca="1" si="16"/>
        <v>0.41644972983006379</v>
      </c>
      <c r="C152" s="11">
        <f t="shared" ca="1" si="16"/>
        <v>0.13225793709937927</v>
      </c>
      <c r="D152" s="11">
        <f t="shared" ca="1" si="17"/>
        <v>13.465616953684552</v>
      </c>
      <c r="E152" s="11">
        <f t="shared" ca="1" si="18"/>
        <v>2.728091750773403</v>
      </c>
      <c r="F152" s="11">
        <f t="shared" ca="1" si="19"/>
        <v>3683.2148059067549</v>
      </c>
      <c r="G152" s="11">
        <f t="shared" ca="1" si="20"/>
        <v>71.277026323138216</v>
      </c>
      <c r="H152" s="11">
        <f t="shared" ca="1" si="21"/>
        <v>3757.2199239806664</v>
      </c>
      <c r="I152" s="12">
        <f t="shared" ca="1" si="22"/>
        <v>74.00511807391149</v>
      </c>
    </row>
    <row r="153" spans="1:9" ht="17.399999999999999" x14ac:dyDescent="0.3">
      <c r="A153" s="8">
        <v>138</v>
      </c>
      <c r="B153" s="11">
        <f t="shared" ca="1" si="16"/>
        <v>0.84518113938518946</v>
      </c>
      <c r="C153" s="11">
        <f t="shared" ca="1" si="16"/>
        <v>0.56408797484059869</v>
      </c>
      <c r="D153" s="11">
        <f t="shared" ca="1" si="17"/>
        <v>46.637487166281552</v>
      </c>
      <c r="E153" s="11">
        <f t="shared" ca="1" si="18"/>
        <v>15.967592945195936</v>
      </c>
      <c r="F153" s="11">
        <f t="shared" ca="1" si="19"/>
        <v>3729.8522930730364</v>
      </c>
      <c r="G153" s="11">
        <f t="shared" ca="1" si="20"/>
        <v>27.367630907629973</v>
      </c>
      <c r="H153" s="11">
        <f t="shared" ca="1" si="21"/>
        <v>3773.1875169258624</v>
      </c>
      <c r="I153" s="12">
        <f t="shared" ca="1" si="22"/>
        <v>43.335223852825948</v>
      </c>
    </row>
    <row r="154" spans="1:9" ht="17.399999999999999" x14ac:dyDescent="0.3">
      <c r="A154" s="8">
        <v>139</v>
      </c>
      <c r="B154" s="11">
        <f t="shared" ca="1" si="16"/>
        <v>0.33026316207969031</v>
      </c>
      <c r="C154" s="11">
        <f t="shared" ca="1" si="16"/>
        <v>0.65733825161221671</v>
      </c>
      <c r="D154" s="11">
        <f t="shared" ca="1" si="17"/>
        <v>10.021760574462689</v>
      </c>
      <c r="E154" s="11">
        <f t="shared" ca="1" si="18"/>
        <v>20.596374513309243</v>
      </c>
      <c r="F154" s="11">
        <f t="shared" ca="1" si="19"/>
        <v>3739.8740536474993</v>
      </c>
      <c r="G154" s="11">
        <f t="shared" ca="1" si="20"/>
        <v>33.313463278363088</v>
      </c>
      <c r="H154" s="11">
        <f t="shared" ca="1" si="21"/>
        <v>3793.7838914391718</v>
      </c>
      <c r="I154" s="12">
        <f t="shared" ca="1" si="22"/>
        <v>53.909837791672544</v>
      </c>
    </row>
    <row r="155" spans="1:9" ht="17.399999999999999" x14ac:dyDescent="0.3">
      <c r="A155" s="8">
        <v>140</v>
      </c>
      <c r="B155" s="11">
        <f t="shared" ca="1" si="16"/>
        <v>0.35974485753537022</v>
      </c>
      <c r="C155" s="11">
        <f t="shared" ca="1" si="16"/>
        <v>0.3303656506202064</v>
      </c>
      <c r="D155" s="11">
        <f t="shared" ca="1" si="17"/>
        <v>11.147213049281504</v>
      </c>
      <c r="E155" s="11">
        <f t="shared" ca="1" si="18"/>
        <v>7.7119896685705251</v>
      </c>
      <c r="F155" s="11">
        <f t="shared" ca="1" si="19"/>
        <v>3751.0212666967809</v>
      </c>
      <c r="G155" s="11">
        <f t="shared" ca="1" si="20"/>
        <v>42.762624742390926</v>
      </c>
      <c r="H155" s="11">
        <f t="shared" ca="1" si="21"/>
        <v>3801.4958811077422</v>
      </c>
      <c r="I155" s="12">
        <f t="shared" ca="1" si="22"/>
        <v>50.474614410961294</v>
      </c>
    </row>
    <row r="156" spans="1:9" ht="17.399999999999999" x14ac:dyDescent="0.3">
      <c r="A156" s="8">
        <v>141</v>
      </c>
      <c r="B156" s="11">
        <f t="shared" ca="1" si="16"/>
        <v>0.58520361065859106</v>
      </c>
      <c r="C156" s="11">
        <f t="shared" ca="1" si="16"/>
        <v>0.91668580084352724</v>
      </c>
      <c r="D156" s="11">
        <f t="shared" ca="1" si="17"/>
        <v>21.999187681044347</v>
      </c>
      <c r="E156" s="11">
        <f t="shared" ca="1" si="18"/>
        <v>47.791082428360909</v>
      </c>
      <c r="F156" s="11">
        <f t="shared" ca="1" si="19"/>
        <v>3773.0204543778254</v>
      </c>
      <c r="G156" s="11">
        <f t="shared" ca="1" si="20"/>
        <v>28.475426729916762</v>
      </c>
      <c r="H156" s="11">
        <f t="shared" ca="1" si="21"/>
        <v>3849.286963536103</v>
      </c>
      <c r="I156" s="12">
        <f t="shared" ca="1" si="22"/>
        <v>76.266509158277586</v>
      </c>
    </row>
    <row r="157" spans="1:9" ht="17.399999999999999" x14ac:dyDescent="0.3">
      <c r="A157" s="8">
        <v>142</v>
      </c>
      <c r="B157" s="11">
        <f t="shared" ca="1" si="16"/>
        <v>0.2974932679835337</v>
      </c>
      <c r="C157" s="11">
        <f t="shared" ca="1" si="16"/>
        <v>0.90701542272902436</v>
      </c>
      <c r="D157" s="11">
        <f t="shared" ca="1" si="17"/>
        <v>8.8275073719640833</v>
      </c>
      <c r="E157" s="11">
        <f t="shared" ca="1" si="18"/>
        <v>45.679262218790733</v>
      </c>
      <c r="F157" s="11">
        <f t="shared" ca="1" si="19"/>
        <v>3781.8479617497896</v>
      </c>
      <c r="G157" s="11">
        <f t="shared" ca="1" si="20"/>
        <v>67.439001786313383</v>
      </c>
      <c r="H157" s="11">
        <f t="shared" ca="1" si="21"/>
        <v>3894.9662257548939</v>
      </c>
      <c r="I157" s="12">
        <f t="shared" ca="1" si="22"/>
        <v>113.11826400510427</v>
      </c>
    </row>
    <row r="158" spans="1:9" ht="17.399999999999999" x14ac:dyDescent="0.3">
      <c r="A158" s="8">
        <v>143</v>
      </c>
      <c r="B158" s="11">
        <f t="shared" ca="1" si="16"/>
        <v>0.83306858619375912</v>
      </c>
      <c r="C158" s="11">
        <f t="shared" ca="1" si="16"/>
        <v>0.42832365565030861</v>
      </c>
      <c r="D158" s="11">
        <f t="shared" ca="1" si="17"/>
        <v>44.75430616737502</v>
      </c>
      <c r="E158" s="11">
        <f t="shared" ca="1" si="18"/>
        <v>10.753505371190579</v>
      </c>
      <c r="F158" s="11">
        <f t="shared" ca="1" si="19"/>
        <v>3826.6022679171647</v>
      </c>
      <c r="G158" s="11">
        <f t="shared" ca="1" si="20"/>
        <v>68.363957837729231</v>
      </c>
      <c r="H158" s="11">
        <f t="shared" ca="1" si="21"/>
        <v>3905.7197311260843</v>
      </c>
      <c r="I158" s="12">
        <f t="shared" ca="1" si="22"/>
        <v>79.117463208919617</v>
      </c>
    </row>
    <row r="159" spans="1:9" ht="17.399999999999999" x14ac:dyDescent="0.3">
      <c r="A159" s="8">
        <v>144</v>
      </c>
      <c r="B159" s="11">
        <f t="shared" ca="1" si="16"/>
        <v>6.4718346314377229E-2</v>
      </c>
      <c r="C159" s="11">
        <f t="shared" ca="1" si="16"/>
        <v>0.42132663370113899</v>
      </c>
      <c r="D159" s="11">
        <f t="shared" ca="1" si="17"/>
        <v>1.6726890291725447</v>
      </c>
      <c r="E159" s="11">
        <f t="shared" ca="1" si="18"/>
        <v>10.519559515222451</v>
      </c>
      <c r="F159" s="11">
        <f t="shared" ca="1" si="19"/>
        <v>3828.2749569463372</v>
      </c>
      <c r="G159" s="11">
        <f t="shared" ca="1" si="20"/>
        <v>77.444774179747128</v>
      </c>
      <c r="H159" s="11">
        <f t="shared" ca="1" si="21"/>
        <v>3916.2392906413065</v>
      </c>
      <c r="I159" s="12">
        <f t="shared" ca="1" si="22"/>
        <v>87.964333694969355</v>
      </c>
    </row>
    <row r="160" spans="1:9" ht="17.399999999999999" x14ac:dyDescent="0.3">
      <c r="A160" s="8">
        <v>145</v>
      </c>
      <c r="B160" s="11">
        <f t="shared" ca="1" si="16"/>
        <v>0.83690047281396962</v>
      </c>
      <c r="C160" s="11">
        <f t="shared" ca="1" si="16"/>
        <v>0.23439954130779328</v>
      </c>
      <c r="D160" s="11">
        <f t="shared" ca="1" si="17"/>
        <v>45.334866707002298</v>
      </c>
      <c r="E160" s="11">
        <f t="shared" ca="1" si="18"/>
        <v>5.1364392253042368</v>
      </c>
      <c r="F160" s="11">
        <f t="shared" ca="1" si="19"/>
        <v>3873.6098236533394</v>
      </c>
      <c r="G160" s="11">
        <f t="shared" ca="1" si="20"/>
        <v>42.629466987967135</v>
      </c>
      <c r="H160" s="11">
        <f t="shared" ca="1" si="21"/>
        <v>3921.375729866611</v>
      </c>
      <c r="I160" s="12">
        <f t="shared" ca="1" si="22"/>
        <v>47.765906213271592</v>
      </c>
    </row>
    <row r="161" spans="1:9" ht="17.399999999999999" x14ac:dyDescent="0.3">
      <c r="A161" s="8">
        <v>146</v>
      </c>
      <c r="B161" s="11">
        <f t="shared" ca="1" si="16"/>
        <v>0.20884431290191841</v>
      </c>
      <c r="C161" s="11">
        <f t="shared" ca="1" si="16"/>
        <v>0.22931949596726164</v>
      </c>
      <c r="D161" s="11">
        <f t="shared" ca="1" si="17"/>
        <v>5.8565126862192054</v>
      </c>
      <c r="E161" s="11">
        <f t="shared" ca="1" si="18"/>
        <v>5.0092573646035987</v>
      </c>
      <c r="F161" s="11">
        <f t="shared" ca="1" si="19"/>
        <v>3879.4663363395584</v>
      </c>
      <c r="G161" s="11">
        <f t="shared" ca="1" si="20"/>
        <v>41.909393527052544</v>
      </c>
      <c r="H161" s="11">
        <f t="shared" ca="1" si="21"/>
        <v>3926.3849872312144</v>
      </c>
      <c r="I161" s="12">
        <f t="shared" ca="1" si="22"/>
        <v>46.918650891655943</v>
      </c>
    </row>
    <row r="162" spans="1:9" ht="17.399999999999999" x14ac:dyDescent="0.3">
      <c r="A162" s="8">
        <v>147</v>
      </c>
      <c r="B162" s="11">
        <f t="shared" ca="1" si="16"/>
        <v>0.2959806143619953</v>
      </c>
      <c r="C162" s="11">
        <f t="shared" ca="1" si="16"/>
        <v>0.49246527403510376</v>
      </c>
      <c r="D162" s="11">
        <f t="shared" ca="1" si="17"/>
        <v>8.7737346696398646</v>
      </c>
      <c r="E162" s="11">
        <f t="shared" ca="1" si="18"/>
        <v>13.042118170394655</v>
      </c>
      <c r="F162" s="11">
        <f t="shared" ca="1" si="19"/>
        <v>3888.2400710091983</v>
      </c>
      <c r="G162" s="11">
        <f t="shared" ca="1" si="20"/>
        <v>38.144916222016036</v>
      </c>
      <c r="H162" s="11">
        <f t="shared" ca="1" si="21"/>
        <v>3939.427105401609</v>
      </c>
      <c r="I162" s="12">
        <f t="shared" ca="1" si="22"/>
        <v>51.187034392410624</v>
      </c>
    </row>
    <row r="163" spans="1:9" ht="17.399999999999999" x14ac:dyDescent="0.3">
      <c r="A163" s="8">
        <v>148</v>
      </c>
      <c r="B163" s="11">
        <f t="shared" ca="1" si="16"/>
        <v>0.66147348486885338</v>
      </c>
      <c r="C163" s="11">
        <f t="shared" ca="1" si="16"/>
        <v>0.91082323653813624</v>
      </c>
      <c r="D163" s="11">
        <f t="shared" ca="1" si="17"/>
        <v>27.078821460965347</v>
      </c>
      <c r="E163" s="11">
        <f t="shared" ca="1" si="18"/>
        <v>46.483361012278294</v>
      </c>
      <c r="F163" s="11">
        <f t="shared" ca="1" si="19"/>
        <v>3915.3188924701635</v>
      </c>
      <c r="G163" s="11">
        <f t="shared" ca="1" si="20"/>
        <v>24.108212931445451</v>
      </c>
      <c r="H163" s="11">
        <f t="shared" ca="1" si="21"/>
        <v>3985.9104664138872</v>
      </c>
      <c r="I163" s="12">
        <f t="shared" ca="1" si="22"/>
        <v>70.591573943723688</v>
      </c>
    </row>
    <row r="164" spans="1:9" ht="17.399999999999999" x14ac:dyDescent="0.3">
      <c r="A164" s="8">
        <v>149</v>
      </c>
      <c r="B164" s="11">
        <f t="shared" ca="1" si="16"/>
        <v>6.1407017903100769E-2</v>
      </c>
      <c r="C164" s="11">
        <f t="shared" ca="1" si="16"/>
        <v>6.9153380894315442E-2</v>
      </c>
      <c r="D164" s="11">
        <f t="shared" ca="1" si="17"/>
        <v>1.5843338160019509</v>
      </c>
      <c r="E164" s="11">
        <f t="shared" ca="1" si="18"/>
        <v>1.378091611950818</v>
      </c>
      <c r="F164" s="11">
        <f t="shared" ca="1" si="19"/>
        <v>3916.9032262861656</v>
      </c>
      <c r="G164" s="11">
        <f t="shared" ca="1" si="20"/>
        <v>69.007240127721616</v>
      </c>
      <c r="H164" s="11">
        <f t="shared" ca="1" si="21"/>
        <v>3987.288558025838</v>
      </c>
      <c r="I164" s="12">
        <f t="shared" ca="1" si="22"/>
        <v>70.385331739672438</v>
      </c>
    </row>
    <row r="165" spans="1:9" ht="17.399999999999999" x14ac:dyDescent="0.3">
      <c r="A165" s="8">
        <v>150</v>
      </c>
      <c r="B165" s="11">
        <f t="shared" ca="1" si="16"/>
        <v>2.7716438743417893E-2</v>
      </c>
      <c r="C165" s="11">
        <f t="shared" ca="1" si="16"/>
        <v>0.71918025078390679</v>
      </c>
      <c r="D165" s="11">
        <f t="shared" ca="1" si="17"/>
        <v>0.70269468446718941</v>
      </c>
      <c r="E165" s="11">
        <f t="shared" ca="1" si="18"/>
        <v>24.423889948798344</v>
      </c>
      <c r="F165" s="11">
        <f t="shared" ca="1" si="19"/>
        <v>3917.6059209706327</v>
      </c>
      <c r="G165" s="11">
        <f t="shared" ca="1" si="20"/>
        <v>69.682637055205305</v>
      </c>
      <c r="H165" s="11">
        <f t="shared" ca="1" si="21"/>
        <v>4011.7124479746362</v>
      </c>
      <c r="I165" s="12">
        <f t="shared" ca="1" si="22"/>
        <v>94.10652700400351</v>
      </c>
    </row>
    <row r="166" spans="1:9" ht="17.399999999999999" x14ac:dyDescent="0.3">
      <c r="A166" s="8">
        <v>151</v>
      </c>
      <c r="B166" s="11">
        <f t="shared" ca="1" si="16"/>
        <v>0.92844110101526545</v>
      </c>
      <c r="C166" s="11">
        <f t="shared" ca="1" si="16"/>
        <v>6.2452476924762523E-2</v>
      </c>
      <c r="D166" s="11">
        <f t="shared" ca="1" si="17"/>
        <v>65.930860159090912</v>
      </c>
      <c r="E166" s="11">
        <f t="shared" ca="1" si="18"/>
        <v>1.2401505988861028</v>
      </c>
      <c r="F166" s="11">
        <f t="shared" ca="1" si="19"/>
        <v>3983.5367811297237</v>
      </c>
      <c r="G166" s="11">
        <f t="shared" ca="1" si="20"/>
        <v>28.175666844912485</v>
      </c>
      <c r="H166" s="11">
        <f t="shared" ca="1" si="21"/>
        <v>4012.9525985735222</v>
      </c>
      <c r="I166" s="12">
        <f t="shared" ca="1" si="22"/>
        <v>29.41581744379846</v>
      </c>
    </row>
    <row r="167" spans="1:9" ht="17.399999999999999" x14ac:dyDescent="0.3">
      <c r="A167" s="8">
        <v>152</v>
      </c>
      <c r="B167" s="11">
        <f t="shared" ca="1" si="16"/>
        <v>0.27905374347666823</v>
      </c>
      <c r="C167" s="11">
        <f t="shared" ca="1" si="16"/>
        <v>0.62922928451354787</v>
      </c>
      <c r="D167" s="11">
        <f t="shared" ca="1" si="17"/>
        <v>8.1797671166249941</v>
      </c>
      <c r="E167" s="11">
        <f t="shared" ca="1" si="18"/>
        <v>19.080219711211623</v>
      </c>
      <c r="F167" s="11">
        <f t="shared" ca="1" si="19"/>
        <v>3991.7165482463488</v>
      </c>
      <c r="G167" s="11">
        <f t="shared" ca="1" si="20"/>
        <v>21.236050327173416</v>
      </c>
      <c r="H167" s="11">
        <f t="shared" ca="1" si="21"/>
        <v>4032.0328182847338</v>
      </c>
      <c r="I167" s="12">
        <f t="shared" ca="1" si="22"/>
        <v>40.316270038385028</v>
      </c>
    </row>
    <row r="168" spans="1:9" ht="17.399999999999999" x14ac:dyDescent="0.3">
      <c r="A168" s="8">
        <v>153</v>
      </c>
      <c r="B168" s="11">
        <f t="shared" ca="1" si="16"/>
        <v>0.3392440499157835</v>
      </c>
      <c r="C168" s="11">
        <f t="shared" ca="1" si="16"/>
        <v>0.38774823793249247</v>
      </c>
      <c r="D168" s="11">
        <f t="shared" ca="1" si="17"/>
        <v>10.359268012304366</v>
      </c>
      <c r="E168" s="11">
        <f t="shared" ca="1" si="18"/>
        <v>9.4348404833536392</v>
      </c>
      <c r="F168" s="11">
        <f t="shared" ca="1" si="19"/>
        <v>4002.075816258653</v>
      </c>
      <c r="G168" s="11">
        <f t="shared" ca="1" si="20"/>
        <v>29.957002026080772</v>
      </c>
      <c r="H168" s="11">
        <f t="shared" ca="1" si="21"/>
        <v>4041.4676587680874</v>
      </c>
      <c r="I168" s="12">
        <f t="shared" ca="1" si="22"/>
        <v>39.391842509434355</v>
      </c>
    </row>
    <row r="169" spans="1:9" ht="17.399999999999999" x14ac:dyDescent="0.3">
      <c r="A169" s="8">
        <v>154</v>
      </c>
      <c r="B169" s="11">
        <f t="shared" ca="1" si="16"/>
        <v>0.98042096960981306</v>
      </c>
      <c r="C169" s="11">
        <f t="shared" ca="1" si="16"/>
        <v>0.82985396147534585</v>
      </c>
      <c r="D169" s="11">
        <f t="shared" ca="1" si="17"/>
        <v>98.332404088135277</v>
      </c>
      <c r="E169" s="11">
        <f t="shared" ca="1" si="18"/>
        <v>34.059580010754722</v>
      </c>
      <c r="F169" s="11">
        <f t="shared" ca="1" si="19"/>
        <v>4100.4082203467888</v>
      </c>
      <c r="G169" s="11">
        <f t="shared" ca="1" si="20"/>
        <v>0</v>
      </c>
      <c r="H169" s="11">
        <f t="shared" ca="1" si="21"/>
        <v>4134.4678003575436</v>
      </c>
      <c r="I169" s="12">
        <f t="shared" ca="1" si="22"/>
        <v>34.059580010754871</v>
      </c>
    </row>
    <row r="170" spans="1:9" ht="17.399999999999999" x14ac:dyDescent="0.3">
      <c r="A170" s="8">
        <v>155</v>
      </c>
      <c r="B170" s="11">
        <f t="shared" ca="1" si="16"/>
        <v>0.94561791900337677</v>
      </c>
      <c r="C170" s="11">
        <f t="shared" ca="1" si="16"/>
        <v>0.33449726448620054</v>
      </c>
      <c r="D170" s="11">
        <f t="shared" ca="1" si="17"/>
        <v>72.793014320665065</v>
      </c>
      <c r="E170" s="11">
        <f t="shared" ca="1" si="18"/>
        <v>7.8310102056039881</v>
      </c>
      <c r="F170" s="11">
        <f t="shared" ca="1" si="19"/>
        <v>4173.2012346674537</v>
      </c>
      <c r="G170" s="11">
        <f t="shared" ca="1" si="20"/>
        <v>0</v>
      </c>
      <c r="H170" s="11">
        <f t="shared" ca="1" si="21"/>
        <v>4181.0322448730576</v>
      </c>
      <c r="I170" s="12">
        <f t="shared" ca="1" si="22"/>
        <v>7.8310102056038886</v>
      </c>
    </row>
    <row r="171" spans="1:9" ht="17.399999999999999" x14ac:dyDescent="0.3">
      <c r="A171" s="8">
        <v>156</v>
      </c>
      <c r="B171" s="11">
        <f t="shared" ca="1" si="16"/>
        <v>0.58386100203612767</v>
      </c>
      <c r="C171" s="11">
        <f t="shared" ca="1" si="16"/>
        <v>0.30784831094059917</v>
      </c>
      <c r="D171" s="11">
        <f t="shared" ca="1" si="17"/>
        <v>21.918398620223272</v>
      </c>
      <c r="E171" s="11">
        <f t="shared" ca="1" si="18"/>
        <v>7.0759642989048981</v>
      </c>
      <c r="F171" s="11">
        <f t="shared" ca="1" si="19"/>
        <v>4195.1196332876771</v>
      </c>
      <c r="G171" s="11">
        <f t="shared" ca="1" si="20"/>
        <v>0</v>
      </c>
      <c r="H171" s="11">
        <f t="shared" ca="1" si="21"/>
        <v>4202.1955975865822</v>
      </c>
      <c r="I171" s="12">
        <f t="shared" ca="1" si="22"/>
        <v>7.0759642989050917</v>
      </c>
    </row>
    <row r="172" spans="1:9" ht="17.399999999999999" x14ac:dyDescent="0.3">
      <c r="A172" s="8">
        <v>157</v>
      </c>
      <c r="B172" s="11">
        <f t="shared" ca="1" si="16"/>
        <v>0.30353491224267959</v>
      </c>
      <c r="C172" s="11">
        <f t="shared" ca="1" si="16"/>
        <v>0.68030567097563199</v>
      </c>
      <c r="D172" s="11">
        <f t="shared" ca="1" si="17"/>
        <v>9.0434403069320588</v>
      </c>
      <c r="E172" s="11">
        <f t="shared" ca="1" si="18"/>
        <v>21.930576182736459</v>
      </c>
      <c r="F172" s="11">
        <f t="shared" ca="1" si="19"/>
        <v>4204.1630735946092</v>
      </c>
      <c r="G172" s="11">
        <f t="shared" ca="1" si="20"/>
        <v>0</v>
      </c>
      <c r="H172" s="11">
        <f t="shared" ca="1" si="21"/>
        <v>4226.0936497773455</v>
      </c>
      <c r="I172" s="12">
        <f t="shared" ca="1" si="22"/>
        <v>21.930576182736331</v>
      </c>
    </row>
    <row r="173" spans="1:9" ht="17.399999999999999" x14ac:dyDescent="0.3">
      <c r="A173" s="8">
        <v>158</v>
      </c>
      <c r="B173" s="11">
        <f t="shared" ca="1" si="16"/>
        <v>0.86185920836147878</v>
      </c>
      <c r="C173" s="11">
        <f t="shared" ca="1" si="16"/>
        <v>0.27480728764505791</v>
      </c>
      <c r="D173" s="11">
        <f t="shared" ca="1" si="17"/>
        <v>49.487047116011453</v>
      </c>
      <c r="E173" s="11">
        <f t="shared" ca="1" si="18"/>
        <v>6.1791894096917712</v>
      </c>
      <c r="F173" s="11">
        <f t="shared" ca="1" si="19"/>
        <v>4253.6501207106203</v>
      </c>
      <c r="G173" s="11">
        <f t="shared" ca="1" si="20"/>
        <v>0</v>
      </c>
      <c r="H173" s="11">
        <f t="shared" ca="1" si="21"/>
        <v>4259.8293101203117</v>
      </c>
      <c r="I173" s="12">
        <f t="shared" ca="1" si="22"/>
        <v>6.1791894096913893</v>
      </c>
    </row>
    <row r="174" spans="1:9" ht="17.399999999999999" x14ac:dyDescent="0.3">
      <c r="A174" s="8">
        <v>159</v>
      </c>
      <c r="B174" s="11">
        <f t="shared" ca="1" si="16"/>
        <v>0.66657600051078703</v>
      </c>
      <c r="C174" s="11">
        <f t="shared" ca="1" si="16"/>
        <v>0.49772920033990942</v>
      </c>
      <c r="D174" s="11">
        <f t="shared" ca="1" si="17"/>
        <v>27.458508179633689</v>
      </c>
      <c r="E174" s="11">
        <f t="shared" ca="1" si="18"/>
        <v>13.242612753514106</v>
      </c>
      <c r="F174" s="11">
        <f t="shared" ca="1" si="19"/>
        <v>4281.1086288902543</v>
      </c>
      <c r="G174" s="11">
        <f t="shared" ca="1" si="20"/>
        <v>0</v>
      </c>
      <c r="H174" s="11">
        <f t="shared" ca="1" si="21"/>
        <v>4294.3512416437688</v>
      </c>
      <c r="I174" s="12">
        <f t="shared" ca="1" si="22"/>
        <v>13.24261275351455</v>
      </c>
    </row>
    <row r="175" spans="1:9" ht="17.399999999999999" x14ac:dyDescent="0.3">
      <c r="A175" s="8">
        <v>160</v>
      </c>
      <c r="B175" s="11">
        <f t="shared" ca="1" si="16"/>
        <v>0.1833859140189994</v>
      </c>
      <c r="C175" s="11">
        <f t="shared" ca="1" si="16"/>
        <v>2.6054794697939254E-2</v>
      </c>
      <c r="D175" s="11">
        <f t="shared" ca="1" si="17"/>
        <v>5.0647162674326571</v>
      </c>
      <c r="E175" s="11">
        <f t="shared" ca="1" si="18"/>
        <v>0.50769681369595332</v>
      </c>
      <c r="F175" s="11">
        <f t="shared" ca="1" si="19"/>
        <v>4286.1733451576865</v>
      </c>
      <c r="G175" s="11">
        <f t="shared" ca="1" si="20"/>
        <v>8.177896486082318</v>
      </c>
      <c r="H175" s="11">
        <f t="shared" ca="1" si="21"/>
        <v>4294.8589384574652</v>
      </c>
      <c r="I175" s="12">
        <f t="shared" ca="1" si="22"/>
        <v>8.6855932997787022</v>
      </c>
    </row>
    <row r="176" spans="1:9" ht="17.399999999999999" x14ac:dyDescent="0.3">
      <c r="A176" s="8">
        <v>161</v>
      </c>
      <c r="B176" s="11">
        <f t="shared" ca="1" si="16"/>
        <v>0.96950935942934902</v>
      </c>
      <c r="C176" s="11">
        <f t="shared" ca="1" si="16"/>
        <v>0.69885935694564183</v>
      </c>
      <c r="D176" s="11">
        <f t="shared" ca="1" si="17"/>
        <v>87.258387724949358</v>
      </c>
      <c r="E176" s="11">
        <f t="shared" ca="1" si="18"/>
        <v>23.08034366710601</v>
      </c>
      <c r="F176" s="11">
        <f t="shared" ca="1" si="19"/>
        <v>4373.4317328826355</v>
      </c>
      <c r="G176" s="11">
        <f t="shared" ca="1" si="20"/>
        <v>0</v>
      </c>
      <c r="H176" s="11">
        <f t="shared" ca="1" si="21"/>
        <v>4396.5120765497413</v>
      </c>
      <c r="I176" s="12">
        <f t="shared" ca="1" si="22"/>
        <v>23.080343667105808</v>
      </c>
    </row>
    <row r="177" spans="1:9" ht="17.399999999999999" x14ac:dyDescent="0.3">
      <c r="A177" s="8">
        <v>162</v>
      </c>
      <c r="B177" s="11">
        <f t="shared" ca="1" si="16"/>
        <v>0.87536719966590271</v>
      </c>
      <c r="C177" s="11">
        <f t="shared" ca="1" si="16"/>
        <v>0.85737142818651879</v>
      </c>
      <c r="D177" s="11">
        <f t="shared" ca="1" si="17"/>
        <v>52.059586555368099</v>
      </c>
      <c r="E177" s="11">
        <f t="shared" ca="1" si="18"/>
        <v>37.452142840838476</v>
      </c>
      <c r="F177" s="11">
        <f t="shared" ca="1" si="19"/>
        <v>4425.4913194380033</v>
      </c>
      <c r="G177" s="11">
        <f t="shared" ca="1" si="20"/>
        <v>0</v>
      </c>
      <c r="H177" s="11">
        <f t="shared" ca="1" si="21"/>
        <v>4462.9434622788422</v>
      </c>
      <c r="I177" s="12">
        <f t="shared" ca="1" si="22"/>
        <v>37.45214284083886</v>
      </c>
    </row>
    <row r="178" spans="1:9" ht="17.399999999999999" x14ac:dyDescent="0.3">
      <c r="A178" s="8">
        <v>163</v>
      </c>
      <c r="B178" s="11">
        <f t="shared" ref="B178:C215" ca="1" si="23">RAND()</f>
        <v>0.99449687627364525</v>
      </c>
      <c r="C178" s="11">
        <f t="shared" ca="1" si="23"/>
        <v>0.53848952905140479</v>
      </c>
      <c r="D178" s="11">
        <f t="shared" ca="1" si="17"/>
        <v>130.06098494300232</v>
      </c>
      <c r="E178" s="11">
        <f t="shared" ca="1" si="18"/>
        <v>14.870202622126641</v>
      </c>
      <c r="F178" s="11">
        <f t="shared" ca="1" si="19"/>
        <v>4555.5523043810053</v>
      </c>
      <c r="G178" s="11">
        <f t="shared" ca="1" si="20"/>
        <v>0</v>
      </c>
      <c r="H178" s="11">
        <f t="shared" ca="1" si="21"/>
        <v>4570.4225070031316</v>
      </c>
      <c r="I178" s="12">
        <f t="shared" ca="1" si="22"/>
        <v>14.870202622126271</v>
      </c>
    </row>
    <row r="179" spans="1:9" ht="17.399999999999999" x14ac:dyDescent="0.3">
      <c r="A179" s="8">
        <v>164</v>
      </c>
      <c r="B179" s="11">
        <f t="shared" ca="1" si="23"/>
        <v>0.14006275267706003</v>
      </c>
      <c r="C179" s="11">
        <f t="shared" ca="1" si="23"/>
        <v>0.90014679148106103</v>
      </c>
      <c r="D179" s="11">
        <f t="shared" ca="1" si="17"/>
        <v>3.7723965156508505</v>
      </c>
      <c r="E179" s="11">
        <f t="shared" ca="1" si="18"/>
        <v>44.308732427828943</v>
      </c>
      <c r="F179" s="11">
        <f t="shared" ca="1" si="19"/>
        <v>4559.3247008966564</v>
      </c>
      <c r="G179" s="11">
        <f t="shared" ca="1" si="20"/>
        <v>11.097806106475218</v>
      </c>
      <c r="H179" s="11">
        <f t="shared" ca="1" si="21"/>
        <v>4614.7312394309602</v>
      </c>
      <c r="I179" s="12">
        <f t="shared" ca="1" si="22"/>
        <v>55.406538534303763</v>
      </c>
    </row>
    <row r="180" spans="1:9" ht="17.399999999999999" x14ac:dyDescent="0.3">
      <c r="A180" s="8">
        <v>165</v>
      </c>
      <c r="B180" s="11">
        <f t="shared" ca="1" si="23"/>
        <v>0.10884775064882179</v>
      </c>
      <c r="C180" s="11">
        <f t="shared" ca="1" si="23"/>
        <v>0.70478071407121023</v>
      </c>
      <c r="D180" s="11">
        <f t="shared" ca="1" si="17"/>
        <v>2.8809997854016216</v>
      </c>
      <c r="E180" s="11">
        <f t="shared" ca="1" si="18"/>
        <v>23.462247243322153</v>
      </c>
      <c r="F180" s="11">
        <f t="shared" ca="1" si="19"/>
        <v>4562.2057006820578</v>
      </c>
      <c r="G180" s="11">
        <f t="shared" ca="1" si="20"/>
        <v>52.525538748902363</v>
      </c>
      <c r="H180" s="11">
        <f t="shared" ca="1" si="21"/>
        <v>4638.1934866742822</v>
      </c>
      <c r="I180" s="12">
        <f t="shared" ca="1" si="22"/>
        <v>75.987785992224417</v>
      </c>
    </row>
    <row r="181" spans="1:9" ht="17.399999999999999" x14ac:dyDescent="0.3">
      <c r="A181" s="8">
        <v>166</v>
      </c>
      <c r="B181" s="11">
        <f t="shared" ca="1" si="23"/>
        <v>0.15278199806477333</v>
      </c>
      <c r="C181" s="11">
        <f t="shared" ca="1" si="23"/>
        <v>0.26145286786546484</v>
      </c>
      <c r="D181" s="11">
        <f t="shared" ca="1" si="17"/>
        <v>4.1449309044376568</v>
      </c>
      <c r="E181" s="11">
        <f t="shared" ca="1" si="18"/>
        <v>5.8282761078023295</v>
      </c>
      <c r="F181" s="11">
        <f t="shared" ca="1" si="19"/>
        <v>4566.3506315864952</v>
      </c>
      <c r="G181" s="11">
        <f t="shared" ca="1" si="20"/>
        <v>71.842855087787029</v>
      </c>
      <c r="H181" s="11">
        <f t="shared" ca="1" si="21"/>
        <v>4644.0217627820848</v>
      </c>
      <c r="I181" s="12">
        <f t="shared" ca="1" si="22"/>
        <v>77.671131195589624</v>
      </c>
    </row>
    <row r="182" spans="1:9" ht="17.399999999999999" x14ac:dyDescent="0.3">
      <c r="A182" s="8">
        <v>167</v>
      </c>
      <c r="B182" s="11">
        <f t="shared" ca="1" si="23"/>
        <v>0.99507019988132384</v>
      </c>
      <c r="C182" s="11">
        <f t="shared" ca="1" si="23"/>
        <v>0.79841274741778379</v>
      </c>
      <c r="D182" s="11">
        <f t="shared" ca="1" si="17"/>
        <v>132.81142089071346</v>
      </c>
      <c r="E182" s="11">
        <f t="shared" ca="1" si="18"/>
        <v>30.798711077367486</v>
      </c>
      <c r="F182" s="11">
        <f t="shared" ca="1" si="19"/>
        <v>4699.1620524772088</v>
      </c>
      <c r="G182" s="11">
        <f t="shared" ca="1" si="20"/>
        <v>0</v>
      </c>
      <c r="H182" s="11">
        <f t="shared" ca="1" si="21"/>
        <v>4729.9607635545763</v>
      </c>
      <c r="I182" s="12">
        <f t="shared" ca="1" si="22"/>
        <v>30.798711077367443</v>
      </c>
    </row>
    <row r="183" spans="1:9" ht="17.399999999999999" x14ac:dyDescent="0.3">
      <c r="A183" s="8">
        <v>168</v>
      </c>
      <c r="B183" s="11">
        <f t="shared" ca="1" si="23"/>
        <v>0.56052489046848775</v>
      </c>
      <c r="C183" s="11">
        <f t="shared" ca="1" si="23"/>
        <v>7.254773692820693E-2</v>
      </c>
      <c r="D183" s="11">
        <f t="shared" ca="1" si="17"/>
        <v>20.554354926589461</v>
      </c>
      <c r="E183" s="11">
        <f t="shared" ca="1" si="18"/>
        <v>1.4483452732941668</v>
      </c>
      <c r="F183" s="11">
        <f t="shared" ca="1" si="19"/>
        <v>4719.7164074037983</v>
      </c>
      <c r="G183" s="11">
        <f t="shared" ca="1" si="20"/>
        <v>10.244356150778003</v>
      </c>
      <c r="H183" s="11">
        <f t="shared" ca="1" si="21"/>
        <v>4731.4091088278701</v>
      </c>
      <c r="I183" s="12">
        <f t="shared" ca="1" si="22"/>
        <v>11.692701424071856</v>
      </c>
    </row>
    <row r="184" spans="1:9" ht="17.399999999999999" x14ac:dyDescent="0.3">
      <c r="A184" s="8">
        <v>169</v>
      </c>
      <c r="B184" s="11">
        <f t="shared" ca="1" si="23"/>
        <v>0.72057932193394014</v>
      </c>
      <c r="C184" s="11">
        <f t="shared" ca="1" si="23"/>
        <v>0.38241809289172035</v>
      </c>
      <c r="D184" s="11">
        <f t="shared" ca="1" si="17"/>
        <v>31.875920651788093</v>
      </c>
      <c r="E184" s="11">
        <f t="shared" ca="1" si="18"/>
        <v>9.2681456958844262</v>
      </c>
      <c r="F184" s="11">
        <f t="shared" ca="1" si="19"/>
        <v>4751.5923280555862</v>
      </c>
      <c r="G184" s="11">
        <f t="shared" ca="1" si="20"/>
        <v>0</v>
      </c>
      <c r="H184" s="11">
        <f t="shared" ca="1" si="21"/>
        <v>4760.8604737514706</v>
      </c>
      <c r="I184" s="12">
        <f t="shared" ca="1" si="22"/>
        <v>9.2681456958844137</v>
      </c>
    </row>
    <row r="185" spans="1:9" ht="17.399999999999999" x14ac:dyDescent="0.3">
      <c r="A185" s="8">
        <v>170</v>
      </c>
      <c r="B185" s="11">
        <f t="shared" ca="1" si="23"/>
        <v>0.50819437277870094</v>
      </c>
      <c r="C185" s="11">
        <f t="shared" ca="1" si="23"/>
        <v>0.83051489925529143</v>
      </c>
      <c r="D185" s="11">
        <f t="shared" ca="1" si="17"/>
        <v>17.741792679314578</v>
      </c>
      <c r="E185" s="11">
        <f t="shared" ca="1" si="18"/>
        <v>34.134428023775548</v>
      </c>
      <c r="F185" s="11">
        <f t="shared" ca="1" si="19"/>
        <v>4769.3341207349004</v>
      </c>
      <c r="G185" s="11">
        <f t="shared" ca="1" si="20"/>
        <v>0</v>
      </c>
      <c r="H185" s="11">
        <f t="shared" ca="1" si="21"/>
        <v>4803.4685487586758</v>
      </c>
      <c r="I185" s="12">
        <f t="shared" ca="1" si="22"/>
        <v>34.134428023775399</v>
      </c>
    </row>
    <row r="186" spans="1:9" ht="17.399999999999999" x14ac:dyDescent="0.3">
      <c r="A186" s="8">
        <v>171</v>
      </c>
      <c r="B186" s="11">
        <f t="shared" ca="1" si="23"/>
        <v>0.63969522745057705</v>
      </c>
      <c r="C186" s="11">
        <f t="shared" ca="1" si="23"/>
        <v>0.44953210991271897</v>
      </c>
      <c r="D186" s="11">
        <f t="shared" ca="1" si="17"/>
        <v>25.520125381811415</v>
      </c>
      <c r="E186" s="11">
        <f t="shared" ca="1" si="18"/>
        <v>11.480512560654651</v>
      </c>
      <c r="F186" s="11">
        <f t="shared" ca="1" si="19"/>
        <v>4794.8542461167117</v>
      </c>
      <c r="G186" s="11">
        <f t="shared" ca="1" si="20"/>
        <v>8.6143026419640591</v>
      </c>
      <c r="H186" s="11">
        <f t="shared" ca="1" si="21"/>
        <v>4814.9490613193302</v>
      </c>
      <c r="I186" s="12">
        <f t="shared" ca="1" si="22"/>
        <v>20.09481520261852</v>
      </c>
    </row>
    <row r="187" spans="1:9" ht="17.399999999999999" x14ac:dyDescent="0.3">
      <c r="A187" s="8">
        <v>172</v>
      </c>
      <c r="B187" s="11">
        <f t="shared" ca="1" si="23"/>
        <v>0.98964439965785278</v>
      </c>
      <c r="C187" s="11">
        <f t="shared" ca="1" si="23"/>
        <v>0.55048843577356066</v>
      </c>
      <c r="D187" s="11">
        <f t="shared" ca="1" si="17"/>
        <v>114.25569524376755</v>
      </c>
      <c r="E187" s="11">
        <f t="shared" ca="1" si="18"/>
        <v>15.376801894904016</v>
      </c>
      <c r="F187" s="11">
        <f t="shared" ca="1" si="19"/>
        <v>4909.1099413604788</v>
      </c>
      <c r="G187" s="11">
        <f t="shared" ca="1" si="20"/>
        <v>0</v>
      </c>
      <c r="H187" s="11">
        <f t="shared" ca="1" si="21"/>
        <v>4924.4867432553829</v>
      </c>
      <c r="I187" s="12">
        <f t="shared" ca="1" si="22"/>
        <v>15.37680189490402</v>
      </c>
    </row>
    <row r="188" spans="1:9" ht="17.399999999999999" x14ac:dyDescent="0.3">
      <c r="A188" s="8">
        <v>173</v>
      </c>
      <c r="B188" s="11">
        <f t="shared" ca="1" si="23"/>
        <v>0.18133312098506871</v>
      </c>
      <c r="C188" s="11">
        <f t="shared" ca="1" si="23"/>
        <v>0.32479395567203673</v>
      </c>
      <c r="D188" s="11">
        <f t="shared" ca="1" si="17"/>
        <v>5.001950475004695</v>
      </c>
      <c r="E188" s="11">
        <f t="shared" ca="1" si="18"/>
        <v>7.5526419967871012</v>
      </c>
      <c r="F188" s="11">
        <f t="shared" ca="1" si="19"/>
        <v>4914.1118918354832</v>
      </c>
      <c r="G188" s="11">
        <f t="shared" ca="1" si="20"/>
        <v>10.374851419899642</v>
      </c>
      <c r="H188" s="11">
        <f t="shared" ca="1" si="21"/>
        <v>4932.0393852521702</v>
      </c>
      <c r="I188" s="12">
        <f t="shared" ca="1" si="22"/>
        <v>17.927493416686957</v>
      </c>
    </row>
    <row r="189" spans="1:9" ht="17.399999999999999" x14ac:dyDescent="0.3">
      <c r="A189" s="8">
        <v>174</v>
      </c>
      <c r="B189" s="11">
        <f t="shared" ca="1" si="23"/>
        <v>0.40371088107304731</v>
      </c>
      <c r="C189" s="11">
        <f t="shared" ca="1" si="23"/>
        <v>0.64336069331390588</v>
      </c>
      <c r="D189" s="11">
        <f t="shared" ca="1" si="17"/>
        <v>12.925740766712027</v>
      </c>
      <c r="E189" s="11">
        <f t="shared" ca="1" si="18"/>
        <v>19.827506795434214</v>
      </c>
      <c r="F189" s="11">
        <f t="shared" ca="1" si="19"/>
        <v>4927.0376326021951</v>
      </c>
      <c r="G189" s="11">
        <f t="shared" ca="1" si="20"/>
        <v>5.0017526499750602</v>
      </c>
      <c r="H189" s="11">
        <f t="shared" ca="1" si="21"/>
        <v>4951.8668920476048</v>
      </c>
      <c r="I189" s="12">
        <f t="shared" ca="1" si="22"/>
        <v>24.829259445409662</v>
      </c>
    </row>
    <row r="190" spans="1:9" ht="17.399999999999999" x14ac:dyDescent="0.3">
      <c r="A190" s="8">
        <v>175</v>
      </c>
      <c r="B190" s="11">
        <f t="shared" ca="1" si="23"/>
        <v>0.92319778751145531</v>
      </c>
      <c r="C190" s="11">
        <f t="shared" ca="1" si="23"/>
        <v>0.48806250435632537</v>
      </c>
      <c r="D190" s="11">
        <f t="shared" ca="1" si="17"/>
        <v>64.163045769971845</v>
      </c>
      <c r="E190" s="11">
        <f t="shared" ca="1" si="18"/>
        <v>12.876014234919289</v>
      </c>
      <c r="F190" s="11">
        <f t="shared" ca="1" si="19"/>
        <v>4991.2006783721672</v>
      </c>
      <c r="G190" s="11">
        <f t="shared" ca="1" si="20"/>
        <v>0</v>
      </c>
      <c r="H190" s="11">
        <f t="shared" ca="1" si="21"/>
        <v>5004.0766926070864</v>
      </c>
      <c r="I190" s="12">
        <f t="shared" ca="1" si="22"/>
        <v>12.876014234919239</v>
      </c>
    </row>
    <row r="191" spans="1:9" ht="17.399999999999999" x14ac:dyDescent="0.3">
      <c r="A191" s="8">
        <v>176</v>
      </c>
      <c r="B191" s="11">
        <f t="shared" ca="1" si="23"/>
        <v>0.83127899373480152</v>
      </c>
      <c r="C191" s="11">
        <f t="shared" ca="1" si="23"/>
        <v>0.13195451326586716</v>
      </c>
      <c r="D191" s="11">
        <f t="shared" ca="1" si="17"/>
        <v>44.48771946790221</v>
      </c>
      <c r="E191" s="11">
        <f t="shared" ca="1" si="18"/>
        <v>2.7213684927548218</v>
      </c>
      <c r="F191" s="11">
        <f t="shared" ca="1" si="19"/>
        <v>5035.6883978400692</v>
      </c>
      <c r="G191" s="11">
        <f t="shared" ca="1" si="20"/>
        <v>0</v>
      </c>
      <c r="H191" s="11">
        <f t="shared" ca="1" si="21"/>
        <v>5038.4097663328239</v>
      </c>
      <c r="I191" s="12">
        <f t="shared" ca="1" si="22"/>
        <v>2.7213684927546637</v>
      </c>
    </row>
    <row r="192" spans="1:9" ht="17.399999999999999" x14ac:dyDescent="0.3">
      <c r="A192" s="8">
        <v>177</v>
      </c>
      <c r="B192" s="11">
        <f t="shared" ca="1" si="23"/>
        <v>0.71498091705803113</v>
      </c>
      <c r="C192" s="11">
        <f t="shared" ca="1" si="23"/>
        <v>5.9495338372871132E-2</v>
      </c>
      <c r="D192" s="11">
        <f t="shared" ca="1" si="17"/>
        <v>31.379978581598344</v>
      </c>
      <c r="E192" s="11">
        <f t="shared" ca="1" si="18"/>
        <v>1.1795898790768655</v>
      </c>
      <c r="F192" s="11">
        <f t="shared" ca="1" si="19"/>
        <v>5067.0683764216674</v>
      </c>
      <c r="G192" s="11">
        <f t="shared" ca="1" si="20"/>
        <v>0</v>
      </c>
      <c r="H192" s="11">
        <f t="shared" ca="1" si="21"/>
        <v>5068.2479663007443</v>
      </c>
      <c r="I192" s="12">
        <f t="shared" ca="1" si="22"/>
        <v>1.179589879076957</v>
      </c>
    </row>
    <row r="193" spans="1:9" ht="17.399999999999999" x14ac:dyDescent="0.3">
      <c r="A193" s="8">
        <v>178</v>
      </c>
      <c r="B193" s="11">
        <f t="shared" ca="1" si="23"/>
        <v>5.8833012381695138E-2</v>
      </c>
      <c r="C193" s="11">
        <f t="shared" ca="1" si="23"/>
        <v>0.56559661021797702</v>
      </c>
      <c r="D193" s="11">
        <f t="shared" ca="1" si="17"/>
        <v>1.5158674380686419</v>
      </c>
      <c r="E193" s="11">
        <f t="shared" ca="1" si="18"/>
        <v>16.03426359667775</v>
      </c>
      <c r="F193" s="11">
        <f t="shared" ca="1" si="19"/>
        <v>5068.5842438597356</v>
      </c>
      <c r="G193" s="11">
        <f t="shared" ca="1" si="20"/>
        <v>0</v>
      </c>
      <c r="H193" s="11">
        <f t="shared" ca="1" si="21"/>
        <v>5084.6185074564137</v>
      </c>
      <c r="I193" s="12">
        <f t="shared" ca="1" si="22"/>
        <v>16.034263596678102</v>
      </c>
    </row>
    <row r="194" spans="1:9" ht="17.399999999999999" x14ac:dyDescent="0.3">
      <c r="A194" s="8">
        <v>179</v>
      </c>
      <c r="B194" s="11">
        <f t="shared" ca="1" si="23"/>
        <v>0.92644593744432868</v>
      </c>
      <c r="C194" s="11">
        <f t="shared" ca="1" si="23"/>
        <v>0.4957685080271147</v>
      </c>
      <c r="D194" s="11">
        <f t="shared" ca="1" si="17"/>
        <v>65.243364954221363</v>
      </c>
      <c r="E194" s="11">
        <f t="shared" ca="1" si="18"/>
        <v>13.167688594058928</v>
      </c>
      <c r="F194" s="11">
        <f t="shared" ca="1" si="19"/>
        <v>5133.8276088139573</v>
      </c>
      <c r="G194" s="11">
        <f t="shared" ca="1" si="20"/>
        <v>0</v>
      </c>
      <c r="H194" s="11">
        <f t="shared" ca="1" si="21"/>
        <v>5146.9952974080161</v>
      </c>
      <c r="I194" s="12">
        <f t="shared" ca="1" si="22"/>
        <v>13.167688594058745</v>
      </c>
    </row>
    <row r="195" spans="1:9" ht="17.399999999999999" x14ac:dyDescent="0.3">
      <c r="A195" s="8">
        <v>180</v>
      </c>
      <c r="B195" s="11">
        <f t="shared" ca="1" si="23"/>
        <v>9.7239687877558212E-2</v>
      </c>
      <c r="C195" s="11">
        <f t="shared" ca="1" si="23"/>
        <v>0.50162182636781349</v>
      </c>
      <c r="D195" s="11">
        <f t="shared" ca="1" si="17"/>
        <v>2.5574548969907527</v>
      </c>
      <c r="E195" s="11">
        <f t="shared" ca="1" si="18"/>
        <v>13.39223279501249</v>
      </c>
      <c r="F195" s="11">
        <f t="shared" ca="1" si="19"/>
        <v>5136.3850637109481</v>
      </c>
      <c r="G195" s="11">
        <f t="shared" ca="1" si="20"/>
        <v>10.610233697067997</v>
      </c>
      <c r="H195" s="11">
        <f t="shared" ca="1" si="21"/>
        <v>5160.3875302030283</v>
      </c>
      <c r="I195" s="12">
        <f t="shared" ca="1" si="22"/>
        <v>24.002466492080202</v>
      </c>
    </row>
    <row r="196" spans="1:9" ht="17.399999999999999" x14ac:dyDescent="0.3">
      <c r="A196" s="8">
        <v>181</v>
      </c>
      <c r="B196" s="11">
        <f t="shared" ca="1" si="23"/>
        <v>0.29222266748328962</v>
      </c>
      <c r="C196" s="11">
        <f t="shared" ca="1" si="23"/>
        <v>0.42219186428966282</v>
      </c>
      <c r="D196" s="11">
        <f t="shared" ca="1" si="17"/>
        <v>8.6406434212403678</v>
      </c>
      <c r="E196" s="11">
        <f t="shared" ca="1" si="18"/>
        <v>10.548334818337825</v>
      </c>
      <c r="F196" s="11">
        <f t="shared" ca="1" si="19"/>
        <v>5145.0257071321885</v>
      </c>
      <c r="G196" s="11">
        <f t="shared" ca="1" si="20"/>
        <v>15.361823070839819</v>
      </c>
      <c r="H196" s="11">
        <f t="shared" ca="1" si="21"/>
        <v>5170.9358650213662</v>
      </c>
      <c r="I196" s="12">
        <f t="shared" ca="1" si="22"/>
        <v>25.910157889177754</v>
      </c>
    </row>
    <row r="197" spans="1:9" ht="17.399999999999999" x14ac:dyDescent="0.3">
      <c r="A197" s="8">
        <v>182</v>
      </c>
      <c r="B197" s="11">
        <f t="shared" ca="1" si="23"/>
        <v>0.64803523391170492</v>
      </c>
      <c r="C197" s="11">
        <f t="shared" ca="1" si="23"/>
        <v>0.45496804903862387</v>
      </c>
      <c r="D197" s="11">
        <f t="shared" ca="1" si="17"/>
        <v>26.105605118352095</v>
      </c>
      <c r="E197" s="11">
        <f t="shared" ca="1" si="18"/>
        <v>11.671362700386602</v>
      </c>
      <c r="F197" s="11">
        <f t="shared" ca="1" si="19"/>
        <v>5171.1313122505408</v>
      </c>
      <c r="G197" s="11">
        <f t="shared" ca="1" si="20"/>
        <v>0</v>
      </c>
      <c r="H197" s="11">
        <f t="shared" ca="1" si="21"/>
        <v>5182.8026749509272</v>
      </c>
      <c r="I197" s="12">
        <f t="shared" ca="1" si="22"/>
        <v>11.671362700386453</v>
      </c>
    </row>
    <row r="198" spans="1:9" ht="17.399999999999999" x14ac:dyDescent="0.3">
      <c r="A198" s="8">
        <v>183</v>
      </c>
      <c r="B198" s="11">
        <f t="shared" ca="1" si="23"/>
        <v>0.81635272037502904</v>
      </c>
      <c r="C198" s="11">
        <f t="shared" ca="1" si="23"/>
        <v>5.0193564860964379E-2</v>
      </c>
      <c r="D198" s="11">
        <f t="shared" ca="1" si="17"/>
        <v>42.368457991240874</v>
      </c>
      <c r="E198" s="11">
        <f t="shared" ca="1" si="18"/>
        <v>0.99032822371411044</v>
      </c>
      <c r="F198" s="11">
        <f t="shared" ca="1" si="19"/>
        <v>5213.4997702417813</v>
      </c>
      <c r="G198" s="11">
        <f t="shared" ca="1" si="20"/>
        <v>0</v>
      </c>
      <c r="H198" s="11">
        <f t="shared" ca="1" si="21"/>
        <v>5214.4900984654951</v>
      </c>
      <c r="I198" s="12">
        <f t="shared" ca="1" si="22"/>
        <v>0.99032822371373186</v>
      </c>
    </row>
    <row r="199" spans="1:9" ht="17.399999999999999" x14ac:dyDescent="0.3">
      <c r="A199" s="8">
        <v>184</v>
      </c>
      <c r="B199" s="11">
        <f t="shared" ca="1" si="23"/>
        <v>0.87163272088348953</v>
      </c>
      <c r="C199" s="11">
        <f t="shared" ca="1" si="23"/>
        <v>0.73723933375513084</v>
      </c>
      <c r="D199" s="11">
        <f t="shared" ca="1" si="17"/>
        <v>51.321493893589157</v>
      </c>
      <c r="E199" s="11">
        <f t="shared" ca="1" si="18"/>
        <v>25.702147603784681</v>
      </c>
      <c r="F199" s="11">
        <f t="shared" ca="1" si="19"/>
        <v>5264.8212641353703</v>
      </c>
      <c r="G199" s="11">
        <f t="shared" ca="1" si="20"/>
        <v>0</v>
      </c>
      <c r="H199" s="11">
        <f t="shared" ca="1" si="21"/>
        <v>5290.5234117391547</v>
      </c>
      <c r="I199" s="12">
        <f t="shared" ca="1" si="22"/>
        <v>25.702147603784397</v>
      </c>
    </row>
    <row r="200" spans="1:9" ht="17.399999999999999" x14ac:dyDescent="0.3">
      <c r="A200" s="8">
        <v>185</v>
      </c>
      <c r="B200" s="11">
        <f t="shared" ca="1" si="23"/>
        <v>4.0584660903783987E-2</v>
      </c>
      <c r="C200" s="11">
        <f t="shared" ca="1" si="23"/>
        <v>0.82889102397815739</v>
      </c>
      <c r="D200" s="11">
        <f t="shared" ca="1" si="17"/>
        <v>1.0357800456030655</v>
      </c>
      <c r="E200" s="11">
        <f t="shared" ca="1" si="18"/>
        <v>33.95105074582608</v>
      </c>
      <c r="F200" s="11">
        <f t="shared" ca="1" si="19"/>
        <v>5265.8570441809734</v>
      </c>
      <c r="G200" s="11">
        <f t="shared" ca="1" si="20"/>
        <v>24.666367558181264</v>
      </c>
      <c r="H200" s="11">
        <f t="shared" ca="1" si="21"/>
        <v>5324.4744624849809</v>
      </c>
      <c r="I200" s="12">
        <f t="shared" ca="1" si="22"/>
        <v>58.617418304007515</v>
      </c>
    </row>
    <row r="201" spans="1:9" ht="17.399999999999999" x14ac:dyDescent="0.3">
      <c r="A201" s="8">
        <v>186</v>
      </c>
      <c r="B201" s="11">
        <f t="shared" ca="1" si="23"/>
        <v>5.1433033640353565E-2</v>
      </c>
      <c r="C201" s="11">
        <f t="shared" ca="1" si="23"/>
        <v>0.53550694740084481</v>
      </c>
      <c r="D201" s="11">
        <f t="shared" ca="1" si="17"/>
        <v>1.3200722429240586</v>
      </c>
      <c r="E201" s="11">
        <f t="shared" ca="1" si="18"/>
        <v>14.746320722491918</v>
      </c>
      <c r="F201" s="11">
        <f t="shared" ca="1" si="19"/>
        <v>5267.1771164238971</v>
      </c>
      <c r="G201" s="11">
        <f t="shared" ca="1" si="20"/>
        <v>57.297346061083772</v>
      </c>
      <c r="H201" s="11">
        <f t="shared" ca="1" si="21"/>
        <v>5339.2207832074728</v>
      </c>
      <c r="I201" s="12">
        <f t="shared" ca="1" si="22"/>
        <v>72.043666783575645</v>
      </c>
    </row>
    <row r="202" spans="1:9" ht="17.399999999999999" x14ac:dyDescent="0.3">
      <c r="A202" s="8">
        <v>187</v>
      </c>
      <c r="B202" s="11">
        <f t="shared" ca="1" si="23"/>
        <v>0.22497212252032228</v>
      </c>
      <c r="C202" s="11">
        <f t="shared" ca="1" si="23"/>
        <v>0.13579171203747176</v>
      </c>
      <c r="D202" s="11">
        <f t="shared" ca="1" si="17"/>
        <v>6.3714069833552296</v>
      </c>
      <c r="E202" s="11">
        <f t="shared" ca="1" si="18"/>
        <v>2.806566638481776</v>
      </c>
      <c r="F202" s="11">
        <f t="shared" ca="1" si="19"/>
        <v>5273.5485234072521</v>
      </c>
      <c r="G202" s="11">
        <f t="shared" ca="1" si="20"/>
        <v>65.672259800220672</v>
      </c>
      <c r="H202" s="11">
        <f t="shared" ca="1" si="21"/>
        <v>5342.0273498459546</v>
      </c>
      <c r="I202" s="12">
        <f t="shared" ca="1" si="22"/>
        <v>68.478826438702527</v>
      </c>
    </row>
    <row r="203" spans="1:9" ht="17.399999999999999" x14ac:dyDescent="0.3">
      <c r="A203" s="8">
        <v>188</v>
      </c>
      <c r="B203" s="11">
        <f t="shared" ca="1" si="23"/>
        <v>0.85722210368957985</v>
      </c>
      <c r="C203" s="11">
        <f t="shared" ca="1" si="23"/>
        <v>0.82572517299690684</v>
      </c>
      <c r="D203" s="11">
        <f t="shared" ca="1" si="17"/>
        <v>48.66162571999169</v>
      </c>
      <c r="E203" s="11">
        <f t="shared" ca="1" si="18"/>
        <v>33.598495389930676</v>
      </c>
      <c r="F203" s="11">
        <f t="shared" ca="1" si="19"/>
        <v>5322.2101491272442</v>
      </c>
      <c r="G203" s="11">
        <f t="shared" ca="1" si="20"/>
        <v>19.81720071871041</v>
      </c>
      <c r="H203" s="11">
        <f t="shared" ca="1" si="21"/>
        <v>5375.6258452358852</v>
      </c>
      <c r="I203" s="12">
        <f t="shared" ca="1" si="22"/>
        <v>53.415696108640986</v>
      </c>
    </row>
    <row r="204" spans="1:9" ht="17.399999999999999" x14ac:dyDescent="0.3">
      <c r="A204" s="8">
        <v>189</v>
      </c>
      <c r="B204" s="11">
        <f t="shared" ca="1" si="23"/>
        <v>0.49609950809901671</v>
      </c>
      <c r="C204" s="11">
        <f t="shared" ca="1" si="23"/>
        <v>0.14824428909497411</v>
      </c>
      <c r="D204" s="11">
        <f t="shared" ca="1" si="17"/>
        <v>17.134411677708965</v>
      </c>
      <c r="E204" s="11">
        <f t="shared" ca="1" si="18"/>
        <v>3.0856830299224076</v>
      </c>
      <c r="F204" s="11">
        <f t="shared" ca="1" si="19"/>
        <v>5339.3445608049533</v>
      </c>
      <c r="G204" s="11">
        <f t="shared" ca="1" si="20"/>
        <v>36.281284430931919</v>
      </c>
      <c r="H204" s="11">
        <f t="shared" ca="1" si="21"/>
        <v>5378.7115282658078</v>
      </c>
      <c r="I204" s="12">
        <f t="shared" ca="1" si="22"/>
        <v>39.366967460854539</v>
      </c>
    </row>
    <row r="205" spans="1:9" ht="17.399999999999999" x14ac:dyDescent="0.3">
      <c r="A205" s="8">
        <v>190</v>
      </c>
      <c r="B205" s="11">
        <f t="shared" ca="1" si="23"/>
        <v>0.24816573171802037</v>
      </c>
      <c r="C205" s="11">
        <f t="shared" ca="1" si="23"/>
        <v>5.3644019663331433E-2</v>
      </c>
      <c r="D205" s="11">
        <f t="shared" ca="1" si="17"/>
        <v>7.1309841811045898</v>
      </c>
      <c r="E205" s="11">
        <f t="shared" ca="1" si="18"/>
        <v>1.0603169258895691</v>
      </c>
      <c r="F205" s="11">
        <f t="shared" ca="1" si="19"/>
        <v>5346.4755449860577</v>
      </c>
      <c r="G205" s="11">
        <f t="shared" ca="1" si="20"/>
        <v>32.235983279750144</v>
      </c>
      <c r="H205" s="11">
        <f t="shared" ca="1" si="21"/>
        <v>5379.7718451916971</v>
      </c>
      <c r="I205" s="12">
        <f t="shared" ca="1" si="22"/>
        <v>33.296300205639454</v>
      </c>
    </row>
    <row r="206" spans="1:9" ht="17.399999999999999" x14ac:dyDescent="0.3">
      <c r="A206" s="8">
        <v>191</v>
      </c>
      <c r="B206" s="11">
        <f t="shared" ca="1" si="23"/>
        <v>0.93949870802563684</v>
      </c>
      <c r="C206" s="11">
        <f t="shared" ca="1" si="23"/>
        <v>7.1316115392163315E-2</v>
      </c>
      <c r="D206" s="11">
        <f t="shared" ca="1" si="17"/>
        <v>70.12726398063009</v>
      </c>
      <c r="E206" s="11">
        <f t="shared" ca="1" si="18"/>
        <v>1.4228244804956707</v>
      </c>
      <c r="F206" s="11">
        <f t="shared" ca="1" si="19"/>
        <v>5416.6028089666879</v>
      </c>
      <c r="G206" s="11">
        <f t="shared" ca="1" si="20"/>
        <v>0</v>
      </c>
      <c r="H206" s="11">
        <f t="shared" ca="1" si="21"/>
        <v>5418.0256334471833</v>
      </c>
      <c r="I206" s="12">
        <f t="shared" ca="1" si="22"/>
        <v>1.4228244804953647</v>
      </c>
    </row>
    <row r="207" spans="1:9" ht="17.399999999999999" x14ac:dyDescent="0.3">
      <c r="A207" s="8">
        <v>192</v>
      </c>
      <c r="B207" s="11">
        <f t="shared" ca="1" si="23"/>
        <v>0.75838513008248387</v>
      </c>
      <c r="C207" s="11">
        <f t="shared" ca="1" si="23"/>
        <v>0.12404205245895095</v>
      </c>
      <c r="D207" s="11">
        <f t="shared" ca="1" si="17"/>
        <v>35.51025667859048</v>
      </c>
      <c r="E207" s="11">
        <f t="shared" ca="1" si="18"/>
        <v>2.5468691209260301</v>
      </c>
      <c r="F207" s="11">
        <f t="shared" ca="1" si="19"/>
        <v>5452.1130656452788</v>
      </c>
      <c r="G207" s="11">
        <f t="shared" ca="1" si="20"/>
        <v>0</v>
      </c>
      <c r="H207" s="11">
        <f t="shared" ca="1" si="21"/>
        <v>5454.659934766205</v>
      </c>
      <c r="I207" s="12">
        <f t="shared" ca="1" si="22"/>
        <v>2.5468691209262033</v>
      </c>
    </row>
    <row r="208" spans="1:9" ht="17.399999999999999" x14ac:dyDescent="0.3">
      <c r="A208" s="8">
        <v>193</v>
      </c>
      <c r="B208" s="11">
        <f t="shared" ca="1" si="23"/>
        <v>0.68246777776972012</v>
      </c>
      <c r="C208" s="11">
        <f t="shared" ca="1" si="23"/>
        <v>0.81522682581631944</v>
      </c>
      <c r="D208" s="11">
        <f t="shared" ca="1" si="17"/>
        <v>28.679399461485456</v>
      </c>
      <c r="E208" s="11">
        <f t="shared" ca="1" si="18"/>
        <v>32.473582531830786</v>
      </c>
      <c r="F208" s="11">
        <f t="shared" ca="1" si="19"/>
        <v>5480.7924651067642</v>
      </c>
      <c r="G208" s="11">
        <f t="shared" ca="1" si="20"/>
        <v>0</v>
      </c>
      <c r="H208" s="11">
        <f t="shared" ca="1" si="21"/>
        <v>5513.2660476385954</v>
      </c>
      <c r="I208" s="12">
        <f t="shared" ca="1" si="22"/>
        <v>32.473582531831198</v>
      </c>
    </row>
    <row r="209" spans="1:9" ht="17.399999999999999" x14ac:dyDescent="0.3">
      <c r="A209" s="8">
        <v>194</v>
      </c>
      <c r="B209" s="11">
        <f t="shared" ca="1" si="23"/>
        <v>6.3696633485271104E-2</v>
      </c>
      <c r="C209" s="11">
        <f t="shared" ca="1" si="23"/>
        <v>0.75388513652252964</v>
      </c>
      <c r="D209" s="11">
        <f t="shared" ca="1" si="17"/>
        <v>1.6453936373101936</v>
      </c>
      <c r="E209" s="11">
        <f t="shared" ca="1" si="18"/>
        <v>26.960710140769795</v>
      </c>
      <c r="F209" s="11">
        <f t="shared" ca="1" si="19"/>
        <v>5482.4378587440742</v>
      </c>
      <c r="G209" s="11">
        <f t="shared" ca="1" si="20"/>
        <v>30.82818889452119</v>
      </c>
      <c r="H209" s="11">
        <f t="shared" ca="1" si="21"/>
        <v>5540.2267577793655</v>
      </c>
      <c r="I209" s="12">
        <f t="shared" ca="1" si="22"/>
        <v>57.788899035291251</v>
      </c>
    </row>
    <row r="210" spans="1:9" ht="17.399999999999999" x14ac:dyDescent="0.3">
      <c r="A210" s="8">
        <v>195</v>
      </c>
      <c r="B210" s="11">
        <f t="shared" ca="1" si="23"/>
        <v>0.34171392850355975</v>
      </c>
      <c r="C210" s="11">
        <f t="shared" ca="1" si="23"/>
        <v>2.9200307076437837E-2</v>
      </c>
      <c r="D210" s="11">
        <f t="shared" ref="D210:D215" ca="1" si="24">(1/$F$2)*LN(1/(1-B210))</f>
        <v>10.452892075601222</v>
      </c>
      <c r="E210" s="11">
        <f t="shared" ref="E210:E215" ca="1" si="25">(1/$J$2)*LN(1/(1-C210))</f>
        <v>0.5699061815867601</v>
      </c>
      <c r="F210" s="11">
        <f t="shared" ref="F210:F215" ca="1" si="26">F209+D210</f>
        <v>5492.8907508196753</v>
      </c>
      <c r="G210" s="11">
        <f t="shared" ref="G210:G215" ca="1" si="27">IF(F210&lt;H209,H209-F210,0)</f>
        <v>47.336006959690167</v>
      </c>
      <c r="H210" s="11">
        <f t="shared" ref="H210:H215" ca="1" si="28">F210+G210+E210</f>
        <v>5540.7966639609522</v>
      </c>
      <c r="I210" s="12">
        <f t="shared" ref="I210:I215" ca="1" si="29">H210-F210</f>
        <v>47.905913141276869</v>
      </c>
    </row>
    <row r="211" spans="1:9" ht="17.399999999999999" x14ac:dyDescent="0.3">
      <c r="A211" s="8">
        <v>196</v>
      </c>
      <c r="B211" s="11">
        <f t="shared" ca="1" si="23"/>
        <v>2.9080592582509834E-2</v>
      </c>
      <c r="C211" s="11">
        <f t="shared" ca="1" si="23"/>
        <v>0.85790973564647077</v>
      </c>
      <c r="D211" s="11">
        <f t="shared" ca="1" si="24"/>
        <v>0.73779534263770319</v>
      </c>
      <c r="E211" s="11">
        <f t="shared" ca="1" si="25"/>
        <v>37.524860747470768</v>
      </c>
      <c r="F211" s="11">
        <f t="shared" ca="1" si="26"/>
        <v>5493.6285461623129</v>
      </c>
      <c r="G211" s="11">
        <f t="shared" ca="1" si="27"/>
        <v>47.168117798639287</v>
      </c>
      <c r="H211" s="11">
        <f t="shared" ca="1" si="28"/>
        <v>5578.3215247084227</v>
      </c>
      <c r="I211" s="12">
        <f t="shared" ca="1" si="29"/>
        <v>84.692978546109771</v>
      </c>
    </row>
    <row r="212" spans="1:9" ht="17.399999999999999" x14ac:dyDescent="0.3">
      <c r="A212" s="8">
        <v>197</v>
      </c>
      <c r="B212" s="11">
        <f t="shared" ca="1" si="23"/>
        <v>0.66581315987317391</v>
      </c>
      <c r="C212" s="11">
        <f t="shared" ca="1" si="23"/>
        <v>0.49379261453204548</v>
      </c>
      <c r="D212" s="11">
        <f t="shared" ca="1" si="24"/>
        <v>27.401376020871215</v>
      </c>
      <c r="E212" s="11">
        <f t="shared" ca="1" si="25"/>
        <v>13.09247771072849</v>
      </c>
      <c r="F212" s="11">
        <f t="shared" ca="1" si="26"/>
        <v>5521.0299221831838</v>
      </c>
      <c r="G212" s="11">
        <f t="shared" ca="1" si="27"/>
        <v>57.291602525238886</v>
      </c>
      <c r="H212" s="11">
        <f t="shared" ca="1" si="28"/>
        <v>5591.4140024191511</v>
      </c>
      <c r="I212" s="12">
        <f t="shared" ca="1" si="29"/>
        <v>70.384080235967303</v>
      </c>
    </row>
    <row r="213" spans="1:9" ht="17.399999999999999" x14ac:dyDescent="0.3">
      <c r="A213" s="8">
        <v>198</v>
      </c>
      <c r="B213" s="11">
        <f t="shared" ca="1" si="23"/>
        <v>0.11348915611019961</v>
      </c>
      <c r="C213" s="11">
        <f t="shared" ca="1" si="23"/>
        <v>0.60568501522223039</v>
      </c>
      <c r="D213" s="11">
        <f t="shared" ca="1" si="24"/>
        <v>3.0115480323122488</v>
      </c>
      <c r="E213" s="11">
        <f t="shared" ca="1" si="25"/>
        <v>17.89625452550872</v>
      </c>
      <c r="F213" s="11">
        <f t="shared" ca="1" si="26"/>
        <v>5524.0414702154958</v>
      </c>
      <c r="G213" s="11">
        <f t="shared" ca="1" si="27"/>
        <v>67.372532203655283</v>
      </c>
      <c r="H213" s="11">
        <f t="shared" ca="1" si="28"/>
        <v>5609.3102569446601</v>
      </c>
      <c r="I213" s="12">
        <f t="shared" ca="1" si="29"/>
        <v>85.268786729164276</v>
      </c>
    </row>
    <row r="214" spans="1:9" ht="17.399999999999999" x14ac:dyDescent="0.3">
      <c r="A214" s="8">
        <v>199</v>
      </c>
      <c r="B214" s="11">
        <f t="shared" ca="1" si="23"/>
        <v>0.93364767065828635</v>
      </c>
      <c r="C214" s="11">
        <f t="shared" ca="1" si="23"/>
        <v>0.80684697739938394</v>
      </c>
      <c r="D214" s="11">
        <f t="shared" ca="1" si="24"/>
        <v>67.819410298418802</v>
      </c>
      <c r="E214" s="11">
        <f t="shared" ca="1" si="25"/>
        <v>31.620625788685047</v>
      </c>
      <c r="F214" s="11">
        <f t="shared" ca="1" si="26"/>
        <v>5591.8608805139147</v>
      </c>
      <c r="G214" s="11">
        <f t="shared" ca="1" si="27"/>
        <v>17.44937643074536</v>
      </c>
      <c r="H214" s="11">
        <f t="shared" ca="1" si="28"/>
        <v>5640.9308827333452</v>
      </c>
      <c r="I214" s="12">
        <f t="shared" ca="1" si="29"/>
        <v>49.070002219430535</v>
      </c>
    </row>
    <row r="215" spans="1:9" ht="17.399999999999999" x14ac:dyDescent="0.3">
      <c r="A215" s="8">
        <v>200</v>
      </c>
      <c r="B215" s="11">
        <f t="shared" ca="1" si="23"/>
        <v>0.78397683616364555</v>
      </c>
      <c r="C215" s="11">
        <f t="shared" ca="1" si="23"/>
        <v>0.68697925808122062</v>
      </c>
      <c r="D215" s="11">
        <f t="shared" ca="1" si="24"/>
        <v>38.309240926616141</v>
      </c>
      <c r="E215" s="11">
        <f t="shared" ca="1" si="25"/>
        <v>22.336265817817342</v>
      </c>
      <c r="F215" s="11">
        <f t="shared" ca="1" si="26"/>
        <v>5630.1701214405311</v>
      </c>
      <c r="G215" s="11">
        <f t="shared" ca="1" si="27"/>
        <v>10.760761292814095</v>
      </c>
      <c r="H215" s="11">
        <f t="shared" ca="1" si="28"/>
        <v>5663.2671485511628</v>
      </c>
      <c r="I215" s="12">
        <f t="shared" ca="1" si="29"/>
        <v>33.097027110631643</v>
      </c>
    </row>
    <row r="216" spans="1:9" ht="27.6" x14ac:dyDescent="0.3">
      <c r="D216" s="13" t="s">
        <v>24</v>
      </c>
      <c r="E216" s="13" t="s">
        <v>25</v>
      </c>
      <c r="G216" s="13" t="s">
        <v>28</v>
      </c>
      <c r="I216" s="13" t="s">
        <v>30</v>
      </c>
    </row>
    <row r="217" spans="1:9" x14ac:dyDescent="0.3">
      <c r="D217" s="11">
        <f ca="1">AVERAGE(D16:D215)</f>
        <v>28.150850607202656</v>
      </c>
      <c r="E217" s="11">
        <f ca="1">AVERAGE(E16:E215)</f>
        <v>18.31838314954615</v>
      </c>
      <c r="G217" s="11">
        <f ca="1">AVERAGE(G16:G215)</f>
        <v>45.023716977955758</v>
      </c>
      <c r="I217" s="14">
        <f ca="1">AVERAGE(I16:I215)</f>
        <v>63.342100127501929</v>
      </c>
    </row>
    <row r="218" spans="1:9" ht="41.4" x14ac:dyDescent="0.3">
      <c r="D218" s="13" t="s">
        <v>26</v>
      </c>
      <c r="E218" s="13" t="s">
        <v>27</v>
      </c>
      <c r="G218" s="13" t="s">
        <v>29</v>
      </c>
      <c r="I218" s="13" t="s">
        <v>31</v>
      </c>
    </row>
    <row r="219" spans="1:9" x14ac:dyDescent="0.3">
      <c r="D219" s="11">
        <f ca="1">1/D217</f>
        <v>3.5522905291683823E-2</v>
      </c>
      <c r="E219" s="11">
        <f ca="1">1/E217</f>
        <v>5.4589970732475679E-2</v>
      </c>
      <c r="G219" s="11">
        <f ca="1">SUM(G16:G215)/H215</f>
        <v>1.5900262444611748</v>
      </c>
      <c r="I219" s="11">
        <f ca="1">SUM(I16:I215)/H215</f>
        <v>2.2369455109920704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8</xdr:col>
                <xdr:colOff>586740</xdr:colOff>
                <xdr:row>10</xdr:row>
                <xdr:rowOff>114300</xdr:rowOff>
              </from>
              <to>
                <xdr:col>9</xdr:col>
                <xdr:colOff>312420</xdr:colOff>
                <xdr:row>12</xdr:row>
                <xdr:rowOff>7620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P206"/>
  <sheetViews>
    <sheetView zoomScale="70" zoomScaleNormal="70" workbookViewId="0"/>
  </sheetViews>
  <sheetFormatPr defaultRowHeight="14.4" x14ac:dyDescent="0.3"/>
  <cols>
    <col min="2" max="2" width="13.5546875" customWidth="1"/>
    <col min="4" max="5" width="11.5546875" bestFit="1" customWidth="1"/>
    <col min="7" max="7" width="13.109375" customWidth="1"/>
  </cols>
  <sheetData>
    <row r="1" spans="1:16" ht="72" x14ac:dyDescent="0.3">
      <c r="C1" s="15" t="s">
        <v>36</v>
      </c>
      <c r="J1" s="2" t="s">
        <v>1</v>
      </c>
      <c r="K1" s="3" t="s">
        <v>2</v>
      </c>
      <c r="L1" s="4">
        <v>0.04</v>
      </c>
      <c r="N1" s="5" t="s">
        <v>3</v>
      </c>
      <c r="O1" s="6" t="s">
        <v>4</v>
      </c>
      <c r="P1" s="42">
        <v>5.2000000000000005E-2</v>
      </c>
    </row>
    <row r="3" spans="1:16" ht="19.8" x14ac:dyDescent="0.3">
      <c r="A3" s="8" t="s">
        <v>19</v>
      </c>
      <c r="B3" s="10" t="s">
        <v>32</v>
      </c>
      <c r="D3" s="12" t="s">
        <v>33</v>
      </c>
      <c r="E3" s="12" t="s">
        <v>34</v>
      </c>
    </row>
    <row r="4" spans="1:16" ht="17.399999999999999" x14ac:dyDescent="0.3">
      <c r="A4" s="8">
        <v>1</v>
      </c>
      <c r="B4" s="12">
        <v>7.0260935612061637</v>
      </c>
      <c r="D4" s="12">
        <f>MAX(B4:B203)</f>
        <v>260.68718582066049</v>
      </c>
      <c r="E4" s="12">
        <f>MIN(B4:B203)</f>
        <v>0.15488562642144643</v>
      </c>
    </row>
    <row r="5" spans="1:16" ht="17.399999999999999" x14ac:dyDescent="0.3">
      <c r="A5" s="8">
        <v>2</v>
      </c>
      <c r="B5" s="12">
        <v>23.137061738461739</v>
      </c>
    </row>
    <row r="6" spans="1:16" ht="17.399999999999999" x14ac:dyDescent="0.3">
      <c r="A6" s="8">
        <v>3</v>
      </c>
      <c r="B6" s="12">
        <v>37.038477415484451</v>
      </c>
      <c r="D6" s="12" t="s">
        <v>35</v>
      </c>
      <c r="F6" s="39" t="s">
        <v>37</v>
      </c>
      <c r="G6" s="39" t="s">
        <v>39</v>
      </c>
    </row>
    <row r="7" spans="1:16" ht="17.399999999999999" x14ac:dyDescent="0.3">
      <c r="A7" s="8">
        <v>4</v>
      </c>
      <c r="B7" s="12">
        <v>36.368455956802336</v>
      </c>
      <c r="D7" s="12">
        <v>0</v>
      </c>
      <c r="F7" s="40">
        <v>0</v>
      </c>
      <c r="G7" s="41">
        <v>0</v>
      </c>
    </row>
    <row r="8" spans="1:16" ht="17.399999999999999" x14ac:dyDescent="0.3">
      <c r="A8" s="8">
        <v>5</v>
      </c>
      <c r="B8" s="12">
        <v>17.332294441785791</v>
      </c>
      <c r="D8" s="12">
        <v>10</v>
      </c>
      <c r="F8" s="40">
        <v>10</v>
      </c>
      <c r="G8" s="41">
        <v>23</v>
      </c>
    </row>
    <row r="9" spans="1:16" ht="17.399999999999999" x14ac:dyDescent="0.3">
      <c r="A9" s="8">
        <v>6</v>
      </c>
      <c r="B9" s="12">
        <v>12.717740530666575</v>
      </c>
      <c r="D9" s="12">
        <v>20</v>
      </c>
      <c r="F9" s="40">
        <v>20</v>
      </c>
      <c r="G9" s="41">
        <v>25</v>
      </c>
    </row>
    <row r="10" spans="1:16" ht="17.399999999999999" x14ac:dyDescent="0.3">
      <c r="A10" s="8">
        <v>7</v>
      </c>
      <c r="B10" s="12">
        <v>46.216404908077493</v>
      </c>
      <c r="D10" s="12">
        <v>30</v>
      </c>
      <c r="F10" s="40">
        <v>30</v>
      </c>
      <c r="G10" s="41">
        <v>16</v>
      </c>
    </row>
    <row r="11" spans="1:16" ht="17.399999999999999" x14ac:dyDescent="0.3">
      <c r="A11" s="8">
        <v>8</v>
      </c>
      <c r="B11" s="12">
        <v>46.867318466216773</v>
      </c>
      <c r="D11" s="12">
        <v>40</v>
      </c>
      <c r="F11" s="40">
        <v>40</v>
      </c>
      <c r="G11" s="41">
        <v>19</v>
      </c>
    </row>
    <row r="12" spans="1:16" ht="17.399999999999999" x14ac:dyDescent="0.3">
      <c r="A12" s="8">
        <v>9</v>
      </c>
      <c r="B12" s="12">
        <v>78.519255307545137</v>
      </c>
      <c r="D12" s="12">
        <v>50</v>
      </c>
      <c r="F12" s="40">
        <v>50</v>
      </c>
      <c r="G12" s="41">
        <v>23</v>
      </c>
    </row>
    <row r="13" spans="1:16" ht="17.399999999999999" x14ac:dyDescent="0.3">
      <c r="A13" s="8">
        <v>10</v>
      </c>
      <c r="B13" s="12">
        <v>76.681267222261681</v>
      </c>
      <c r="D13" s="12">
        <v>60</v>
      </c>
      <c r="F13" s="40">
        <v>60</v>
      </c>
      <c r="G13" s="41">
        <v>19</v>
      </c>
    </row>
    <row r="14" spans="1:16" ht="17.399999999999999" x14ac:dyDescent="0.3">
      <c r="A14" s="8">
        <v>11</v>
      </c>
      <c r="B14" s="12">
        <v>89.742577239897457</v>
      </c>
      <c r="D14" s="12">
        <v>70</v>
      </c>
      <c r="F14" s="40">
        <v>70</v>
      </c>
      <c r="G14" s="41">
        <v>21</v>
      </c>
    </row>
    <row r="15" spans="1:16" ht="17.399999999999999" x14ac:dyDescent="0.3">
      <c r="A15" s="8">
        <v>12</v>
      </c>
      <c r="B15" s="12">
        <v>87.796021071937162</v>
      </c>
      <c r="D15" s="12">
        <v>80</v>
      </c>
      <c r="F15" s="40">
        <v>80</v>
      </c>
      <c r="G15" s="41">
        <v>15</v>
      </c>
    </row>
    <row r="16" spans="1:16" ht="17.399999999999999" x14ac:dyDescent="0.3">
      <c r="A16" s="8">
        <v>13</v>
      </c>
      <c r="B16" s="12">
        <v>102.28929576047562</v>
      </c>
      <c r="D16" s="12">
        <v>90</v>
      </c>
      <c r="F16" s="40">
        <v>90</v>
      </c>
      <c r="G16" s="41">
        <v>12</v>
      </c>
    </row>
    <row r="17" spans="1:7" ht="17.399999999999999" x14ac:dyDescent="0.3">
      <c r="A17" s="8">
        <v>14</v>
      </c>
      <c r="B17" s="12">
        <v>11.661960989369049</v>
      </c>
      <c r="D17" s="12">
        <v>100</v>
      </c>
      <c r="F17" s="40">
        <v>100</v>
      </c>
      <c r="G17" s="41">
        <v>4</v>
      </c>
    </row>
    <row r="18" spans="1:7" ht="17.399999999999999" x14ac:dyDescent="0.3">
      <c r="A18" s="8">
        <v>15</v>
      </c>
      <c r="B18" s="12">
        <v>61.790160424076248</v>
      </c>
      <c r="D18" s="12">
        <v>110</v>
      </c>
      <c r="F18" s="40">
        <v>110</v>
      </c>
      <c r="G18" s="41">
        <v>6</v>
      </c>
    </row>
    <row r="19" spans="1:7" ht="17.399999999999999" x14ac:dyDescent="0.3">
      <c r="A19" s="8">
        <v>16</v>
      </c>
      <c r="B19" s="12">
        <v>30.243541812978151</v>
      </c>
      <c r="D19" s="12">
        <v>120</v>
      </c>
      <c r="F19" s="40">
        <v>120</v>
      </c>
      <c r="G19" s="41">
        <v>2</v>
      </c>
    </row>
    <row r="20" spans="1:7" ht="17.399999999999999" x14ac:dyDescent="0.3">
      <c r="A20" s="8">
        <v>17</v>
      </c>
      <c r="B20" s="12">
        <v>31.044008939573814</v>
      </c>
      <c r="D20" s="12">
        <v>130</v>
      </c>
      <c r="F20" s="40">
        <v>130</v>
      </c>
      <c r="G20" s="41">
        <v>4</v>
      </c>
    </row>
    <row r="21" spans="1:7" ht="17.399999999999999" x14ac:dyDescent="0.3">
      <c r="A21" s="8">
        <v>18</v>
      </c>
      <c r="B21" s="12">
        <v>75.074087056543817</v>
      </c>
      <c r="D21" s="12">
        <v>140</v>
      </c>
      <c r="F21" s="40">
        <v>140</v>
      </c>
      <c r="G21" s="41">
        <v>2</v>
      </c>
    </row>
    <row r="22" spans="1:7" ht="17.399999999999999" x14ac:dyDescent="0.3">
      <c r="A22" s="8">
        <v>19</v>
      </c>
      <c r="B22" s="12">
        <v>43.121881923642945</v>
      </c>
      <c r="D22" s="12">
        <v>150</v>
      </c>
      <c r="F22" s="40">
        <v>150</v>
      </c>
      <c r="G22" s="41">
        <v>2</v>
      </c>
    </row>
    <row r="23" spans="1:7" ht="17.399999999999999" x14ac:dyDescent="0.3">
      <c r="A23" s="8">
        <v>20</v>
      </c>
      <c r="B23" s="12">
        <v>13.563500181625557</v>
      </c>
      <c r="D23" s="12">
        <v>160</v>
      </c>
      <c r="F23" s="40">
        <v>160</v>
      </c>
      <c r="G23" s="41">
        <v>0</v>
      </c>
    </row>
    <row r="24" spans="1:7" ht="17.399999999999999" x14ac:dyDescent="0.3">
      <c r="A24" s="8">
        <v>21</v>
      </c>
      <c r="B24" s="12">
        <v>55.9596518518739</v>
      </c>
      <c r="D24" s="12">
        <v>170</v>
      </c>
      <c r="F24" s="40">
        <v>170</v>
      </c>
      <c r="G24" s="41">
        <v>3</v>
      </c>
    </row>
    <row r="25" spans="1:7" ht="17.399999999999999" x14ac:dyDescent="0.3">
      <c r="A25" s="8">
        <v>22</v>
      </c>
      <c r="B25" s="12">
        <v>60.363783572563079</v>
      </c>
      <c r="D25" s="12">
        <v>180</v>
      </c>
      <c r="F25" s="40">
        <v>180</v>
      </c>
      <c r="G25" s="41">
        <v>1</v>
      </c>
    </row>
    <row r="26" spans="1:7" ht="17.399999999999999" x14ac:dyDescent="0.3">
      <c r="A26" s="8">
        <v>23</v>
      </c>
      <c r="B26" s="12">
        <v>42.014508781611767</v>
      </c>
      <c r="D26" s="12">
        <v>190</v>
      </c>
      <c r="F26" s="40">
        <v>190</v>
      </c>
      <c r="G26" s="41">
        <v>0</v>
      </c>
    </row>
    <row r="27" spans="1:7" ht="17.399999999999999" x14ac:dyDescent="0.3">
      <c r="A27" s="8">
        <v>24</v>
      </c>
      <c r="B27" s="12">
        <v>67.527321190356474</v>
      </c>
      <c r="D27" s="12">
        <v>200</v>
      </c>
      <c r="F27" s="40">
        <v>200</v>
      </c>
      <c r="G27" s="41">
        <v>0</v>
      </c>
    </row>
    <row r="28" spans="1:7" ht="17.399999999999999" x14ac:dyDescent="0.3">
      <c r="A28" s="8">
        <v>25</v>
      </c>
      <c r="B28" s="12">
        <v>67.576180976545515</v>
      </c>
      <c r="D28" s="12">
        <v>210</v>
      </c>
      <c r="F28" s="40">
        <v>210</v>
      </c>
      <c r="G28" s="41">
        <v>0</v>
      </c>
    </row>
    <row r="29" spans="1:7" ht="17.399999999999999" x14ac:dyDescent="0.3">
      <c r="A29" s="8">
        <v>26</v>
      </c>
      <c r="B29" s="12">
        <v>79.484834587249452</v>
      </c>
      <c r="D29" s="12">
        <v>220</v>
      </c>
      <c r="F29" s="40">
        <v>220</v>
      </c>
      <c r="G29" s="41">
        <v>0</v>
      </c>
    </row>
    <row r="30" spans="1:7" ht="17.399999999999999" x14ac:dyDescent="0.3">
      <c r="A30" s="8">
        <v>27</v>
      </c>
      <c r="B30" s="12">
        <v>111.3842023818388</v>
      </c>
      <c r="D30" s="12">
        <v>230</v>
      </c>
      <c r="F30" s="40">
        <v>230</v>
      </c>
      <c r="G30" s="41">
        <v>0</v>
      </c>
    </row>
    <row r="31" spans="1:7" ht="17.399999999999999" x14ac:dyDescent="0.3">
      <c r="A31" s="8">
        <v>28</v>
      </c>
      <c r="B31" s="12">
        <v>81.206313209149698</v>
      </c>
      <c r="D31" s="12">
        <v>240</v>
      </c>
      <c r="F31" s="40">
        <v>240</v>
      </c>
      <c r="G31" s="41">
        <v>0</v>
      </c>
    </row>
    <row r="32" spans="1:7" ht="17.399999999999999" x14ac:dyDescent="0.3">
      <c r="A32" s="8">
        <v>29</v>
      </c>
      <c r="B32" s="12">
        <v>108.47583965107242</v>
      </c>
      <c r="D32" s="12">
        <v>250</v>
      </c>
      <c r="F32" s="40">
        <v>250</v>
      </c>
      <c r="G32" s="41">
        <v>1</v>
      </c>
    </row>
    <row r="33" spans="1:7" ht="17.399999999999999" x14ac:dyDescent="0.3">
      <c r="A33" s="8">
        <v>30</v>
      </c>
      <c r="B33" s="12">
        <v>132.21788492303949</v>
      </c>
      <c r="D33" s="12">
        <v>260</v>
      </c>
      <c r="F33" s="40">
        <v>260</v>
      </c>
      <c r="G33" s="41">
        <v>1</v>
      </c>
    </row>
    <row r="34" spans="1:7" ht="17.399999999999999" x14ac:dyDescent="0.3">
      <c r="A34" s="8">
        <v>31</v>
      </c>
      <c r="B34" s="12">
        <v>128.75853358158702</v>
      </c>
      <c r="D34" s="12">
        <v>270</v>
      </c>
      <c r="F34" s="40">
        <v>270</v>
      </c>
      <c r="G34" s="41">
        <v>1</v>
      </c>
    </row>
    <row r="35" spans="1:7" ht="17.399999999999999" x14ac:dyDescent="0.3">
      <c r="A35" s="8">
        <v>32</v>
      </c>
      <c r="B35" s="12">
        <v>101.93921421929258</v>
      </c>
      <c r="D35" s="12">
        <v>280</v>
      </c>
      <c r="F35" s="41" t="s">
        <v>38</v>
      </c>
      <c r="G35" s="41">
        <v>0</v>
      </c>
    </row>
    <row r="36" spans="1:7" ht="17.399999999999999" x14ac:dyDescent="0.3">
      <c r="A36" s="8">
        <v>33</v>
      </c>
      <c r="B36" s="12">
        <v>104.74201544643165</v>
      </c>
      <c r="D36" s="12">
        <v>290</v>
      </c>
    </row>
    <row r="37" spans="1:7" ht="17.399999999999999" x14ac:dyDescent="0.3">
      <c r="A37" s="8">
        <v>34</v>
      </c>
      <c r="B37" s="12">
        <v>112.37623788498342</v>
      </c>
      <c r="D37" s="12">
        <v>300</v>
      </c>
    </row>
    <row r="38" spans="1:7" ht="17.399999999999999" x14ac:dyDescent="0.3">
      <c r="A38" s="8">
        <v>35</v>
      </c>
      <c r="B38" s="12">
        <v>68.897567413132606</v>
      </c>
      <c r="D38" s="12">
        <v>310</v>
      </c>
    </row>
    <row r="39" spans="1:7" ht="17.399999999999999" x14ac:dyDescent="0.3">
      <c r="A39" s="8">
        <v>36</v>
      </c>
      <c r="B39" s="12">
        <v>65.138472509056101</v>
      </c>
      <c r="D39" s="12">
        <v>320</v>
      </c>
    </row>
    <row r="40" spans="1:7" ht="17.399999999999999" x14ac:dyDescent="0.3">
      <c r="A40" s="8">
        <v>37</v>
      </c>
      <c r="B40" s="12">
        <v>19.466919188654174</v>
      </c>
      <c r="D40" s="12">
        <v>330</v>
      </c>
    </row>
    <row r="41" spans="1:7" ht="17.399999999999999" x14ac:dyDescent="0.3">
      <c r="A41" s="8">
        <v>38</v>
      </c>
      <c r="B41" s="12">
        <v>70.596299329563863</v>
      </c>
      <c r="D41" s="12">
        <v>340</v>
      </c>
    </row>
    <row r="42" spans="1:7" ht="17.399999999999999" x14ac:dyDescent="0.3">
      <c r="A42" s="8">
        <v>39</v>
      </c>
      <c r="B42" s="12">
        <v>60.642990286787153</v>
      </c>
      <c r="D42" s="12">
        <v>350</v>
      </c>
    </row>
    <row r="43" spans="1:7" ht="17.399999999999999" x14ac:dyDescent="0.3">
      <c r="A43" s="8">
        <v>40</v>
      </c>
      <c r="B43" s="12">
        <v>18.462714671544177</v>
      </c>
      <c r="D43" s="12">
        <v>360</v>
      </c>
    </row>
    <row r="44" spans="1:7" ht="17.399999999999999" x14ac:dyDescent="0.3">
      <c r="A44" s="8">
        <v>41</v>
      </c>
      <c r="B44" s="12">
        <v>83.618466065952362</v>
      </c>
      <c r="D44" s="12">
        <v>370</v>
      </c>
    </row>
    <row r="45" spans="1:7" ht="17.399999999999999" x14ac:dyDescent="0.3">
      <c r="A45" s="8">
        <v>42</v>
      </c>
      <c r="B45" s="12">
        <v>69.869189051722969</v>
      </c>
      <c r="D45" s="12">
        <v>380</v>
      </c>
    </row>
    <row r="46" spans="1:7" ht="17.399999999999999" x14ac:dyDescent="0.3">
      <c r="A46" s="8">
        <v>43</v>
      </c>
      <c r="B46" s="12">
        <v>79.073827416795211</v>
      </c>
    </row>
    <row r="47" spans="1:7" ht="17.399999999999999" x14ac:dyDescent="0.3">
      <c r="A47" s="8">
        <v>44</v>
      </c>
      <c r="B47" s="12">
        <v>63.988035193613541</v>
      </c>
    </row>
    <row r="48" spans="1:7" ht="17.399999999999999" x14ac:dyDescent="0.3">
      <c r="A48" s="8">
        <v>45</v>
      </c>
      <c r="B48" s="12">
        <v>40.116892052897811</v>
      </c>
    </row>
    <row r="49" spans="1:2" ht="17.399999999999999" x14ac:dyDescent="0.3">
      <c r="A49" s="8">
        <v>46</v>
      </c>
      <c r="B49" s="12">
        <v>32.832647314523683</v>
      </c>
    </row>
    <row r="50" spans="1:2" ht="17.399999999999999" x14ac:dyDescent="0.3">
      <c r="A50" s="8">
        <v>47</v>
      </c>
      <c r="B50" s="12">
        <v>27.751736514160484</v>
      </c>
    </row>
    <row r="51" spans="1:2" ht="17.399999999999999" x14ac:dyDescent="0.3">
      <c r="A51" s="8">
        <v>48</v>
      </c>
      <c r="B51" s="12">
        <v>19.638612962232173</v>
      </c>
    </row>
    <row r="52" spans="1:2" ht="17.399999999999999" x14ac:dyDescent="0.3">
      <c r="A52" s="8">
        <v>49</v>
      </c>
      <c r="B52" s="12">
        <v>66.482764319168382</v>
      </c>
    </row>
    <row r="53" spans="1:2" ht="17.399999999999999" x14ac:dyDescent="0.3">
      <c r="A53" s="8">
        <v>50</v>
      </c>
      <c r="B53" s="12">
        <v>47.287988670673712</v>
      </c>
    </row>
    <row r="54" spans="1:2" ht="17.399999999999999" x14ac:dyDescent="0.3">
      <c r="A54" s="8">
        <v>51</v>
      </c>
      <c r="B54" s="12">
        <v>1.4931257680766521</v>
      </c>
    </row>
    <row r="55" spans="1:2" ht="17.399999999999999" x14ac:dyDescent="0.3">
      <c r="A55" s="8">
        <v>52</v>
      </c>
      <c r="B55" s="12">
        <v>54.886376647810721</v>
      </c>
    </row>
    <row r="56" spans="1:2" ht="17.399999999999999" x14ac:dyDescent="0.3">
      <c r="A56" s="8">
        <v>53</v>
      </c>
      <c r="B56" s="12">
        <v>77.046963501329856</v>
      </c>
    </row>
    <row r="57" spans="1:2" ht="17.399999999999999" x14ac:dyDescent="0.3">
      <c r="A57" s="8">
        <v>54</v>
      </c>
      <c r="B57" s="12">
        <v>48.869028492705866</v>
      </c>
    </row>
    <row r="58" spans="1:2" ht="17.399999999999999" x14ac:dyDescent="0.3">
      <c r="A58" s="8">
        <v>55</v>
      </c>
      <c r="B58" s="12">
        <v>70.673248886514784</v>
      </c>
    </row>
    <row r="59" spans="1:2" ht="17.399999999999999" x14ac:dyDescent="0.3">
      <c r="A59" s="8">
        <v>56</v>
      </c>
      <c r="B59" s="12">
        <v>1.364274093983795</v>
      </c>
    </row>
    <row r="60" spans="1:2" ht="17.399999999999999" x14ac:dyDescent="0.3">
      <c r="A60" s="8">
        <v>57</v>
      </c>
      <c r="B60" s="12">
        <v>0.43754753281109515</v>
      </c>
    </row>
    <row r="61" spans="1:2" ht="17.399999999999999" x14ac:dyDescent="0.3">
      <c r="A61" s="8">
        <v>58</v>
      </c>
      <c r="B61" s="12">
        <v>47.956854458361249</v>
      </c>
    </row>
    <row r="62" spans="1:2" ht="17.399999999999999" x14ac:dyDescent="0.3">
      <c r="A62" s="8">
        <v>59</v>
      </c>
      <c r="B62" s="12">
        <v>39.8870513553004</v>
      </c>
    </row>
    <row r="63" spans="1:2" ht="17.399999999999999" x14ac:dyDescent="0.3">
      <c r="A63" s="8">
        <v>60</v>
      </c>
      <c r="B63" s="12">
        <v>0.15488562642144643</v>
      </c>
    </row>
    <row r="64" spans="1:2" ht="17.399999999999999" x14ac:dyDescent="0.3">
      <c r="A64" s="8">
        <v>61</v>
      </c>
      <c r="B64" s="12">
        <v>4.3172563201671892</v>
      </c>
    </row>
    <row r="65" spans="1:2" ht="17.399999999999999" x14ac:dyDescent="0.3">
      <c r="A65" s="8">
        <v>62</v>
      </c>
      <c r="B65" s="12">
        <v>21.252454388608157</v>
      </c>
    </row>
    <row r="66" spans="1:2" ht="17.399999999999999" x14ac:dyDescent="0.3">
      <c r="A66" s="8">
        <v>63</v>
      </c>
      <c r="B66" s="12">
        <v>5.3501281291169107</v>
      </c>
    </row>
    <row r="67" spans="1:2" ht="17.399999999999999" x14ac:dyDescent="0.3">
      <c r="A67" s="8">
        <v>64</v>
      </c>
      <c r="B67" s="12">
        <v>29.658732405341198</v>
      </c>
    </row>
    <row r="68" spans="1:2" ht="17.399999999999999" x14ac:dyDescent="0.3">
      <c r="A68" s="8">
        <v>65</v>
      </c>
      <c r="B68" s="12">
        <v>11.437815072816647</v>
      </c>
    </row>
    <row r="69" spans="1:2" ht="17.399999999999999" x14ac:dyDescent="0.3">
      <c r="A69" s="8">
        <v>66</v>
      </c>
      <c r="B69" s="12">
        <v>8.0107206888094424</v>
      </c>
    </row>
    <row r="70" spans="1:2" ht="17.399999999999999" x14ac:dyDescent="0.3">
      <c r="A70" s="8">
        <v>67</v>
      </c>
      <c r="B70" s="12">
        <v>7.0810842010434953</v>
      </c>
    </row>
    <row r="71" spans="1:2" ht="17.399999999999999" x14ac:dyDescent="0.3">
      <c r="A71" s="8">
        <v>68</v>
      </c>
      <c r="B71" s="12">
        <v>9.3513313456433025</v>
      </c>
    </row>
    <row r="72" spans="1:2" ht="17.399999999999999" x14ac:dyDescent="0.3">
      <c r="A72" s="8">
        <v>69</v>
      </c>
      <c r="B72" s="12">
        <v>22.6488325397479</v>
      </c>
    </row>
    <row r="73" spans="1:2" ht="17.399999999999999" x14ac:dyDescent="0.3">
      <c r="A73" s="8">
        <v>70</v>
      </c>
      <c r="B73" s="12">
        <v>12.871192108995501</v>
      </c>
    </row>
    <row r="74" spans="1:2" ht="17.399999999999999" x14ac:dyDescent="0.3">
      <c r="A74" s="8">
        <v>71</v>
      </c>
      <c r="B74" s="12">
        <v>6.9433007714983432</v>
      </c>
    </row>
    <row r="75" spans="1:2" ht="17.399999999999999" x14ac:dyDescent="0.3">
      <c r="A75" s="8">
        <v>72</v>
      </c>
      <c r="B75" s="12">
        <v>9.5880016006867663</v>
      </c>
    </row>
    <row r="76" spans="1:2" ht="17.399999999999999" x14ac:dyDescent="0.3">
      <c r="A76" s="8">
        <v>73</v>
      </c>
      <c r="B76" s="12">
        <v>49.36279858284729</v>
      </c>
    </row>
    <row r="77" spans="1:2" ht="17.399999999999999" x14ac:dyDescent="0.3">
      <c r="A77" s="8">
        <v>74</v>
      </c>
      <c r="B77" s="12">
        <v>22.441659512340266</v>
      </c>
    </row>
    <row r="78" spans="1:2" ht="17.399999999999999" x14ac:dyDescent="0.3">
      <c r="A78" s="8">
        <v>75</v>
      </c>
      <c r="B78" s="12">
        <v>12.644194633360257</v>
      </c>
    </row>
    <row r="79" spans="1:2" ht="17.399999999999999" x14ac:dyDescent="0.3">
      <c r="A79" s="8">
        <v>76</v>
      </c>
      <c r="B79" s="12">
        <v>19.414849016655808</v>
      </c>
    </row>
    <row r="80" spans="1:2" ht="17.399999999999999" x14ac:dyDescent="0.3">
      <c r="A80" s="8">
        <v>77</v>
      </c>
      <c r="B80" s="12">
        <v>8.6708724389418421</v>
      </c>
    </row>
    <row r="81" spans="1:2" ht="17.399999999999999" x14ac:dyDescent="0.3">
      <c r="A81" s="8">
        <v>78</v>
      </c>
      <c r="B81" s="12">
        <v>12.237310817191883</v>
      </c>
    </row>
    <row r="82" spans="1:2" ht="17.399999999999999" x14ac:dyDescent="0.3">
      <c r="A82" s="8">
        <v>79</v>
      </c>
      <c r="B82" s="12">
        <v>38.878453738219378</v>
      </c>
    </row>
    <row r="83" spans="1:2" ht="17.399999999999999" x14ac:dyDescent="0.3">
      <c r="A83" s="8">
        <v>80</v>
      </c>
      <c r="B83" s="12">
        <v>55.070655602792158</v>
      </c>
    </row>
    <row r="84" spans="1:2" ht="17.399999999999999" x14ac:dyDescent="0.3">
      <c r="A84" s="8">
        <v>81</v>
      </c>
      <c r="B84" s="12">
        <v>17.036834115747752</v>
      </c>
    </row>
    <row r="85" spans="1:2" ht="17.399999999999999" x14ac:dyDescent="0.3">
      <c r="A85" s="8">
        <v>82</v>
      </c>
      <c r="B85" s="12">
        <v>0.26771742781784269</v>
      </c>
    </row>
    <row r="86" spans="1:2" ht="17.399999999999999" x14ac:dyDescent="0.3">
      <c r="A86" s="8">
        <v>83</v>
      </c>
      <c r="B86" s="12">
        <v>13.569590895817328</v>
      </c>
    </row>
    <row r="87" spans="1:2" ht="17.399999999999999" x14ac:dyDescent="0.3">
      <c r="A87" s="8">
        <v>84</v>
      </c>
      <c r="B87" s="12">
        <v>0.23279298900706635</v>
      </c>
    </row>
    <row r="88" spans="1:2" ht="17.399999999999999" x14ac:dyDescent="0.3">
      <c r="A88" s="8">
        <v>85</v>
      </c>
      <c r="B88" s="12">
        <v>5.6392986651353567</v>
      </c>
    </row>
    <row r="89" spans="1:2" ht="17.399999999999999" x14ac:dyDescent="0.3">
      <c r="A89" s="8">
        <v>86</v>
      </c>
      <c r="B89" s="12">
        <v>21.603874481245839</v>
      </c>
    </row>
    <row r="90" spans="1:2" ht="17.399999999999999" x14ac:dyDescent="0.3">
      <c r="A90" s="8">
        <v>87</v>
      </c>
      <c r="B90" s="12">
        <v>23.371721058462299</v>
      </c>
    </row>
    <row r="91" spans="1:2" ht="17.399999999999999" x14ac:dyDescent="0.3">
      <c r="A91" s="8">
        <v>88</v>
      </c>
      <c r="B91" s="12">
        <v>16.108428316752452</v>
      </c>
    </row>
    <row r="92" spans="1:2" ht="17.399999999999999" x14ac:dyDescent="0.3">
      <c r="A92" s="8">
        <v>89</v>
      </c>
      <c r="B92" s="12">
        <v>97.99585979247604</v>
      </c>
    </row>
    <row r="93" spans="1:2" ht="17.399999999999999" x14ac:dyDescent="0.3">
      <c r="A93" s="8">
        <v>90</v>
      </c>
      <c r="B93" s="12">
        <v>127.72255030183624</v>
      </c>
    </row>
    <row r="94" spans="1:2" ht="17.399999999999999" x14ac:dyDescent="0.3">
      <c r="A94" s="8">
        <v>91</v>
      </c>
      <c r="B94" s="12">
        <v>106.10904780527517</v>
      </c>
    </row>
    <row r="95" spans="1:2" ht="17.399999999999999" x14ac:dyDescent="0.3">
      <c r="A95" s="8">
        <v>92</v>
      </c>
      <c r="B95" s="12">
        <v>106.45800574830491</v>
      </c>
    </row>
    <row r="96" spans="1:2" ht="17.399999999999999" x14ac:dyDescent="0.3">
      <c r="A96" s="8">
        <v>93</v>
      </c>
      <c r="B96" s="12">
        <v>68.662616188419634</v>
      </c>
    </row>
    <row r="97" spans="1:2" ht="17.399999999999999" x14ac:dyDescent="0.3">
      <c r="A97" s="8">
        <v>94</v>
      </c>
      <c r="B97" s="12">
        <v>91.438244382822177</v>
      </c>
    </row>
    <row r="98" spans="1:2" ht="17.399999999999999" x14ac:dyDescent="0.3">
      <c r="A98" s="8">
        <v>95</v>
      </c>
      <c r="B98" s="12">
        <v>37.729065887575416</v>
      </c>
    </row>
    <row r="99" spans="1:2" ht="17.399999999999999" x14ac:dyDescent="0.3">
      <c r="A99" s="8">
        <v>96</v>
      </c>
      <c r="B99" s="12">
        <v>38.352465309144918</v>
      </c>
    </row>
    <row r="100" spans="1:2" ht="17.399999999999999" x14ac:dyDescent="0.3">
      <c r="A100" s="8">
        <v>97</v>
      </c>
      <c r="B100" s="12">
        <v>73.906235188518167</v>
      </c>
    </row>
    <row r="101" spans="1:2" ht="17.399999999999999" x14ac:dyDescent="0.3">
      <c r="A101" s="8">
        <v>98</v>
      </c>
      <c r="B101" s="12">
        <v>44.31878130585028</v>
      </c>
    </row>
    <row r="102" spans="1:2" ht="17.399999999999999" x14ac:dyDescent="0.3">
      <c r="A102" s="8">
        <v>99</v>
      </c>
      <c r="B102" s="12">
        <v>61.023062376707912</v>
      </c>
    </row>
    <row r="103" spans="1:2" ht="17.399999999999999" x14ac:dyDescent="0.3">
      <c r="A103" s="8">
        <v>100</v>
      </c>
      <c r="B103" s="12">
        <v>53.22515411264385</v>
      </c>
    </row>
    <row r="104" spans="1:2" ht="17.399999999999999" x14ac:dyDescent="0.3">
      <c r="A104" s="8">
        <v>101</v>
      </c>
      <c r="B104" s="12">
        <v>55.720593681377522</v>
      </c>
    </row>
    <row r="105" spans="1:2" ht="17.399999999999999" x14ac:dyDescent="0.3">
      <c r="A105" s="8">
        <v>102</v>
      </c>
      <c r="B105" s="12">
        <v>55.692187418323556</v>
      </c>
    </row>
    <row r="106" spans="1:2" ht="17.399999999999999" x14ac:dyDescent="0.3">
      <c r="A106" s="8">
        <v>103</v>
      </c>
      <c r="B106" s="12">
        <v>32.432063440885941</v>
      </c>
    </row>
    <row r="107" spans="1:2" ht="17.399999999999999" x14ac:dyDescent="0.3">
      <c r="A107" s="8">
        <v>104</v>
      </c>
      <c r="B107" s="12">
        <v>40.299942842607834</v>
      </c>
    </row>
    <row r="108" spans="1:2" ht="17.399999999999999" x14ac:dyDescent="0.3">
      <c r="A108" s="8">
        <v>105</v>
      </c>
      <c r="B108" s="12">
        <v>0.70923670407773898</v>
      </c>
    </row>
    <row r="109" spans="1:2" ht="17.399999999999999" x14ac:dyDescent="0.3">
      <c r="A109" s="8">
        <v>106</v>
      </c>
      <c r="B109" s="12">
        <v>45.902544265432425</v>
      </c>
    </row>
    <row r="110" spans="1:2" ht="17.399999999999999" x14ac:dyDescent="0.3">
      <c r="A110" s="8">
        <v>107</v>
      </c>
      <c r="B110" s="12">
        <v>41.878357123299338</v>
      </c>
    </row>
    <row r="111" spans="1:2" ht="17.399999999999999" x14ac:dyDescent="0.3">
      <c r="A111" s="8">
        <v>108</v>
      </c>
      <c r="B111" s="12">
        <v>46.839536095983931</v>
      </c>
    </row>
    <row r="112" spans="1:2" ht="17.399999999999999" x14ac:dyDescent="0.3">
      <c r="A112" s="8">
        <v>109</v>
      </c>
      <c r="B112" s="12">
        <v>41.563807135343723</v>
      </c>
    </row>
    <row r="113" spans="1:2" ht="17.399999999999999" x14ac:dyDescent="0.3">
      <c r="A113" s="8">
        <v>110</v>
      </c>
      <c r="B113" s="12">
        <v>37.613348180201683</v>
      </c>
    </row>
    <row r="114" spans="1:2" ht="17.399999999999999" x14ac:dyDescent="0.3">
      <c r="A114" s="8">
        <v>111</v>
      </c>
      <c r="B114" s="12">
        <v>37.769622217859705</v>
      </c>
    </row>
    <row r="115" spans="1:2" ht="17.399999999999999" x14ac:dyDescent="0.3">
      <c r="A115" s="8">
        <v>112</v>
      </c>
      <c r="B115" s="12">
        <v>16.253087143187258</v>
      </c>
    </row>
    <row r="116" spans="1:2" ht="17.399999999999999" x14ac:dyDescent="0.3">
      <c r="A116" s="8">
        <v>113</v>
      </c>
      <c r="B116" s="12">
        <v>47.434440095189984</v>
      </c>
    </row>
    <row r="117" spans="1:2" ht="17.399999999999999" x14ac:dyDescent="0.3">
      <c r="A117" s="8">
        <v>114</v>
      </c>
      <c r="B117" s="12">
        <v>48.971228114797213</v>
      </c>
    </row>
    <row r="118" spans="1:2" ht="17.399999999999999" x14ac:dyDescent="0.3">
      <c r="A118" s="8">
        <v>115</v>
      </c>
      <c r="B118" s="12">
        <v>84.536590187629372</v>
      </c>
    </row>
    <row r="119" spans="1:2" ht="17.399999999999999" x14ac:dyDescent="0.3">
      <c r="A119" s="8">
        <v>116</v>
      </c>
      <c r="B119" s="12">
        <v>16.484978745023909</v>
      </c>
    </row>
    <row r="120" spans="1:2" ht="17.399999999999999" x14ac:dyDescent="0.3">
      <c r="A120" s="8">
        <v>117</v>
      </c>
      <c r="B120" s="12">
        <v>37.348099889383775</v>
      </c>
    </row>
    <row r="121" spans="1:2" ht="17.399999999999999" x14ac:dyDescent="0.3">
      <c r="A121" s="8">
        <v>118</v>
      </c>
      <c r="B121" s="12">
        <v>54.353598775799583</v>
      </c>
    </row>
    <row r="122" spans="1:2" ht="17.399999999999999" x14ac:dyDescent="0.3">
      <c r="A122" s="8">
        <v>119</v>
      </c>
      <c r="B122" s="12">
        <v>14.544668499011095</v>
      </c>
    </row>
    <row r="123" spans="1:2" ht="17.399999999999999" x14ac:dyDescent="0.3">
      <c r="A123" s="8">
        <v>120</v>
      </c>
      <c r="B123" s="12">
        <v>50.904551625989825</v>
      </c>
    </row>
    <row r="124" spans="1:2" ht="17.399999999999999" x14ac:dyDescent="0.3">
      <c r="A124" s="8">
        <v>121</v>
      </c>
      <c r="B124" s="12">
        <v>53.167782152240761</v>
      </c>
    </row>
    <row r="125" spans="1:2" ht="17.399999999999999" x14ac:dyDescent="0.3">
      <c r="A125" s="8">
        <v>122</v>
      </c>
      <c r="B125" s="12">
        <v>66.589508732491595</v>
      </c>
    </row>
    <row r="126" spans="1:2" ht="17.399999999999999" x14ac:dyDescent="0.3">
      <c r="A126" s="8">
        <v>123</v>
      </c>
      <c r="B126" s="12">
        <v>54.321368576008808</v>
      </c>
    </row>
    <row r="127" spans="1:2" ht="17.399999999999999" x14ac:dyDescent="0.3">
      <c r="A127" s="8">
        <v>124</v>
      </c>
      <c r="B127" s="12">
        <v>46.203678425919406</v>
      </c>
    </row>
    <row r="128" spans="1:2" ht="17.399999999999999" x14ac:dyDescent="0.3">
      <c r="A128" s="8">
        <v>125</v>
      </c>
      <c r="B128" s="12">
        <v>72.980031009542472</v>
      </c>
    </row>
    <row r="129" spans="1:2" ht="17.399999999999999" x14ac:dyDescent="0.3">
      <c r="A129" s="8">
        <v>126</v>
      </c>
      <c r="B129" s="12">
        <v>93.058042930209467</v>
      </c>
    </row>
    <row r="130" spans="1:2" ht="17.399999999999999" x14ac:dyDescent="0.3">
      <c r="A130" s="8">
        <v>127</v>
      </c>
      <c r="B130" s="12">
        <v>85.627854338818452</v>
      </c>
    </row>
    <row r="131" spans="1:2" ht="17.399999999999999" x14ac:dyDescent="0.3">
      <c r="A131" s="8">
        <v>128</v>
      </c>
      <c r="B131" s="12">
        <v>87.125017557497813</v>
      </c>
    </row>
    <row r="132" spans="1:2" ht="17.399999999999999" x14ac:dyDescent="0.3">
      <c r="A132" s="8">
        <v>129</v>
      </c>
      <c r="B132" s="12">
        <v>64.416198302451448</v>
      </c>
    </row>
    <row r="133" spans="1:2" ht="17.399999999999999" x14ac:dyDescent="0.3">
      <c r="A133" s="8">
        <v>130</v>
      </c>
      <c r="B133" s="12">
        <v>53.693336064171945</v>
      </c>
    </row>
    <row r="134" spans="1:2" ht="17.399999999999999" x14ac:dyDescent="0.3">
      <c r="A134" s="8">
        <v>131</v>
      </c>
      <c r="B134" s="12">
        <v>88.422410729903731</v>
      </c>
    </row>
    <row r="135" spans="1:2" ht="17.399999999999999" x14ac:dyDescent="0.3">
      <c r="A135" s="8">
        <v>132</v>
      </c>
      <c r="B135" s="12">
        <v>74.209383998003432</v>
      </c>
    </row>
    <row r="136" spans="1:2" ht="17.399999999999999" x14ac:dyDescent="0.3">
      <c r="A136" s="8">
        <v>133</v>
      </c>
      <c r="B136" s="12">
        <v>68.282970089553601</v>
      </c>
    </row>
    <row r="137" spans="1:2" ht="17.399999999999999" x14ac:dyDescent="0.3">
      <c r="A137" s="8">
        <v>134</v>
      </c>
      <c r="B137" s="12">
        <v>55.676944778208963</v>
      </c>
    </row>
    <row r="138" spans="1:2" ht="17.399999999999999" x14ac:dyDescent="0.3">
      <c r="A138" s="8">
        <v>135</v>
      </c>
      <c r="B138" s="12">
        <v>52.657228909577498</v>
      </c>
    </row>
    <row r="139" spans="1:2" ht="17.399999999999999" x14ac:dyDescent="0.3">
      <c r="A139" s="8">
        <v>136</v>
      </c>
      <c r="B139" s="12">
        <v>56.727872887013746</v>
      </c>
    </row>
    <row r="140" spans="1:2" ht="17.399999999999999" x14ac:dyDescent="0.3">
      <c r="A140" s="8">
        <v>137</v>
      </c>
      <c r="B140" s="12">
        <v>63.724568272393753</v>
      </c>
    </row>
    <row r="141" spans="1:2" ht="17.399999999999999" x14ac:dyDescent="0.3">
      <c r="A141" s="8">
        <v>138</v>
      </c>
      <c r="B141" s="12">
        <v>28.504994080626147</v>
      </c>
    </row>
    <row r="142" spans="1:2" ht="17.399999999999999" x14ac:dyDescent="0.3">
      <c r="A142" s="8">
        <v>139</v>
      </c>
      <c r="B142" s="12">
        <v>4.4661551062959006</v>
      </c>
    </row>
    <row r="143" spans="1:2" ht="17.399999999999999" x14ac:dyDescent="0.3">
      <c r="A143" s="8">
        <v>140</v>
      </c>
      <c r="B143" s="12">
        <v>2.283531983152443</v>
      </c>
    </row>
    <row r="144" spans="1:2" ht="17.399999999999999" x14ac:dyDescent="0.3">
      <c r="A144" s="8">
        <v>141</v>
      </c>
      <c r="B144" s="12">
        <v>36.4754641350969</v>
      </c>
    </row>
    <row r="145" spans="1:2" ht="17.399999999999999" x14ac:dyDescent="0.3">
      <c r="A145" s="8">
        <v>142</v>
      </c>
      <c r="B145" s="12">
        <v>80.344776088006711</v>
      </c>
    </row>
    <row r="146" spans="1:2" ht="17.399999999999999" x14ac:dyDescent="0.3">
      <c r="A146" s="8">
        <v>143</v>
      </c>
      <c r="B146" s="12">
        <v>51.66256486635848</v>
      </c>
    </row>
    <row r="147" spans="1:2" ht="17.399999999999999" x14ac:dyDescent="0.3">
      <c r="A147" s="8">
        <v>144</v>
      </c>
      <c r="B147" s="12">
        <v>55.192894288113166</v>
      </c>
    </row>
    <row r="148" spans="1:2" ht="17.399999999999999" x14ac:dyDescent="0.3">
      <c r="A148" s="8">
        <v>145</v>
      </c>
      <c r="B148" s="12">
        <v>65.195976550621708</v>
      </c>
    </row>
    <row r="149" spans="1:2" ht="17.399999999999999" x14ac:dyDescent="0.3">
      <c r="A149" s="8">
        <v>146</v>
      </c>
      <c r="B149" s="12">
        <v>57.98836231956011</v>
      </c>
    </row>
    <row r="150" spans="1:2" ht="17.399999999999999" x14ac:dyDescent="0.3">
      <c r="A150" s="8">
        <v>147</v>
      </c>
      <c r="B150" s="12">
        <v>65.895493808904575</v>
      </c>
    </row>
    <row r="151" spans="1:2" ht="17.399999999999999" x14ac:dyDescent="0.3">
      <c r="A151" s="8">
        <v>148</v>
      </c>
      <c r="B151" s="12">
        <v>79.093009348607211</v>
      </c>
    </row>
    <row r="152" spans="1:2" ht="17.399999999999999" x14ac:dyDescent="0.3">
      <c r="A152" s="8">
        <v>149</v>
      </c>
      <c r="B152" s="12">
        <v>80.517327903551177</v>
      </c>
    </row>
    <row r="153" spans="1:2" ht="17.399999999999999" x14ac:dyDescent="0.3">
      <c r="A153" s="8">
        <v>150</v>
      </c>
      <c r="B153" s="12">
        <v>79.755356919731184</v>
      </c>
    </row>
    <row r="154" spans="1:2" ht="17.399999999999999" x14ac:dyDescent="0.3">
      <c r="A154" s="8">
        <v>151</v>
      </c>
      <c r="B154" s="12">
        <v>77.774324543571311</v>
      </c>
    </row>
    <row r="155" spans="1:2" ht="17.399999999999999" x14ac:dyDescent="0.3">
      <c r="A155" s="8">
        <v>152</v>
      </c>
      <c r="B155" s="12">
        <v>60.609337817302276</v>
      </c>
    </row>
    <row r="156" spans="1:2" ht="17.399999999999999" x14ac:dyDescent="0.3">
      <c r="A156" s="8">
        <v>153</v>
      </c>
      <c r="B156" s="12">
        <v>86.258578365429457</v>
      </c>
    </row>
    <row r="157" spans="1:2" ht="17.399999999999999" x14ac:dyDescent="0.3">
      <c r="A157" s="8">
        <v>154</v>
      </c>
      <c r="B157" s="12">
        <v>77.492680587078667</v>
      </c>
    </row>
    <row r="158" spans="1:2" ht="17.399999999999999" x14ac:dyDescent="0.3">
      <c r="A158" s="8">
        <v>155</v>
      </c>
      <c r="B158" s="12">
        <v>64.183438744141768</v>
      </c>
    </row>
    <row r="159" spans="1:2" ht="17.399999999999999" x14ac:dyDescent="0.3">
      <c r="A159" s="8">
        <v>156</v>
      </c>
      <c r="B159" s="12">
        <v>61.090788579449963</v>
      </c>
    </row>
    <row r="160" spans="1:2" ht="17.399999999999999" x14ac:dyDescent="0.3">
      <c r="A160" s="8">
        <v>157</v>
      </c>
      <c r="B160" s="12">
        <v>26.766150181669673</v>
      </c>
    </row>
    <row r="161" spans="1:2" ht="17.399999999999999" x14ac:dyDescent="0.3">
      <c r="A161" s="8">
        <v>158</v>
      </c>
      <c r="B161" s="12">
        <v>6.7946014674330399</v>
      </c>
    </row>
    <row r="162" spans="1:2" ht="17.399999999999999" x14ac:dyDescent="0.3">
      <c r="A162" s="8">
        <v>159</v>
      </c>
      <c r="B162" s="12">
        <v>20.438171326279644</v>
      </c>
    </row>
    <row r="163" spans="1:2" ht="17.399999999999999" x14ac:dyDescent="0.3">
      <c r="A163" s="8">
        <v>160</v>
      </c>
      <c r="B163" s="12">
        <v>18.96057140584162</v>
      </c>
    </row>
    <row r="164" spans="1:2" ht="17.399999999999999" x14ac:dyDescent="0.3">
      <c r="A164" s="8">
        <v>161</v>
      </c>
      <c r="B164" s="12">
        <v>31.4068961134044</v>
      </c>
    </row>
    <row r="165" spans="1:2" ht="17.399999999999999" x14ac:dyDescent="0.3">
      <c r="A165" s="8">
        <v>162</v>
      </c>
      <c r="B165" s="12">
        <v>16.551144494217169</v>
      </c>
    </row>
    <row r="166" spans="1:2" ht="17.399999999999999" x14ac:dyDescent="0.3">
      <c r="A166" s="8">
        <v>163</v>
      </c>
      <c r="B166" s="12">
        <v>14.764416106972021</v>
      </c>
    </row>
    <row r="167" spans="1:2" ht="17.399999999999999" x14ac:dyDescent="0.3">
      <c r="A167" s="8">
        <v>164</v>
      </c>
      <c r="B167" s="12">
        <v>35.555535039710321</v>
      </c>
    </row>
    <row r="168" spans="1:2" ht="17.399999999999999" x14ac:dyDescent="0.3">
      <c r="A168" s="8">
        <v>165</v>
      </c>
      <c r="B168" s="12">
        <v>29.804039196251779</v>
      </c>
    </row>
    <row r="169" spans="1:2" ht="17.399999999999999" x14ac:dyDescent="0.3">
      <c r="A169" s="8">
        <v>166</v>
      </c>
      <c r="B169" s="12">
        <v>50.634626204312553</v>
      </c>
    </row>
    <row r="170" spans="1:2" ht="17.399999999999999" x14ac:dyDescent="0.3">
      <c r="A170" s="8">
        <v>167</v>
      </c>
      <c r="B170" s="12">
        <v>44.383154272149568</v>
      </c>
    </row>
    <row r="171" spans="1:2" ht="17.399999999999999" x14ac:dyDescent="0.3">
      <c r="A171" s="8">
        <v>168</v>
      </c>
      <c r="B171" s="12">
        <v>43.810613452584221</v>
      </c>
    </row>
    <row r="172" spans="1:2" ht="17.399999999999999" x14ac:dyDescent="0.3">
      <c r="A172" s="8">
        <v>169</v>
      </c>
      <c r="B172" s="12">
        <v>20.545252872947913</v>
      </c>
    </row>
    <row r="173" spans="1:2" ht="17.399999999999999" x14ac:dyDescent="0.3">
      <c r="A173" s="8">
        <v>170</v>
      </c>
      <c r="B173" s="12">
        <v>20.200739608388176</v>
      </c>
    </row>
    <row r="174" spans="1:2" ht="17.399999999999999" x14ac:dyDescent="0.3">
      <c r="A174" s="8">
        <v>171</v>
      </c>
      <c r="B174" s="12">
        <v>17.301829494169397</v>
      </c>
    </row>
    <row r="175" spans="1:2" ht="17.399999999999999" x14ac:dyDescent="0.3">
      <c r="A175" s="8">
        <v>172</v>
      </c>
      <c r="B175" s="12">
        <v>9.1577303166804995</v>
      </c>
    </row>
    <row r="176" spans="1:2" ht="17.399999999999999" x14ac:dyDescent="0.3">
      <c r="A176" s="8">
        <v>173</v>
      </c>
      <c r="B176" s="12">
        <v>10.594800890208717</v>
      </c>
    </row>
    <row r="177" spans="1:2" ht="17.399999999999999" x14ac:dyDescent="0.3">
      <c r="A177" s="8">
        <v>174</v>
      </c>
      <c r="B177" s="12">
        <v>46.37833671552653</v>
      </c>
    </row>
    <row r="178" spans="1:2" ht="17.399999999999999" x14ac:dyDescent="0.3">
      <c r="A178" s="8">
        <v>175</v>
      </c>
      <c r="B178" s="12">
        <v>11.801145291363355</v>
      </c>
    </row>
    <row r="179" spans="1:2" ht="17.399999999999999" x14ac:dyDescent="0.3">
      <c r="A179" s="8">
        <v>176</v>
      </c>
      <c r="B179" s="12">
        <v>8.9022793537951657</v>
      </c>
    </row>
    <row r="180" spans="1:2" ht="17.399999999999999" x14ac:dyDescent="0.3">
      <c r="A180" s="8">
        <v>177</v>
      </c>
      <c r="B180" s="12">
        <v>9.4963583422386364</v>
      </c>
    </row>
    <row r="181" spans="1:2" ht="17.399999999999999" x14ac:dyDescent="0.3">
      <c r="A181" s="8">
        <v>178</v>
      </c>
      <c r="B181" s="12">
        <v>23.423352434551816</v>
      </c>
    </row>
    <row r="182" spans="1:2" ht="17.399999999999999" x14ac:dyDescent="0.3">
      <c r="A182" s="8">
        <v>179</v>
      </c>
      <c r="B182" s="12">
        <v>35.967477176871398</v>
      </c>
    </row>
    <row r="183" spans="1:2" ht="17.399999999999999" x14ac:dyDescent="0.3">
      <c r="A183" s="8">
        <v>180</v>
      </c>
      <c r="B183" s="12">
        <v>48.074077614931412</v>
      </c>
    </row>
    <row r="184" spans="1:2" ht="17.399999999999999" x14ac:dyDescent="0.3">
      <c r="A184" s="8">
        <v>181</v>
      </c>
      <c r="B184" s="12">
        <v>95.348050251897803</v>
      </c>
    </row>
    <row r="185" spans="1:2" ht="17.399999999999999" x14ac:dyDescent="0.3">
      <c r="A185" s="8">
        <v>182</v>
      </c>
      <c r="B185" s="12">
        <v>145.3367169653211</v>
      </c>
    </row>
    <row r="186" spans="1:2" ht="17.399999999999999" x14ac:dyDescent="0.3">
      <c r="A186" s="8">
        <v>183</v>
      </c>
      <c r="B186" s="12">
        <v>161.35076548490451</v>
      </c>
    </row>
    <row r="187" spans="1:2" ht="17.399999999999999" x14ac:dyDescent="0.3">
      <c r="A187" s="8">
        <v>184</v>
      </c>
      <c r="B187" s="12">
        <v>160.00629423267219</v>
      </c>
    </row>
    <row r="188" spans="1:2" ht="17.399999999999999" x14ac:dyDescent="0.3">
      <c r="A188" s="8">
        <v>185</v>
      </c>
      <c r="B188" s="12">
        <v>177.73983831309033</v>
      </c>
    </row>
    <row r="189" spans="1:2" ht="17.399999999999999" x14ac:dyDescent="0.3">
      <c r="A189" s="8">
        <v>186</v>
      </c>
      <c r="B189" s="12">
        <v>252.55678987591727</v>
      </c>
    </row>
    <row r="190" spans="1:2" ht="17.399999999999999" x14ac:dyDescent="0.3">
      <c r="A190" s="8">
        <v>187</v>
      </c>
      <c r="B190" s="12">
        <v>249.35788094903091</v>
      </c>
    </row>
    <row r="191" spans="1:2" ht="17.399999999999999" x14ac:dyDescent="0.3">
      <c r="A191" s="8">
        <v>188</v>
      </c>
      <c r="B191" s="12">
        <v>260.68718582066049</v>
      </c>
    </row>
    <row r="192" spans="1:2" ht="17.399999999999999" x14ac:dyDescent="0.3">
      <c r="A192" s="8">
        <v>189</v>
      </c>
      <c r="B192" s="12">
        <v>149.52011380548174</v>
      </c>
    </row>
    <row r="193" spans="1:2" ht="17.399999999999999" x14ac:dyDescent="0.3">
      <c r="A193" s="8">
        <v>190</v>
      </c>
      <c r="B193" s="12">
        <v>139.02230984061225</v>
      </c>
    </row>
    <row r="194" spans="1:2" ht="17.399999999999999" x14ac:dyDescent="0.3">
      <c r="A194" s="8">
        <v>191</v>
      </c>
      <c r="B194" s="12">
        <v>161.34192759021516</v>
      </c>
    </row>
    <row r="195" spans="1:2" ht="17.399999999999999" x14ac:dyDescent="0.3">
      <c r="A195" s="8">
        <v>192</v>
      </c>
      <c r="B195" s="12">
        <v>127.28783755527274</v>
      </c>
    </row>
    <row r="196" spans="1:2" ht="17.399999999999999" x14ac:dyDescent="0.3">
      <c r="A196" s="8">
        <v>193</v>
      </c>
      <c r="B196" s="12">
        <v>127.09312391946696</v>
      </c>
    </row>
    <row r="197" spans="1:2" ht="17.399999999999999" x14ac:dyDescent="0.3">
      <c r="A197" s="8">
        <v>194</v>
      </c>
      <c r="B197" s="12">
        <v>38.052449552044891</v>
      </c>
    </row>
    <row r="198" spans="1:2" ht="17.399999999999999" x14ac:dyDescent="0.3">
      <c r="A198" s="8">
        <v>195</v>
      </c>
      <c r="B198" s="12">
        <v>13.521330327460419</v>
      </c>
    </row>
    <row r="199" spans="1:2" ht="17.399999999999999" x14ac:dyDescent="0.3">
      <c r="A199" s="8">
        <v>196</v>
      </c>
      <c r="B199" s="12">
        <v>20.208613736443112</v>
      </c>
    </row>
    <row r="200" spans="1:2" ht="17.399999999999999" x14ac:dyDescent="0.3">
      <c r="A200" s="8">
        <v>197</v>
      </c>
      <c r="B200" s="12">
        <v>36.898445128900676</v>
      </c>
    </row>
    <row r="201" spans="1:2" ht="17.399999999999999" x14ac:dyDescent="0.3">
      <c r="A201" s="8">
        <v>198</v>
      </c>
      <c r="B201" s="12">
        <v>51.720217610550208</v>
      </c>
    </row>
    <row r="202" spans="1:2" ht="17.399999999999999" x14ac:dyDescent="0.3">
      <c r="A202" s="8">
        <v>199</v>
      </c>
      <c r="B202" s="12">
        <v>47.001636653293644</v>
      </c>
    </row>
    <row r="203" spans="1:2" ht="17.399999999999999" x14ac:dyDescent="0.3">
      <c r="A203" s="8">
        <v>200</v>
      </c>
      <c r="B203" s="12">
        <v>83.903849683746557</v>
      </c>
    </row>
    <row r="204" spans="1:2" x14ac:dyDescent="0.3">
      <c r="A204" s="63" t="s">
        <v>160</v>
      </c>
      <c r="B204" s="14">
        <f>AVERAGE(B4:B203)</f>
        <v>54.447429047174445</v>
      </c>
    </row>
    <row r="205" spans="1:2" x14ac:dyDescent="0.3">
      <c r="A205" s="63" t="s">
        <v>161</v>
      </c>
      <c r="B205" s="14">
        <f>_xlfn.VAR.S(B4:B203)</f>
        <v>1955.9824903874953</v>
      </c>
    </row>
    <row r="206" spans="1:2" x14ac:dyDescent="0.3">
      <c r="A206" s="63" t="s">
        <v>162</v>
      </c>
      <c r="B206" s="14">
        <f>SQRT(B205)</f>
        <v>44.226490821536984</v>
      </c>
    </row>
  </sheetData>
  <sortState ref="F7:F34">
    <sortCondition ref="F7"/>
  </sortState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S54"/>
  <sheetViews>
    <sheetView zoomScale="70" zoomScaleNormal="70" workbookViewId="0"/>
  </sheetViews>
  <sheetFormatPr defaultRowHeight="14.4" x14ac:dyDescent="0.3"/>
  <cols>
    <col min="1" max="1" width="11.44140625" customWidth="1"/>
    <col min="2" max="2" width="12.33203125" bestFit="1" customWidth="1"/>
    <col min="3" max="3" width="11.5546875" bestFit="1" customWidth="1"/>
    <col min="4" max="4" width="12.33203125" bestFit="1" customWidth="1"/>
    <col min="5" max="6" width="11.5546875" bestFit="1" customWidth="1"/>
    <col min="11" max="11" width="12" bestFit="1" customWidth="1"/>
  </cols>
  <sheetData>
    <row r="1" spans="1:11" ht="18" x14ac:dyDescent="0.35">
      <c r="A1" s="19"/>
      <c r="B1" s="20" t="s">
        <v>40</v>
      </c>
      <c r="C1" s="19"/>
      <c r="D1" s="19"/>
      <c r="E1" s="19"/>
      <c r="F1" s="19"/>
      <c r="G1" s="19"/>
      <c r="H1" s="19"/>
      <c r="I1" s="19"/>
      <c r="J1" s="19"/>
      <c r="K1" s="19"/>
    </row>
    <row r="2" spans="1:11" x14ac:dyDescent="0.3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</row>
    <row r="3" spans="1:11" x14ac:dyDescent="0.3">
      <c r="A3" s="19"/>
      <c r="B3" s="21" t="s">
        <v>41</v>
      </c>
      <c r="C3" s="22">
        <v>0.7</v>
      </c>
      <c r="D3" s="22">
        <v>0.8</v>
      </c>
      <c r="E3" s="22">
        <v>0.9</v>
      </c>
      <c r="F3" s="22">
        <v>1</v>
      </c>
      <c r="G3" s="22">
        <v>1.1000000000000001</v>
      </c>
      <c r="H3" s="22">
        <v>1.2</v>
      </c>
      <c r="I3" s="22">
        <v>1.3</v>
      </c>
      <c r="J3" s="19"/>
      <c r="K3" s="19"/>
    </row>
    <row r="4" spans="1:11" x14ac:dyDescent="0.3">
      <c r="A4" s="22" t="s">
        <v>19</v>
      </c>
      <c r="B4" s="21" t="s">
        <v>42</v>
      </c>
      <c r="C4" s="23">
        <f>C3*Лист1!$F$2</f>
        <v>2.7999999999999997E-2</v>
      </c>
      <c r="D4" s="23">
        <f>D3*Лист1!$F$2</f>
        <v>3.2000000000000001E-2</v>
      </c>
      <c r="E4" s="23">
        <f>E3*Лист1!$F$2</f>
        <v>3.6000000000000004E-2</v>
      </c>
      <c r="F4" s="23">
        <f>F3*Лист1!$F$2</f>
        <v>0.04</v>
      </c>
      <c r="G4" s="23">
        <f>G3*Лист1!$F$2</f>
        <v>4.4000000000000004E-2</v>
      </c>
      <c r="H4" s="23">
        <f>H3*Лист1!$F$2</f>
        <v>4.8000000000000001E-2</v>
      </c>
      <c r="I4" s="23">
        <f>I3*Лист1!$F$2</f>
        <v>5.2000000000000005E-2</v>
      </c>
      <c r="J4" s="19"/>
      <c r="K4" s="19"/>
    </row>
    <row r="5" spans="1:11" x14ac:dyDescent="0.3">
      <c r="A5" s="22">
        <v>1</v>
      </c>
      <c r="B5" s="22" t="s">
        <v>43</v>
      </c>
      <c r="C5" s="69">
        <v>783.17171473829762</v>
      </c>
      <c r="D5" s="69">
        <v>1151.4428219993745</v>
      </c>
      <c r="E5" s="69">
        <v>256.20259854445464</v>
      </c>
      <c r="F5" s="69">
        <v>365.4351682019302</v>
      </c>
      <c r="G5" s="69">
        <v>412.75013441849666</v>
      </c>
      <c r="H5" s="69">
        <v>175.31738775453357</v>
      </c>
      <c r="I5" s="69">
        <v>61.421404886435731</v>
      </c>
      <c r="J5" s="19"/>
      <c r="K5" s="19"/>
    </row>
    <row r="6" spans="1:11" x14ac:dyDescent="0.3">
      <c r="A6" s="22">
        <v>2</v>
      </c>
      <c r="B6" s="22" t="s">
        <v>44</v>
      </c>
      <c r="C6" s="69">
        <v>1307.1861261262061</v>
      </c>
      <c r="D6" s="69">
        <v>878.27836408370092</v>
      </c>
      <c r="E6" s="69">
        <v>782.18216097120933</v>
      </c>
      <c r="F6" s="69">
        <v>444.59185495336772</v>
      </c>
      <c r="G6" s="69">
        <v>90.49005907247853</v>
      </c>
      <c r="H6" s="69">
        <v>95.051506306668102</v>
      </c>
      <c r="I6" s="69">
        <v>83.122374099802258</v>
      </c>
      <c r="J6" s="19"/>
      <c r="K6" s="19"/>
    </row>
    <row r="7" spans="1:11" x14ac:dyDescent="0.3">
      <c r="A7" s="22">
        <v>3</v>
      </c>
      <c r="B7" s="22" t="s">
        <v>45</v>
      </c>
      <c r="C7" s="69">
        <v>1429.9560872726177</v>
      </c>
      <c r="D7" s="69">
        <v>938.08530194696277</v>
      </c>
      <c r="E7" s="69">
        <v>794.15525154545435</v>
      </c>
      <c r="F7" s="69">
        <v>177.34869386439996</v>
      </c>
      <c r="G7" s="69">
        <v>194.69650622544833</v>
      </c>
      <c r="H7" s="69">
        <v>98.31246030465941</v>
      </c>
      <c r="I7" s="69">
        <v>43.787800413233725</v>
      </c>
      <c r="J7" s="19"/>
      <c r="K7" s="19"/>
    </row>
    <row r="8" spans="1:11" x14ac:dyDescent="0.3">
      <c r="A8" s="22">
        <v>4</v>
      </c>
      <c r="B8" s="22" t="s">
        <v>46</v>
      </c>
      <c r="C8" s="69">
        <v>1589.5409908424353</v>
      </c>
      <c r="D8" s="69">
        <v>735.45227983866937</v>
      </c>
      <c r="E8" s="69">
        <v>257.95609985570633</v>
      </c>
      <c r="F8" s="69">
        <v>464.82006030516118</v>
      </c>
      <c r="G8" s="69">
        <v>296.45759779763847</v>
      </c>
      <c r="H8" s="69">
        <v>42.938321809760161</v>
      </c>
      <c r="I8" s="69">
        <v>70.236907839353677</v>
      </c>
      <c r="J8" s="19"/>
      <c r="K8" s="19"/>
    </row>
    <row r="9" spans="1:11" x14ac:dyDescent="0.3">
      <c r="A9" s="22">
        <v>5</v>
      </c>
      <c r="B9" s="22" t="s">
        <v>47</v>
      </c>
      <c r="C9" s="69">
        <v>1324.2272442558181</v>
      </c>
      <c r="D9" s="69">
        <v>917.02983472729693</v>
      </c>
      <c r="E9" s="69">
        <v>483.69914121797228</v>
      </c>
      <c r="F9" s="69">
        <v>218.94360906779838</v>
      </c>
      <c r="G9" s="69">
        <v>69.135607981822503</v>
      </c>
      <c r="H9" s="69">
        <v>64.191661851926185</v>
      </c>
      <c r="I9" s="69">
        <v>55.519537823422468</v>
      </c>
      <c r="J9" s="19"/>
      <c r="K9" s="19"/>
    </row>
    <row r="10" spans="1:11" x14ac:dyDescent="0.3">
      <c r="A10" s="19"/>
      <c r="B10" s="22" t="s">
        <v>48</v>
      </c>
      <c r="C10" s="70">
        <f>AVERAGE(C5:C9)</f>
        <v>1286.8164326470749</v>
      </c>
      <c r="D10" s="70">
        <f t="shared" ref="D10:I10" si="0">AVERAGE(D5:D9)</f>
        <v>924.05772051920087</v>
      </c>
      <c r="E10" s="70">
        <f t="shared" si="0"/>
        <v>514.83905042695937</v>
      </c>
      <c r="F10" s="70">
        <f t="shared" si="0"/>
        <v>334.22787727853154</v>
      </c>
      <c r="G10" s="70">
        <f t="shared" si="0"/>
        <v>212.70598109917688</v>
      </c>
      <c r="H10" s="70">
        <f t="shared" si="0"/>
        <v>95.162267605509484</v>
      </c>
      <c r="I10" s="70">
        <f t="shared" si="0"/>
        <v>62.817605012449562</v>
      </c>
      <c r="J10" s="19"/>
      <c r="K10" s="19"/>
    </row>
    <row r="11" spans="1:11" x14ac:dyDescent="0.3">
      <c r="A11" s="19"/>
      <c r="B11" s="19"/>
      <c r="C11" s="19"/>
      <c r="D11" s="19"/>
      <c r="E11" s="19"/>
      <c r="F11" s="19"/>
      <c r="G11" s="19"/>
      <c r="H11" s="19"/>
      <c r="I11" s="19"/>
      <c r="J11" s="19"/>
      <c r="K11" s="19"/>
    </row>
    <row r="12" spans="1:11" x14ac:dyDescent="0.3">
      <c r="A12" s="22" t="s">
        <v>49</v>
      </c>
      <c r="B12" s="22" t="s">
        <v>50</v>
      </c>
      <c r="C12" s="22" t="s">
        <v>51</v>
      </c>
      <c r="D12" s="22" t="s">
        <v>52</v>
      </c>
      <c r="E12" s="22" t="s">
        <v>53</v>
      </c>
      <c r="F12" s="22" t="s">
        <v>54</v>
      </c>
      <c r="J12" s="24" t="s">
        <v>55</v>
      </c>
      <c r="K12" s="27">
        <f>$B$54</f>
        <v>-50285.004089812857</v>
      </c>
    </row>
    <row r="13" spans="1:11" x14ac:dyDescent="0.3">
      <c r="A13" s="29">
        <f t="array" ref="A13:A19">TRANSPOSE(C10:I10)</f>
        <v>1286.8164326470749</v>
      </c>
      <c r="B13" s="22">
        <f t="array" ref="B13:B19">TRANSPOSE(C4:I4)</f>
        <v>2.7999999999999997E-2</v>
      </c>
      <c r="C13" s="22">
        <f>LN(A13)</f>
        <v>7.1599265654473641</v>
      </c>
      <c r="D13" s="22">
        <f>LN(B13)</f>
        <v>-3.575550768806933</v>
      </c>
      <c r="E13" s="29">
        <f>$K$12*B13+$K$13</f>
        <v>1093.5096111618836</v>
      </c>
      <c r="F13" s="22">
        <f>$K$19*B13^$K$17</f>
        <v>1639.7453343301856</v>
      </c>
      <c r="J13" s="24" t="s">
        <v>56</v>
      </c>
      <c r="K13" s="27">
        <f>$B$53</f>
        <v>2501.4897256766435</v>
      </c>
    </row>
    <row r="14" spans="1:11" x14ac:dyDescent="0.3">
      <c r="A14" s="29">
        <v>924.05772051920087</v>
      </c>
      <c r="B14" s="22">
        <v>3.2000000000000001E-2</v>
      </c>
      <c r="C14" s="22">
        <f t="shared" ref="C14:C19" si="1">LN(A14)</f>
        <v>6.8287745377850069</v>
      </c>
      <c r="D14" s="22">
        <f t="shared" ref="D14:D19" si="2">LN(B14)</f>
        <v>-3.4420193761824103</v>
      </c>
      <c r="E14" s="29">
        <f t="shared" ref="E14:E19" si="3">$K$12*B14+$K$13</f>
        <v>892.36959480263204</v>
      </c>
      <c r="F14" s="22">
        <f t="shared" ref="F14:F19" si="4">$K$19*B14^$K$17</f>
        <v>843.03594735139154</v>
      </c>
      <c r="J14" s="19"/>
      <c r="K14" s="19"/>
    </row>
    <row r="15" spans="1:11" x14ac:dyDescent="0.3">
      <c r="A15" s="29">
        <v>514.83905042695937</v>
      </c>
      <c r="B15" s="22">
        <v>3.6000000000000004E-2</v>
      </c>
      <c r="C15" s="22">
        <f t="shared" si="1"/>
        <v>6.2438543283753107</v>
      </c>
      <c r="D15" s="22">
        <f t="shared" si="2"/>
        <v>-3.3242363405260269</v>
      </c>
      <c r="E15" s="29">
        <f t="shared" si="3"/>
        <v>691.22957844338043</v>
      </c>
      <c r="F15" s="22">
        <f t="shared" si="4"/>
        <v>468.80420451477806</v>
      </c>
      <c r="J15" s="19"/>
      <c r="K15" s="19"/>
    </row>
    <row r="16" spans="1:11" x14ac:dyDescent="0.3">
      <c r="A16" s="29">
        <v>334.22787727853154</v>
      </c>
      <c r="B16" s="22">
        <v>0.04</v>
      </c>
      <c r="C16" s="22">
        <f t="shared" si="1"/>
        <v>5.811823027639166</v>
      </c>
      <c r="D16" s="22">
        <f t="shared" si="2"/>
        <v>-3.2188758248682006</v>
      </c>
      <c r="E16" s="29">
        <f t="shared" si="3"/>
        <v>490.08956208412906</v>
      </c>
      <c r="F16" s="22">
        <f t="shared" si="4"/>
        <v>277.34241564585727</v>
      </c>
      <c r="J16" s="19"/>
      <c r="K16" s="19"/>
    </row>
    <row r="17" spans="1:11" x14ac:dyDescent="0.3">
      <c r="A17" s="29">
        <v>212.70598109917688</v>
      </c>
      <c r="B17" s="22">
        <v>4.4000000000000004E-2</v>
      </c>
      <c r="C17" s="22">
        <f t="shared" si="1"/>
        <v>5.3599108416941306</v>
      </c>
      <c r="D17" s="22">
        <f t="shared" si="2"/>
        <v>-3.1235656450638758</v>
      </c>
      <c r="E17" s="29">
        <f t="shared" si="3"/>
        <v>288.94954572487768</v>
      </c>
      <c r="F17" s="22">
        <f t="shared" si="4"/>
        <v>172.49941892167033</v>
      </c>
      <c r="J17" s="24" t="s">
        <v>57</v>
      </c>
      <c r="K17" s="27">
        <f>$L$54</f>
        <v>-4.9822488365786866</v>
      </c>
    </row>
    <row r="18" spans="1:11" x14ac:dyDescent="0.3">
      <c r="A18" s="29">
        <v>95.162267605509484</v>
      </c>
      <c r="B18" s="22">
        <v>4.8000000000000001E-2</v>
      </c>
      <c r="C18" s="22">
        <f t="shared" si="1"/>
        <v>4.5555835145487968</v>
      </c>
      <c r="D18" s="22">
        <f t="shared" si="2"/>
        <v>-3.0365542680742461</v>
      </c>
      <c r="E18" s="29">
        <f t="shared" si="3"/>
        <v>87.809529365626076</v>
      </c>
      <c r="F18" s="22">
        <f t="shared" si="4"/>
        <v>111.81900486474477</v>
      </c>
      <c r="G18" s="19"/>
      <c r="H18" s="19"/>
      <c r="I18" s="19"/>
      <c r="J18" s="24" t="s">
        <v>58</v>
      </c>
      <c r="K18" s="27">
        <f>$L$53</f>
        <v>-10.411987433200936</v>
      </c>
    </row>
    <row r="19" spans="1:11" x14ac:dyDescent="0.3">
      <c r="A19" s="29">
        <v>62.817605012449562</v>
      </c>
      <c r="B19" s="22">
        <v>5.2000000000000005E-2</v>
      </c>
      <c r="C19" s="22">
        <f t="shared" si="1"/>
        <v>4.1402353687808988</v>
      </c>
      <c r="D19" s="22">
        <f t="shared" si="2"/>
        <v>-2.9565115604007097</v>
      </c>
      <c r="E19" s="29">
        <f t="shared" si="3"/>
        <v>-113.33048699362553</v>
      </c>
      <c r="F19" s="22">
        <f t="shared" si="4"/>
        <v>75.045068690870579</v>
      </c>
      <c r="G19" s="19"/>
      <c r="H19" s="19"/>
      <c r="I19" s="19"/>
      <c r="J19" s="24" t="s">
        <v>59</v>
      </c>
      <c r="K19" s="27">
        <f>EXP(K18)</f>
        <v>3.0069853492187315E-5</v>
      </c>
    </row>
    <row r="37" spans="1:16" x14ac:dyDescent="0.3">
      <c r="A37" t="s">
        <v>60</v>
      </c>
      <c r="K37" t="s">
        <v>60</v>
      </c>
    </row>
    <row r="38" spans="1:16" ht="15" thickBot="1" x14ac:dyDescent="0.35"/>
    <row r="39" spans="1:16" x14ac:dyDescent="0.3">
      <c r="A39" s="25" t="s">
        <v>61</v>
      </c>
      <c r="B39" s="25"/>
      <c r="K39" s="25" t="s">
        <v>61</v>
      </c>
      <c r="L39" s="25"/>
    </row>
    <row r="40" spans="1:16" x14ac:dyDescent="0.3">
      <c r="A40" s="16" t="s">
        <v>62</v>
      </c>
      <c r="B40" s="16">
        <v>0.94687718437775337</v>
      </c>
      <c r="K40" s="16" t="s">
        <v>62</v>
      </c>
      <c r="L40" s="16">
        <v>0.98587136542133436</v>
      </c>
    </row>
    <row r="41" spans="1:16" x14ac:dyDescent="0.3">
      <c r="A41" s="28" t="s">
        <v>63</v>
      </c>
      <c r="B41" s="28">
        <v>0.89657640229514202</v>
      </c>
      <c r="K41" s="28" t="s">
        <v>63</v>
      </c>
      <c r="L41" s="28">
        <v>0.97194234915772615</v>
      </c>
    </row>
    <row r="42" spans="1:16" x14ac:dyDescent="0.3">
      <c r="A42" s="16" t="s">
        <v>64</v>
      </c>
      <c r="B42" s="16">
        <v>0.8758916827541704</v>
      </c>
      <c r="K42" s="16" t="s">
        <v>64</v>
      </c>
      <c r="L42" s="16">
        <v>0.96633081898927142</v>
      </c>
    </row>
    <row r="43" spans="1:16" x14ac:dyDescent="0.3">
      <c r="A43" s="16" t="s">
        <v>65</v>
      </c>
      <c r="B43" s="16">
        <v>161.66226642746673</v>
      </c>
      <c r="K43" s="16" t="s">
        <v>65</v>
      </c>
      <c r="L43" s="16">
        <v>0.2060545786526897</v>
      </c>
    </row>
    <row r="44" spans="1:16" ht="15" thickBot="1" x14ac:dyDescent="0.35">
      <c r="A44" s="17" t="s">
        <v>66</v>
      </c>
      <c r="B44" s="17">
        <v>7</v>
      </c>
      <c r="K44" s="17" t="s">
        <v>66</v>
      </c>
      <c r="L44" s="17">
        <v>7</v>
      </c>
    </row>
    <row r="46" spans="1:16" ht="15" thickBot="1" x14ac:dyDescent="0.35">
      <c r="A46" t="s">
        <v>67</v>
      </c>
      <c r="K46" t="s">
        <v>67</v>
      </c>
    </row>
    <row r="47" spans="1:16" x14ac:dyDescent="0.3">
      <c r="A47" s="18"/>
      <c r="B47" s="18" t="s">
        <v>72</v>
      </c>
      <c r="C47" s="18" t="s">
        <v>73</v>
      </c>
      <c r="D47" s="18" t="s">
        <v>74</v>
      </c>
      <c r="E47" s="18" t="s">
        <v>75</v>
      </c>
      <c r="F47" s="18" t="s">
        <v>76</v>
      </c>
      <c r="K47" s="18"/>
      <c r="L47" s="18" t="s">
        <v>72</v>
      </c>
      <c r="M47" s="18" t="s">
        <v>73</v>
      </c>
      <c r="N47" s="18" t="s">
        <v>74</v>
      </c>
      <c r="O47" s="18" t="s">
        <v>75</v>
      </c>
      <c r="P47" s="18" t="s">
        <v>76</v>
      </c>
    </row>
    <row r="48" spans="1:16" x14ac:dyDescent="0.3">
      <c r="A48" s="16" t="s">
        <v>68</v>
      </c>
      <c r="B48" s="16">
        <v>1</v>
      </c>
      <c r="C48" s="16">
        <v>1132804.5730679987</v>
      </c>
      <c r="D48" s="16">
        <v>1132804.5730679987</v>
      </c>
      <c r="E48" s="16">
        <v>43.344866268031005</v>
      </c>
      <c r="F48" s="16">
        <v>1.2139024292382595E-3</v>
      </c>
      <c r="K48" s="16" t="s">
        <v>68</v>
      </c>
      <c r="L48" s="16">
        <v>1</v>
      </c>
      <c r="M48" s="16">
        <v>7.3540019699621064</v>
      </c>
      <c r="N48" s="16">
        <v>7.3540019699621064</v>
      </c>
      <c r="O48" s="16">
        <v>173.20451284776152</v>
      </c>
      <c r="P48" s="16">
        <v>4.5228192961171863E-5</v>
      </c>
    </row>
    <row r="49" spans="1:19" x14ac:dyDescent="0.3">
      <c r="A49" s="16" t="s">
        <v>69</v>
      </c>
      <c r="B49" s="16">
        <v>5</v>
      </c>
      <c r="C49" s="16">
        <v>130673.44193232618</v>
      </c>
      <c r="D49" s="16">
        <v>26134.688386465237</v>
      </c>
      <c r="E49" s="16"/>
      <c r="F49" s="16"/>
      <c r="K49" s="16" t="s">
        <v>69</v>
      </c>
      <c r="L49" s="16">
        <v>5</v>
      </c>
      <c r="M49" s="16">
        <v>0.21229244691868746</v>
      </c>
      <c r="N49" s="16">
        <v>4.2458489383737488E-2</v>
      </c>
      <c r="O49" s="16"/>
      <c r="P49" s="16"/>
    </row>
    <row r="50" spans="1:19" ht="15" thickBot="1" x14ac:dyDescent="0.35">
      <c r="A50" s="17" t="s">
        <v>70</v>
      </c>
      <c r="B50" s="17">
        <v>6</v>
      </c>
      <c r="C50" s="17">
        <v>1263478.0150003249</v>
      </c>
      <c r="D50" s="17"/>
      <c r="E50" s="17"/>
      <c r="F50" s="17"/>
      <c r="K50" s="17" t="s">
        <v>70</v>
      </c>
      <c r="L50" s="17">
        <v>6</v>
      </c>
      <c r="M50" s="17">
        <v>7.566294416880794</v>
      </c>
      <c r="N50" s="17"/>
      <c r="O50" s="17"/>
      <c r="P50" s="17"/>
    </row>
    <row r="51" spans="1:19" ht="15" thickBot="1" x14ac:dyDescent="0.35"/>
    <row r="52" spans="1:19" x14ac:dyDescent="0.3">
      <c r="A52" s="18"/>
      <c r="B52" s="18" t="s">
        <v>77</v>
      </c>
      <c r="C52" s="18" t="s">
        <v>65</v>
      </c>
      <c r="D52" s="18" t="s">
        <v>78</v>
      </c>
      <c r="E52" s="18" t="s">
        <v>79</v>
      </c>
      <c r="F52" s="18" t="s">
        <v>80</v>
      </c>
      <c r="G52" s="18" t="s">
        <v>81</v>
      </c>
      <c r="H52" s="18" t="s">
        <v>82</v>
      </c>
      <c r="I52" s="18" t="s">
        <v>83</v>
      </c>
      <c r="K52" s="18"/>
      <c r="L52" s="18" t="s">
        <v>77</v>
      </c>
      <c r="M52" s="18" t="s">
        <v>65</v>
      </c>
      <c r="N52" s="18" t="s">
        <v>78</v>
      </c>
      <c r="O52" s="18" t="s">
        <v>79</v>
      </c>
      <c r="P52" s="18" t="s">
        <v>80</v>
      </c>
      <c r="Q52" s="18" t="s">
        <v>81</v>
      </c>
      <c r="R52" s="18" t="s">
        <v>82</v>
      </c>
      <c r="S52" s="18" t="s">
        <v>83</v>
      </c>
    </row>
    <row r="53" spans="1:19" x14ac:dyDescent="0.3">
      <c r="A53" s="28" t="s">
        <v>71</v>
      </c>
      <c r="B53" s="28">
        <v>2501.4897256766435</v>
      </c>
      <c r="C53" s="16">
        <v>311.56331575003588</v>
      </c>
      <c r="D53" s="16">
        <v>8.0288326616846106</v>
      </c>
      <c r="E53" s="16">
        <v>4.8466019929892376E-4</v>
      </c>
      <c r="F53" s="16">
        <v>1700.5907255589796</v>
      </c>
      <c r="G53" s="16">
        <v>3302.3887257943074</v>
      </c>
      <c r="H53" s="16">
        <v>1700.5907255589796</v>
      </c>
      <c r="I53" s="16">
        <v>3302.3887257943074</v>
      </c>
      <c r="K53" s="28" t="s">
        <v>71</v>
      </c>
      <c r="L53" s="28">
        <v>-10.411987433200936</v>
      </c>
      <c r="M53" s="16">
        <v>1.2288908041649751</v>
      </c>
      <c r="N53" s="16">
        <v>-8.4726709630444574</v>
      </c>
      <c r="O53" s="16">
        <v>3.76246940182227E-4</v>
      </c>
      <c r="P53" s="16">
        <v>-13.570951812367925</v>
      </c>
      <c r="Q53" s="16">
        <v>-7.2530230540339478</v>
      </c>
      <c r="R53" s="16">
        <v>-13.570951812367925</v>
      </c>
      <c r="S53" s="16">
        <v>-7.2530230540339478</v>
      </c>
    </row>
    <row r="54" spans="1:19" ht="15" thickBot="1" x14ac:dyDescent="0.35">
      <c r="A54" s="28" t="s">
        <v>84</v>
      </c>
      <c r="B54" s="28">
        <v>-50285.004089812857</v>
      </c>
      <c r="C54" s="17">
        <v>7637.8241669668423</v>
      </c>
      <c r="D54" s="17">
        <v>-6.5836818170405991</v>
      </c>
      <c r="E54" s="17">
        <v>1.2139024292382595E-3</v>
      </c>
      <c r="F54" s="17">
        <v>-69918.656157201884</v>
      </c>
      <c r="G54" s="17">
        <v>-30651.352022423824</v>
      </c>
      <c r="H54" s="17">
        <v>-69918.656157201884</v>
      </c>
      <c r="I54" s="17">
        <v>-30651.352022423824</v>
      </c>
      <c r="K54" s="28" t="s">
        <v>84</v>
      </c>
      <c r="L54" s="28">
        <v>-4.9822488365786866</v>
      </c>
      <c r="M54" s="17">
        <v>0.3785696667151891</v>
      </c>
      <c r="N54" s="17">
        <v>-13.160718553626227</v>
      </c>
      <c r="O54" s="17">
        <v>4.5228192961171863E-5</v>
      </c>
      <c r="P54" s="17">
        <v>-5.9553931453596451</v>
      </c>
      <c r="Q54" s="17">
        <v>-4.009104527797728</v>
      </c>
      <c r="R54" s="17">
        <v>-5.9553931453596451</v>
      </c>
      <c r="S54" s="17">
        <v>-4.009104527797728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I23"/>
  <sheetViews>
    <sheetView zoomScale="70" zoomScaleNormal="70" workbookViewId="0"/>
  </sheetViews>
  <sheetFormatPr defaultRowHeight="14.4" x14ac:dyDescent="0.3"/>
  <sheetData>
    <row r="1" spans="1:9" x14ac:dyDescent="0.3">
      <c r="B1" s="32" t="s">
        <v>89</v>
      </c>
      <c r="C1" s="33">
        <v>0.04</v>
      </c>
      <c r="D1" s="32" t="s">
        <v>4</v>
      </c>
      <c r="E1" s="33">
        <v>5.5E-2</v>
      </c>
    </row>
    <row r="3" spans="1:9" ht="15.6" x14ac:dyDescent="0.3">
      <c r="A3" s="30" t="s">
        <v>19</v>
      </c>
      <c r="B3" s="30" t="s">
        <v>85</v>
      </c>
      <c r="C3" s="30" t="s">
        <v>86</v>
      </c>
      <c r="D3" s="30" t="s">
        <v>87</v>
      </c>
      <c r="E3" s="30" t="s">
        <v>91</v>
      </c>
      <c r="F3" s="30" t="s">
        <v>88</v>
      </c>
      <c r="G3" s="30" t="s">
        <v>92</v>
      </c>
      <c r="H3" s="30" t="s">
        <v>90</v>
      </c>
      <c r="I3" s="30" t="s">
        <v>93</v>
      </c>
    </row>
    <row r="4" spans="1:9" x14ac:dyDescent="0.3">
      <c r="A4" s="30">
        <v>1</v>
      </c>
      <c r="B4" s="31">
        <f ca="1">RAND()</f>
        <v>0.16816640908895963</v>
      </c>
      <c r="C4" s="31">
        <f ca="1">RAND()</f>
        <v>0.27545985433106934</v>
      </c>
      <c r="D4" s="31">
        <f ca="1">-(1/$C$1)*LN(B4)</f>
        <v>44.570031488471706</v>
      </c>
      <c r="E4" s="31">
        <f ca="1">D4</f>
        <v>44.570031488471706</v>
      </c>
      <c r="F4" s="31">
        <f ca="1">-(1/$E$1)*LN(C4)</f>
        <v>23.442061460249473</v>
      </c>
      <c r="G4" s="31">
        <v>0</v>
      </c>
      <c r="H4" s="31">
        <f ca="1">E4+G4+F4</f>
        <v>68.012092948721175</v>
      </c>
      <c r="I4" s="31">
        <f ca="1">H4-E4</f>
        <v>23.442061460249469</v>
      </c>
    </row>
    <row r="5" spans="1:9" x14ac:dyDescent="0.3">
      <c r="A5" s="30">
        <v>2</v>
      </c>
      <c r="B5" s="31">
        <f ca="1">RAND()</f>
        <v>3.5907794618342925E-2</v>
      </c>
      <c r="C5" s="31">
        <f ca="1">RAND()</f>
        <v>0.48985572435657754</v>
      </c>
      <c r="D5" s="31">
        <f ca="1">-(1/$C$1)*LN(B5)</f>
        <v>83.170022169174956</v>
      </c>
      <c r="E5" s="31">
        <f ca="1">E4+D5</f>
        <v>127.74005365764665</v>
      </c>
      <c r="F5" s="31">
        <f t="shared" ref="F5:F23" ca="1" si="0">-(1/$E$1)*LN(C5)</f>
        <v>12.975352205855922</v>
      </c>
      <c r="G5" s="31">
        <f ca="1">IF(E5&gt;H4,0,H4-E5)</f>
        <v>0</v>
      </c>
      <c r="H5" s="31">
        <f ca="1">E5+G5+F5</f>
        <v>140.71540586350258</v>
      </c>
      <c r="I5" s="31">
        <f t="shared" ref="I5:I23" ca="1" si="1">H5-E5</f>
        <v>12.975352205855927</v>
      </c>
    </row>
    <row r="6" spans="1:9" x14ac:dyDescent="0.3">
      <c r="A6" s="30">
        <v>3</v>
      </c>
      <c r="B6" s="31">
        <f t="shared" ref="B6:C23" ca="1" si="2">RAND()</f>
        <v>0.46253119389115838</v>
      </c>
      <c r="C6" s="31">
        <f t="shared" ca="1" si="2"/>
        <v>0.99555760955328321</v>
      </c>
      <c r="D6" s="31">
        <f t="shared" ref="D6:D23" ca="1" si="3">-(1/$C$1)*LN(B6)</f>
        <v>19.276031951322501</v>
      </c>
      <c r="E6" s="31">
        <f ca="1">E5+D6</f>
        <v>147.01608560896915</v>
      </c>
      <c r="F6" s="31">
        <f t="shared" ca="1" si="0"/>
        <v>8.0950676075422598E-2</v>
      </c>
      <c r="G6" s="31">
        <f t="shared" ref="G6:G23" ca="1" si="4">IF(E6&gt;H5,0,H5-E6)</f>
        <v>0</v>
      </c>
      <c r="H6" s="31">
        <f t="shared" ref="H6:H23" ca="1" si="5">E6+G6+F6</f>
        <v>147.09703628504457</v>
      </c>
      <c r="I6" s="31">
        <f t="shared" ca="1" si="1"/>
        <v>8.0950676075417505E-2</v>
      </c>
    </row>
    <row r="7" spans="1:9" x14ac:dyDescent="0.3">
      <c r="A7" s="30">
        <v>4</v>
      </c>
      <c r="B7" s="31">
        <f t="shared" ca="1" si="2"/>
        <v>0.66050096317579754</v>
      </c>
      <c r="C7" s="31">
        <f t="shared" ca="1" si="2"/>
        <v>0.6455257493678711</v>
      </c>
      <c r="D7" s="31">
        <f t="shared" ca="1" si="3"/>
        <v>10.368917419207202</v>
      </c>
      <c r="E7" s="31">
        <f t="shared" ref="E7:E23" ca="1" si="6">E6+D7</f>
        <v>157.38500302817636</v>
      </c>
      <c r="F7" s="31">
        <f t="shared" ca="1" si="0"/>
        <v>7.9580032529709248</v>
      </c>
      <c r="G7" s="31">
        <f t="shared" ca="1" si="4"/>
        <v>0</v>
      </c>
      <c r="H7" s="31">
        <f t="shared" ca="1" si="5"/>
        <v>165.34300628114727</v>
      </c>
      <c r="I7" s="31">
        <f t="shared" ca="1" si="1"/>
        <v>7.9580032529709115</v>
      </c>
    </row>
    <row r="8" spans="1:9" x14ac:dyDescent="0.3">
      <c r="A8" s="30">
        <v>5</v>
      </c>
      <c r="B8" s="31">
        <f t="shared" ca="1" si="2"/>
        <v>0.79258441628485865</v>
      </c>
      <c r="C8" s="31">
        <f t="shared" ca="1" si="2"/>
        <v>7.3647037622867395E-2</v>
      </c>
      <c r="D8" s="31">
        <f t="shared" ca="1" si="3"/>
        <v>5.8114064983003431</v>
      </c>
      <c r="E8" s="31">
        <f t="shared" ca="1" si="6"/>
        <v>163.19640952647671</v>
      </c>
      <c r="F8" s="31">
        <f t="shared" ca="1" si="0"/>
        <v>47.426751986304815</v>
      </c>
      <c r="G8" s="31">
        <f t="shared" ca="1" si="4"/>
        <v>2.1465967546705542</v>
      </c>
      <c r="H8" s="31">
        <f t="shared" ca="1" si="5"/>
        <v>212.76975826745209</v>
      </c>
      <c r="I8" s="31">
        <f t="shared" ca="1" si="1"/>
        <v>49.573348740975376</v>
      </c>
    </row>
    <row r="9" spans="1:9" x14ac:dyDescent="0.3">
      <c r="A9" s="30">
        <v>6</v>
      </c>
      <c r="B9" s="31">
        <f t="shared" ca="1" si="2"/>
        <v>0.31532933053654133</v>
      </c>
      <c r="C9" s="31">
        <f t="shared" ca="1" si="2"/>
        <v>0.41648912075633593</v>
      </c>
      <c r="D9" s="31">
        <f t="shared" ca="1" si="3"/>
        <v>28.853442313442113</v>
      </c>
      <c r="E9" s="31">
        <f t="shared" ca="1" si="6"/>
        <v>192.04985183991883</v>
      </c>
      <c r="F9" s="31">
        <f t="shared" ca="1" si="0"/>
        <v>15.925362515444299</v>
      </c>
      <c r="G9" s="31">
        <f t="shared" ca="1" si="4"/>
        <v>20.71990642753326</v>
      </c>
      <c r="H9" s="31">
        <f t="shared" ca="1" si="5"/>
        <v>228.6951207828964</v>
      </c>
      <c r="I9" s="31">
        <f t="shared" ca="1" si="1"/>
        <v>36.645268942977566</v>
      </c>
    </row>
    <row r="10" spans="1:9" x14ac:dyDescent="0.3">
      <c r="A10" s="30">
        <v>7</v>
      </c>
      <c r="B10" s="31">
        <f t="shared" ca="1" si="2"/>
        <v>0.99848060467537092</v>
      </c>
      <c r="C10" s="31">
        <f t="shared" ca="1" si="2"/>
        <v>0.16155650823058543</v>
      </c>
      <c r="D10" s="31">
        <f t="shared" ca="1" si="3"/>
        <v>3.8013769406137488E-2</v>
      </c>
      <c r="E10" s="31">
        <f t="shared" ca="1" si="6"/>
        <v>192.08786560932498</v>
      </c>
      <c r="F10" s="31">
        <f t="shared" ca="1" si="0"/>
        <v>33.143641842803603</v>
      </c>
      <c r="G10" s="31">
        <f t="shared" ca="1" si="4"/>
        <v>36.607255173571417</v>
      </c>
      <c r="H10" s="31">
        <f t="shared" ca="1" si="5"/>
        <v>261.83876262569999</v>
      </c>
      <c r="I10" s="31">
        <f t="shared" ca="1" si="1"/>
        <v>69.750897016375006</v>
      </c>
    </row>
    <row r="11" spans="1:9" x14ac:dyDescent="0.3">
      <c r="A11" s="30">
        <v>8</v>
      </c>
      <c r="B11" s="31">
        <f t="shared" ca="1" si="2"/>
        <v>0.13065447848254985</v>
      </c>
      <c r="C11" s="31">
        <f t="shared" ca="1" si="2"/>
        <v>0.55637200539457898</v>
      </c>
      <c r="D11" s="31">
        <f t="shared" ca="1" si="3"/>
        <v>50.879975228240191</v>
      </c>
      <c r="E11" s="31">
        <f t="shared" ca="1" si="6"/>
        <v>242.96784083756518</v>
      </c>
      <c r="F11" s="31">
        <f t="shared" ca="1" si="0"/>
        <v>10.660329709298074</v>
      </c>
      <c r="G11" s="31">
        <f t="shared" ca="1" si="4"/>
        <v>18.870921788134808</v>
      </c>
      <c r="H11" s="31">
        <f t="shared" ca="1" si="5"/>
        <v>272.49909233499807</v>
      </c>
      <c r="I11" s="31">
        <f t="shared" ca="1" si="1"/>
        <v>29.531251497432891</v>
      </c>
    </row>
    <row r="12" spans="1:9" x14ac:dyDescent="0.3">
      <c r="A12" s="30">
        <v>9</v>
      </c>
      <c r="B12" s="31">
        <f t="shared" ca="1" si="2"/>
        <v>0.62465220625423967</v>
      </c>
      <c r="C12" s="31">
        <f t="shared" ca="1" si="2"/>
        <v>0.7511206735469993</v>
      </c>
      <c r="D12" s="31">
        <f t="shared" ca="1" si="3"/>
        <v>11.764006353146033</v>
      </c>
      <c r="E12" s="31">
        <f t="shared" ca="1" si="6"/>
        <v>254.73184719071122</v>
      </c>
      <c r="F12" s="31">
        <f t="shared" ca="1" si="0"/>
        <v>5.2034355692488834</v>
      </c>
      <c r="G12" s="31">
        <f t="shared" ca="1" si="4"/>
        <v>17.767245144286846</v>
      </c>
      <c r="H12" s="31">
        <f t="shared" ca="1" si="5"/>
        <v>277.70252790424695</v>
      </c>
      <c r="I12" s="31">
        <f t="shared" ca="1" si="1"/>
        <v>22.970680713535728</v>
      </c>
    </row>
    <row r="13" spans="1:9" x14ac:dyDescent="0.3">
      <c r="A13" s="30">
        <v>10</v>
      </c>
      <c r="B13" s="31">
        <f t="shared" ca="1" si="2"/>
        <v>5.6970867986130602E-2</v>
      </c>
      <c r="C13" s="31">
        <f t="shared" ca="1" si="2"/>
        <v>0.81367436837857543</v>
      </c>
      <c r="D13" s="31">
        <f t="shared" ca="1" si="3"/>
        <v>71.630380744004469</v>
      </c>
      <c r="E13" s="31">
        <f t="shared" ca="1" si="6"/>
        <v>326.36222793471569</v>
      </c>
      <c r="F13" s="31">
        <f t="shared" ca="1" si="0"/>
        <v>3.7490005793352945</v>
      </c>
      <c r="G13" s="31">
        <f t="shared" ca="1" si="4"/>
        <v>0</v>
      </c>
      <c r="H13" s="31">
        <f t="shared" ca="1" si="5"/>
        <v>330.11122851405099</v>
      </c>
      <c r="I13" s="31">
        <f t="shared" ca="1" si="1"/>
        <v>3.7490005793353021</v>
      </c>
    </row>
    <row r="14" spans="1:9" x14ac:dyDescent="0.3">
      <c r="A14" s="30">
        <v>11</v>
      </c>
      <c r="B14" s="31">
        <f t="shared" ca="1" si="2"/>
        <v>0.91081399750703418</v>
      </c>
      <c r="C14" s="31">
        <f t="shared" ca="1" si="2"/>
        <v>0.35196114925897393</v>
      </c>
      <c r="D14" s="31">
        <f t="shared" ca="1" si="3"/>
        <v>2.3354144136358403</v>
      </c>
      <c r="E14" s="31">
        <f t="shared" ca="1" si="6"/>
        <v>328.69764234835151</v>
      </c>
      <c r="F14" s="31">
        <f t="shared" ca="1" si="0"/>
        <v>18.986081470886973</v>
      </c>
      <c r="G14" s="31">
        <f t="shared" ca="1" si="4"/>
        <v>1.4135861656994848</v>
      </c>
      <c r="H14" s="31">
        <f t="shared" ca="1" si="5"/>
        <v>349.09730998493797</v>
      </c>
      <c r="I14" s="31">
        <f t="shared" ca="1" si="1"/>
        <v>20.399667636586457</v>
      </c>
    </row>
    <row r="15" spans="1:9" x14ac:dyDescent="0.3">
      <c r="A15" s="30">
        <v>12</v>
      </c>
      <c r="B15" s="31">
        <f t="shared" ca="1" si="2"/>
        <v>0.77623915284508338</v>
      </c>
      <c r="C15" s="31">
        <f t="shared" ca="1" si="2"/>
        <v>0.44246434268957657</v>
      </c>
      <c r="D15" s="31">
        <f t="shared" ca="1" si="3"/>
        <v>6.3323654905658913</v>
      </c>
      <c r="E15" s="31">
        <f t="shared" ca="1" si="6"/>
        <v>335.03000783891741</v>
      </c>
      <c r="F15" s="31">
        <f t="shared" ca="1" si="0"/>
        <v>14.825370895881784</v>
      </c>
      <c r="G15" s="31">
        <f t="shared" ca="1" si="4"/>
        <v>14.067302146020552</v>
      </c>
      <c r="H15" s="31">
        <f t="shared" ca="1" si="5"/>
        <v>363.92268088081977</v>
      </c>
      <c r="I15" s="31">
        <f t="shared" ca="1" si="1"/>
        <v>28.892673041902356</v>
      </c>
    </row>
    <row r="16" spans="1:9" x14ac:dyDescent="0.3">
      <c r="A16" s="30">
        <v>13</v>
      </c>
      <c r="B16" s="31">
        <f t="shared" ca="1" si="2"/>
        <v>0.28668852937809675</v>
      </c>
      <c r="C16" s="31">
        <f t="shared" ca="1" si="2"/>
        <v>0.54608875226228915</v>
      </c>
      <c r="D16" s="31">
        <f t="shared" ca="1" si="3"/>
        <v>31.233972900957774</v>
      </c>
      <c r="E16" s="31">
        <f t="shared" ca="1" si="6"/>
        <v>366.26398073987519</v>
      </c>
      <c r="F16" s="31">
        <f t="shared" ca="1" si="0"/>
        <v>10.999523027565601</v>
      </c>
      <c r="G16" s="31">
        <f t="shared" ca="1" si="4"/>
        <v>0</v>
      </c>
      <c r="H16" s="31">
        <f t="shared" ca="1" si="5"/>
        <v>377.2635037674408</v>
      </c>
      <c r="I16" s="31">
        <f t="shared" ca="1" si="1"/>
        <v>10.999523027565601</v>
      </c>
    </row>
    <row r="17" spans="1:9" x14ac:dyDescent="0.3">
      <c r="A17" s="30">
        <v>14</v>
      </c>
      <c r="B17" s="31">
        <f t="shared" ca="1" si="2"/>
        <v>3.2257071171922669E-2</v>
      </c>
      <c r="C17" s="31">
        <f t="shared" ca="1" si="2"/>
        <v>0.31794352546268811</v>
      </c>
      <c r="D17" s="31">
        <f t="shared" ca="1" si="3"/>
        <v>85.850449965741959</v>
      </c>
      <c r="E17" s="31">
        <f t="shared" ca="1" si="6"/>
        <v>452.11443070561717</v>
      </c>
      <c r="F17" s="31">
        <f t="shared" ca="1" si="0"/>
        <v>20.834209179237682</v>
      </c>
      <c r="G17" s="31">
        <f t="shared" ca="1" si="4"/>
        <v>0</v>
      </c>
      <c r="H17" s="31">
        <f t="shared" ca="1" si="5"/>
        <v>472.94863988485486</v>
      </c>
      <c r="I17" s="31">
        <f t="shared" ca="1" si="1"/>
        <v>20.834209179237689</v>
      </c>
    </row>
    <row r="18" spans="1:9" x14ac:dyDescent="0.3">
      <c r="A18" s="30">
        <v>15</v>
      </c>
      <c r="B18" s="31">
        <f t="shared" ca="1" si="2"/>
        <v>0.35472106786204582</v>
      </c>
      <c r="C18" s="31">
        <f t="shared" ca="1" si="2"/>
        <v>0.86108792216112118</v>
      </c>
      <c r="D18" s="31">
        <f t="shared" ca="1" si="3"/>
        <v>25.910588067053435</v>
      </c>
      <c r="E18" s="31">
        <f t="shared" ca="1" si="6"/>
        <v>478.02501877267059</v>
      </c>
      <c r="F18" s="31">
        <f t="shared" ca="1" si="0"/>
        <v>2.7192484261231398</v>
      </c>
      <c r="G18" s="31">
        <f t="shared" ca="1" si="4"/>
        <v>0</v>
      </c>
      <c r="H18" s="31">
        <f t="shared" ca="1" si="5"/>
        <v>480.74426719879375</v>
      </c>
      <c r="I18" s="31">
        <f t="shared" ca="1" si="1"/>
        <v>2.7192484261231584</v>
      </c>
    </row>
    <row r="19" spans="1:9" x14ac:dyDescent="0.3">
      <c r="A19" s="30">
        <v>16</v>
      </c>
      <c r="B19" s="31">
        <f t="shared" ca="1" si="2"/>
        <v>0.15927686514465011</v>
      </c>
      <c r="C19" s="31">
        <f t="shared" ca="1" si="2"/>
        <v>0.69651194650750736</v>
      </c>
      <c r="D19" s="31">
        <f t="shared" ca="1" si="3"/>
        <v>45.927782520804243</v>
      </c>
      <c r="E19" s="31">
        <f t="shared" ca="1" si="6"/>
        <v>523.95280129347486</v>
      </c>
      <c r="F19" s="31">
        <f t="shared" ca="1" si="0"/>
        <v>6.5758242492559322</v>
      </c>
      <c r="G19" s="31">
        <f t="shared" ca="1" si="4"/>
        <v>0</v>
      </c>
      <c r="H19" s="31">
        <f t="shared" ca="1" si="5"/>
        <v>530.52862554273077</v>
      </c>
      <c r="I19" s="31">
        <f t="shared" ca="1" si="1"/>
        <v>6.575824249255902</v>
      </c>
    </row>
    <row r="20" spans="1:9" x14ac:dyDescent="0.3">
      <c r="A20" s="30">
        <v>17</v>
      </c>
      <c r="B20" s="31">
        <f t="shared" ca="1" si="2"/>
        <v>0.51559697033416318</v>
      </c>
      <c r="C20" s="31">
        <f t="shared" ca="1" si="2"/>
        <v>0.52356462329371489</v>
      </c>
      <c r="D20" s="31">
        <f t="shared" ca="1" si="3"/>
        <v>16.560747098370694</v>
      </c>
      <c r="E20" s="31">
        <f t="shared" ca="1" si="6"/>
        <v>540.51354839184557</v>
      </c>
      <c r="F20" s="31">
        <f t="shared" ca="1" si="0"/>
        <v>11.765360210965083</v>
      </c>
      <c r="G20" s="31">
        <f t="shared" ca="1" si="4"/>
        <v>0</v>
      </c>
      <c r="H20" s="31">
        <f t="shared" ca="1" si="5"/>
        <v>552.2789086028107</v>
      </c>
      <c r="I20" s="31">
        <f t="shared" ca="1" si="1"/>
        <v>11.765360210965127</v>
      </c>
    </row>
    <row r="21" spans="1:9" x14ac:dyDescent="0.3">
      <c r="A21" s="30">
        <v>18</v>
      </c>
      <c r="B21" s="31">
        <f t="shared" ca="1" si="2"/>
        <v>0.33807354268121526</v>
      </c>
      <c r="C21" s="31">
        <f t="shared" ca="1" si="2"/>
        <v>0.10277578046645786</v>
      </c>
      <c r="D21" s="31">
        <f t="shared" ca="1" si="3"/>
        <v>27.11229563173849</v>
      </c>
      <c r="E21" s="31">
        <f t="shared" ca="1" si="6"/>
        <v>567.62584402358402</v>
      </c>
      <c r="F21" s="31">
        <f t="shared" ca="1" si="0"/>
        <v>41.367373678074351</v>
      </c>
      <c r="G21" s="31">
        <f t="shared" ca="1" si="4"/>
        <v>0</v>
      </c>
      <c r="H21" s="31">
        <f t="shared" ca="1" si="5"/>
        <v>608.99321770165841</v>
      </c>
      <c r="I21" s="31">
        <f t="shared" ca="1" si="1"/>
        <v>41.367373678074387</v>
      </c>
    </row>
    <row r="22" spans="1:9" x14ac:dyDescent="0.3">
      <c r="A22" s="30">
        <v>19</v>
      </c>
      <c r="B22" s="31">
        <f t="shared" ca="1" si="2"/>
        <v>0.29645799340477086</v>
      </c>
      <c r="C22" s="31">
        <f t="shared" ca="1" si="2"/>
        <v>0.47505697809887215</v>
      </c>
      <c r="D22" s="31">
        <f t="shared" ca="1" si="3"/>
        <v>30.396243635965536</v>
      </c>
      <c r="E22" s="31">
        <f t="shared" ca="1" si="6"/>
        <v>598.02208765954958</v>
      </c>
      <c r="F22" s="31">
        <f t="shared" ca="1" si="0"/>
        <v>13.533100513618662</v>
      </c>
      <c r="G22" s="31">
        <f t="shared" ca="1" si="4"/>
        <v>10.971130042108825</v>
      </c>
      <c r="H22" s="31">
        <f t="shared" ca="1" si="5"/>
        <v>622.52631821527712</v>
      </c>
      <c r="I22" s="31">
        <f t="shared" ca="1" si="1"/>
        <v>24.504230555727531</v>
      </c>
    </row>
    <row r="23" spans="1:9" x14ac:dyDescent="0.3">
      <c r="A23" s="30">
        <v>20</v>
      </c>
      <c r="B23" s="31">
        <f t="shared" ca="1" si="2"/>
        <v>0.84942617504495066</v>
      </c>
      <c r="C23" s="31">
        <f t="shared" ca="1" si="2"/>
        <v>0.24660989560800473</v>
      </c>
      <c r="D23" s="31">
        <f t="shared" ca="1" si="3"/>
        <v>4.0798561413705174</v>
      </c>
      <c r="E23" s="31">
        <f t="shared" ca="1" si="6"/>
        <v>602.10194380092014</v>
      </c>
      <c r="F23" s="31">
        <f t="shared" ca="1" si="0"/>
        <v>25.453592016032825</v>
      </c>
      <c r="G23" s="31">
        <f t="shared" ca="1" si="4"/>
        <v>20.424374414356976</v>
      </c>
      <c r="H23" s="31">
        <f t="shared" ca="1" si="5"/>
        <v>647.97991023130999</v>
      </c>
      <c r="I23" s="31">
        <f t="shared" ca="1" si="1"/>
        <v>45.877966430389847</v>
      </c>
    </row>
  </sheetData>
  <pageMargins left="0.7" right="0.7" top="0.75" bottom="0.75" header="0.3" footer="0.3"/>
  <ignoredErrors>
    <ignoredError sqref="E5" formula="1"/>
  </ignoredErrors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304800</xdr:colOff>
                <xdr:row>0</xdr:row>
                <xdr:rowOff>45720</xdr:rowOff>
              </from>
              <to>
                <xdr:col>7</xdr:col>
                <xdr:colOff>220980</xdr:colOff>
                <xdr:row>1</xdr:row>
                <xdr:rowOff>167640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5"/>
  <dimension ref="A1:I23"/>
  <sheetViews>
    <sheetView zoomScaleNormal="100" workbookViewId="0"/>
  </sheetViews>
  <sheetFormatPr defaultRowHeight="14.4" x14ac:dyDescent="0.3"/>
  <sheetData>
    <row r="1" spans="1:9" x14ac:dyDescent="0.3">
      <c r="C1" s="34" t="s">
        <v>94</v>
      </c>
      <c r="D1" s="33">
        <v>0.04</v>
      </c>
      <c r="E1" s="34" t="s">
        <v>95</v>
      </c>
      <c r="F1" s="33">
        <v>2.5000000000000001E-2</v>
      </c>
    </row>
    <row r="3" spans="1:9" ht="15.6" x14ac:dyDescent="0.3">
      <c r="A3" s="11" t="s">
        <v>19</v>
      </c>
      <c r="B3" s="11" t="s">
        <v>85</v>
      </c>
      <c r="C3" s="11" t="s">
        <v>86</v>
      </c>
      <c r="D3" s="35" t="s">
        <v>96</v>
      </c>
      <c r="E3" s="11" t="s">
        <v>97</v>
      </c>
      <c r="F3" s="35" t="s">
        <v>98</v>
      </c>
      <c r="G3" s="35" t="s">
        <v>99</v>
      </c>
      <c r="H3" s="11" t="s">
        <v>100</v>
      </c>
      <c r="I3" s="35" t="s">
        <v>101</v>
      </c>
    </row>
    <row r="4" spans="1:9" x14ac:dyDescent="0.3">
      <c r="A4" s="30">
        <v>1</v>
      </c>
      <c r="B4" s="31">
        <f ca="1">RAND()</f>
        <v>0.36200294518179321</v>
      </c>
      <c r="C4" s="31">
        <f ca="1">RAND()</f>
        <v>0.49655337599286697</v>
      </c>
      <c r="D4" s="31">
        <f ca="1">-(1/$D$1)*LN(B4)</f>
        <v>25.402573283203868</v>
      </c>
      <c r="E4" s="31">
        <f ca="1">D4</f>
        <v>25.402573283203868</v>
      </c>
      <c r="F4" s="31">
        <v>0</v>
      </c>
      <c r="G4" s="31">
        <f ca="1">-(1/$F$1)*LN(C4)</f>
        <v>28.002571870310035</v>
      </c>
      <c r="H4" s="31">
        <f ca="1">E4+F4+G4</f>
        <v>53.405145153513899</v>
      </c>
      <c r="I4" s="31">
        <f ca="1">H4-E4</f>
        <v>28.002571870310032</v>
      </c>
    </row>
    <row r="5" spans="1:9" x14ac:dyDescent="0.3">
      <c r="A5" s="30">
        <v>2</v>
      </c>
      <c r="B5" s="31">
        <f t="shared" ref="B5:C23" ca="1" si="0">RAND()</f>
        <v>0.90587887800653344</v>
      </c>
      <c r="C5" s="31">
        <f t="shared" ca="1" si="0"/>
        <v>0.57211710199480503</v>
      </c>
      <c r="D5" s="31">
        <f t="shared" ref="D5:D23" ca="1" si="1">-(1/$D$1)*LN(B5)</f>
        <v>2.4712417652700922</v>
      </c>
      <c r="E5" s="31">
        <f ca="1">E4+D5</f>
        <v>27.873815048473961</v>
      </c>
      <c r="F5" s="31">
        <f ca="1">IF(E5&lt;H4,H4-E5,0)</f>
        <v>25.531330105039938</v>
      </c>
      <c r="G5" s="31">
        <f t="shared" ref="G5:G23" ca="1" si="2">-(1/$F$1)*LN(C5)</f>
        <v>22.336463391529932</v>
      </c>
      <c r="H5" s="31">
        <f t="shared" ref="H5:H23" ca="1" si="3">E5+F5+G5</f>
        <v>75.741608545043832</v>
      </c>
      <c r="I5" s="31">
        <f t="shared" ref="I5:I23" ca="1" si="4">H5-E5</f>
        <v>47.867793496569874</v>
      </c>
    </row>
    <row r="6" spans="1:9" x14ac:dyDescent="0.3">
      <c r="A6" s="30">
        <v>3</v>
      </c>
      <c r="B6" s="31">
        <f t="shared" ca="1" si="0"/>
        <v>0.26560290207022563</v>
      </c>
      <c r="C6" s="31">
        <f t="shared" ca="1" si="0"/>
        <v>0.7901699556869719</v>
      </c>
      <c r="D6" s="31">
        <f t="shared" ca="1" si="1"/>
        <v>33.143823374258218</v>
      </c>
      <c r="E6" s="31">
        <f t="shared" ref="E6:E23" ca="1" si="5">E5+D6</f>
        <v>61.017638422732176</v>
      </c>
      <c r="F6" s="31">
        <f t="shared" ref="F6:F23" ca="1" si="6">IF(E6&lt;H5,H5-E6,0)</f>
        <v>14.723970122311655</v>
      </c>
      <c r="G6" s="31">
        <f t="shared" ca="1" si="2"/>
        <v>9.4202889151218479</v>
      </c>
      <c r="H6" s="31">
        <f t="shared" ca="1" si="3"/>
        <v>85.161897460165676</v>
      </c>
      <c r="I6" s="31">
        <f t="shared" ca="1" si="4"/>
        <v>24.1442590374335</v>
      </c>
    </row>
    <row r="7" spans="1:9" x14ac:dyDescent="0.3">
      <c r="A7" s="30">
        <v>4</v>
      </c>
      <c r="B7" s="31">
        <f t="shared" ca="1" si="0"/>
        <v>0.7136646068082052</v>
      </c>
      <c r="C7" s="31">
        <f t="shared" ca="1" si="0"/>
        <v>0.49721724025906933</v>
      </c>
      <c r="D7" s="31">
        <f t="shared" ca="1" si="1"/>
        <v>8.4335541342009552</v>
      </c>
      <c r="E7" s="31">
        <f t="shared" ca="1" si="5"/>
        <v>69.451192556933137</v>
      </c>
      <c r="F7" s="31">
        <f t="shared" ca="1" si="6"/>
        <v>15.710704903232539</v>
      </c>
      <c r="G7" s="31">
        <f t="shared" ca="1" si="2"/>
        <v>27.949129810011826</v>
      </c>
      <c r="H7" s="31">
        <f t="shared" ca="1" si="3"/>
        <v>113.1110272701775</v>
      </c>
      <c r="I7" s="31">
        <f t="shared" ca="1" si="4"/>
        <v>43.659834713244365</v>
      </c>
    </row>
    <row r="8" spans="1:9" x14ac:dyDescent="0.3">
      <c r="A8" s="30">
        <v>5</v>
      </c>
      <c r="B8" s="31">
        <f t="shared" ca="1" si="0"/>
        <v>0.93329412156400493</v>
      </c>
      <c r="C8" s="31">
        <f t="shared" ca="1" si="0"/>
        <v>0.34837516575417482</v>
      </c>
      <c r="D8" s="31">
        <f t="shared" ca="1" si="1"/>
        <v>1.7258721244875146</v>
      </c>
      <c r="E8" s="31">
        <f t="shared" ca="1" si="5"/>
        <v>71.177064681420646</v>
      </c>
      <c r="F8" s="31">
        <f t="shared" ca="1" si="6"/>
        <v>41.933962588756856</v>
      </c>
      <c r="G8" s="31">
        <f t="shared" ca="1" si="2"/>
        <v>42.179012695509812</v>
      </c>
      <c r="H8" s="31">
        <f t="shared" ca="1" si="3"/>
        <v>155.2900399656873</v>
      </c>
      <c r="I8" s="31">
        <f t="shared" ca="1" si="4"/>
        <v>84.112975284266653</v>
      </c>
    </row>
    <row r="9" spans="1:9" x14ac:dyDescent="0.3">
      <c r="A9" s="30">
        <v>6</v>
      </c>
      <c r="B9" s="31">
        <f t="shared" ca="1" si="0"/>
        <v>0.63320375102317006</v>
      </c>
      <c r="C9" s="31">
        <f t="shared" ca="1" si="0"/>
        <v>0.74196644220960484</v>
      </c>
      <c r="D9" s="31">
        <f t="shared" ca="1" si="1"/>
        <v>11.424075676938074</v>
      </c>
      <c r="E9" s="31">
        <f t="shared" ca="1" si="5"/>
        <v>82.60114035835872</v>
      </c>
      <c r="F9" s="31">
        <f t="shared" ca="1" si="6"/>
        <v>72.68889960732858</v>
      </c>
      <c r="G9" s="31">
        <f t="shared" ca="1" si="2"/>
        <v>11.93805051880388</v>
      </c>
      <c r="H9" s="31">
        <f t="shared" ca="1" si="3"/>
        <v>167.22809048449119</v>
      </c>
      <c r="I9" s="31">
        <f t="shared" ca="1" si="4"/>
        <v>84.626950126132471</v>
      </c>
    </row>
    <row r="10" spans="1:9" x14ac:dyDescent="0.3">
      <c r="A10" s="30">
        <v>7</v>
      </c>
      <c r="B10" s="31">
        <f t="shared" ca="1" si="0"/>
        <v>0.93259158341246029</v>
      </c>
      <c r="C10" s="31">
        <f t="shared" ca="1" si="0"/>
        <v>0.32327241615539226</v>
      </c>
      <c r="D10" s="31">
        <f t="shared" ca="1" si="1"/>
        <v>1.7446979877992228</v>
      </c>
      <c r="E10" s="31">
        <f t="shared" ca="1" si="5"/>
        <v>84.345838346157947</v>
      </c>
      <c r="F10" s="31">
        <f t="shared" ca="1" si="6"/>
        <v>82.882252138333243</v>
      </c>
      <c r="G10" s="31">
        <f t="shared" ca="1" si="2"/>
        <v>45.170396701845235</v>
      </c>
      <c r="H10" s="31">
        <f t="shared" ca="1" si="3"/>
        <v>212.39848718633641</v>
      </c>
      <c r="I10" s="31">
        <f t="shared" ca="1" si="4"/>
        <v>128.05264884017845</v>
      </c>
    </row>
    <row r="11" spans="1:9" x14ac:dyDescent="0.3">
      <c r="A11" s="30">
        <v>8</v>
      </c>
      <c r="B11" s="31">
        <f t="shared" ca="1" si="0"/>
        <v>0.71324349998483694</v>
      </c>
      <c r="C11" s="31">
        <f t="shared" ca="1" si="0"/>
        <v>0.3619038385424308</v>
      </c>
      <c r="D11" s="31">
        <f t="shared" ca="1" si="1"/>
        <v>8.4483100541368277</v>
      </c>
      <c r="E11" s="31">
        <f t="shared" ca="1" si="5"/>
        <v>92.794148400294773</v>
      </c>
      <c r="F11" s="31">
        <f t="shared" ca="1" si="6"/>
        <v>119.60433878604164</v>
      </c>
      <c r="G11" s="31">
        <f t="shared" ca="1" si="2"/>
        <v>40.655069673212296</v>
      </c>
      <c r="H11" s="31">
        <f t="shared" ca="1" si="3"/>
        <v>253.05355685954871</v>
      </c>
      <c r="I11" s="31">
        <f t="shared" ca="1" si="4"/>
        <v>160.25940845925393</v>
      </c>
    </row>
    <row r="12" spans="1:9" x14ac:dyDescent="0.3">
      <c r="A12" s="30">
        <v>9</v>
      </c>
      <c r="B12" s="31">
        <f t="shared" ca="1" si="0"/>
        <v>7.9483092995135785E-2</v>
      </c>
      <c r="C12" s="31">
        <f t="shared" ca="1" si="0"/>
        <v>0.87474475513778005</v>
      </c>
      <c r="D12" s="31">
        <f t="shared" ca="1" si="1"/>
        <v>63.305273666661947</v>
      </c>
      <c r="E12" s="31">
        <f t="shared" ca="1" si="5"/>
        <v>156.09942206695672</v>
      </c>
      <c r="F12" s="31">
        <f t="shared" ca="1" si="6"/>
        <v>96.954134792591987</v>
      </c>
      <c r="G12" s="31">
        <f t="shared" ca="1" si="2"/>
        <v>5.3529257437465469</v>
      </c>
      <c r="H12" s="31">
        <f t="shared" ca="1" si="3"/>
        <v>258.40648260329527</v>
      </c>
      <c r="I12" s="31">
        <f t="shared" ca="1" si="4"/>
        <v>102.30706053633855</v>
      </c>
    </row>
    <row r="13" spans="1:9" x14ac:dyDescent="0.3">
      <c r="A13" s="30">
        <v>10</v>
      </c>
      <c r="B13" s="31">
        <f t="shared" ca="1" si="0"/>
        <v>0.26876155938330482</v>
      </c>
      <c r="C13" s="31">
        <f t="shared" ca="1" si="0"/>
        <v>0.45789421517042084</v>
      </c>
      <c r="D13" s="31">
        <f t="shared" ca="1" si="1"/>
        <v>32.848267220160771</v>
      </c>
      <c r="E13" s="31">
        <f t="shared" ca="1" si="5"/>
        <v>188.9476892871175</v>
      </c>
      <c r="F13" s="31">
        <f t="shared" ca="1" si="6"/>
        <v>69.458793316177776</v>
      </c>
      <c r="G13" s="31">
        <f t="shared" ca="1" si="2"/>
        <v>31.244683711581615</v>
      </c>
      <c r="H13" s="31">
        <f t="shared" ca="1" si="3"/>
        <v>289.65116631487689</v>
      </c>
      <c r="I13" s="31">
        <f t="shared" ca="1" si="4"/>
        <v>100.70347702775939</v>
      </c>
    </row>
    <row r="14" spans="1:9" x14ac:dyDescent="0.3">
      <c r="A14" s="30">
        <v>11</v>
      </c>
      <c r="B14" s="31">
        <f t="shared" ca="1" si="0"/>
        <v>0.52111871966999601</v>
      </c>
      <c r="C14" s="31">
        <f t="shared" ca="1" si="0"/>
        <v>0.24681044992239864</v>
      </c>
      <c r="D14" s="31">
        <f t="shared" ca="1" si="1"/>
        <v>16.2944348584643</v>
      </c>
      <c r="E14" s="31">
        <f t="shared" ca="1" si="5"/>
        <v>205.24212414558178</v>
      </c>
      <c r="F14" s="31">
        <f t="shared" ca="1" si="6"/>
        <v>84.409042169295105</v>
      </c>
      <c r="G14" s="31">
        <f t="shared" ca="1" si="2"/>
        <v>55.965385847376311</v>
      </c>
      <c r="H14" s="31">
        <f t="shared" ca="1" si="3"/>
        <v>345.61655216225319</v>
      </c>
      <c r="I14" s="31">
        <f t="shared" ca="1" si="4"/>
        <v>140.3744280166714</v>
      </c>
    </row>
    <row r="15" spans="1:9" x14ac:dyDescent="0.3">
      <c r="A15" s="30">
        <v>12</v>
      </c>
      <c r="B15" s="31">
        <f t="shared" ca="1" si="0"/>
        <v>0.40999296477045521</v>
      </c>
      <c r="C15" s="31">
        <f t="shared" ca="1" si="0"/>
        <v>0.81111246185277308</v>
      </c>
      <c r="D15" s="31">
        <f t="shared" ca="1" si="1"/>
        <v>22.290381963186331</v>
      </c>
      <c r="E15" s="31">
        <f t="shared" ca="1" si="5"/>
        <v>227.5325061087681</v>
      </c>
      <c r="F15" s="31">
        <f t="shared" ca="1" si="6"/>
        <v>118.08404605348508</v>
      </c>
      <c r="G15" s="31">
        <f t="shared" ca="1" si="2"/>
        <v>8.3739425554128459</v>
      </c>
      <c r="H15" s="31">
        <f t="shared" ca="1" si="3"/>
        <v>353.99049471766602</v>
      </c>
      <c r="I15" s="31">
        <f t="shared" ca="1" si="4"/>
        <v>126.45798860889792</v>
      </c>
    </row>
    <row r="16" spans="1:9" x14ac:dyDescent="0.3">
      <c r="A16" s="30">
        <v>13</v>
      </c>
      <c r="B16" s="31">
        <f t="shared" ca="1" si="0"/>
        <v>0.87595907534982587</v>
      </c>
      <c r="C16" s="31">
        <f t="shared" ca="1" si="0"/>
        <v>0.70416285235354226</v>
      </c>
      <c r="D16" s="31">
        <f t="shared" ca="1" si="1"/>
        <v>3.3108976693558376</v>
      </c>
      <c r="E16" s="31">
        <f t="shared" ca="1" si="5"/>
        <v>230.84340377812393</v>
      </c>
      <c r="F16" s="31">
        <f t="shared" ca="1" si="6"/>
        <v>123.1470909395421</v>
      </c>
      <c r="G16" s="31">
        <f t="shared" ca="1" si="2"/>
        <v>14.029825008384931</v>
      </c>
      <c r="H16" s="31">
        <f t="shared" ca="1" si="3"/>
        <v>368.02031972605096</v>
      </c>
      <c r="I16" s="31">
        <f t="shared" ca="1" si="4"/>
        <v>137.17691594792703</v>
      </c>
    </row>
    <row r="17" spans="1:9" x14ac:dyDescent="0.3">
      <c r="A17" s="30">
        <v>14</v>
      </c>
      <c r="B17" s="31">
        <f t="shared" ca="1" si="0"/>
        <v>6.6653746936716773E-2</v>
      </c>
      <c r="C17" s="31">
        <f t="shared" ca="1" si="0"/>
        <v>0.98884248070050429</v>
      </c>
      <c r="D17" s="31">
        <f t="shared" ca="1" si="1"/>
        <v>67.706100395807994</v>
      </c>
      <c r="E17" s="31">
        <f t="shared" ca="1" si="5"/>
        <v>298.54950417393195</v>
      </c>
      <c r="F17" s="31">
        <f t="shared" ca="1" si="6"/>
        <v>69.470815552119006</v>
      </c>
      <c r="G17" s="31">
        <f t="shared" ca="1" si="2"/>
        <v>0.44880925312232944</v>
      </c>
      <c r="H17" s="31">
        <f t="shared" ca="1" si="3"/>
        <v>368.46912897917326</v>
      </c>
      <c r="I17" s="31">
        <f t="shared" ca="1" si="4"/>
        <v>69.919624805241313</v>
      </c>
    </row>
    <row r="18" spans="1:9" x14ac:dyDescent="0.3">
      <c r="A18" s="30">
        <v>15</v>
      </c>
      <c r="B18" s="31">
        <f t="shared" ca="1" si="0"/>
        <v>0.75402941621616848</v>
      </c>
      <c r="C18" s="31">
        <f t="shared" ca="1" si="0"/>
        <v>0.8584526702728088</v>
      </c>
      <c r="D18" s="31">
        <f t="shared" ca="1" si="1"/>
        <v>7.058097454647366</v>
      </c>
      <c r="E18" s="31">
        <f t="shared" ca="1" si="5"/>
        <v>305.60760162857929</v>
      </c>
      <c r="F18" s="31">
        <f t="shared" ca="1" si="6"/>
        <v>62.861527350593974</v>
      </c>
      <c r="G18" s="31">
        <f t="shared" ca="1" si="2"/>
        <v>6.1049492355641322</v>
      </c>
      <c r="H18" s="31">
        <f t="shared" ca="1" si="3"/>
        <v>374.57407821473737</v>
      </c>
      <c r="I18" s="31">
        <f t="shared" ca="1" si="4"/>
        <v>68.96647658615808</v>
      </c>
    </row>
    <row r="19" spans="1:9" x14ac:dyDescent="0.3">
      <c r="A19" s="30">
        <v>16</v>
      </c>
      <c r="B19" s="31">
        <f t="shared" ca="1" si="0"/>
        <v>0.39477504372021766</v>
      </c>
      <c r="C19" s="31">
        <f t="shared" ca="1" si="0"/>
        <v>0.74378275996065324</v>
      </c>
      <c r="D19" s="31">
        <f t="shared" ca="1" si="1"/>
        <v>23.235979647056428</v>
      </c>
      <c r="E19" s="31">
        <f t="shared" ca="1" si="5"/>
        <v>328.8435812756357</v>
      </c>
      <c r="F19" s="31">
        <f t="shared" ca="1" si="6"/>
        <v>45.73049693910167</v>
      </c>
      <c r="G19" s="31">
        <f t="shared" ca="1" si="2"/>
        <v>11.840251043456725</v>
      </c>
      <c r="H19" s="31">
        <f t="shared" ca="1" si="3"/>
        <v>386.41432925819407</v>
      </c>
      <c r="I19" s="31">
        <f t="shared" ca="1" si="4"/>
        <v>57.570747982558373</v>
      </c>
    </row>
    <row r="20" spans="1:9" x14ac:dyDescent="0.3">
      <c r="A20" s="30">
        <v>17</v>
      </c>
      <c r="B20" s="31">
        <f t="shared" ca="1" si="0"/>
        <v>0.88943620755954234</v>
      </c>
      <c r="C20" s="31">
        <f t="shared" ca="1" si="0"/>
        <v>0.32178189123882672</v>
      </c>
      <c r="D20" s="31">
        <f t="shared" ca="1" si="1"/>
        <v>2.9291872909498657</v>
      </c>
      <c r="E20" s="31">
        <f t="shared" ca="1" si="5"/>
        <v>331.77276856658557</v>
      </c>
      <c r="F20" s="31">
        <f t="shared" ca="1" si="6"/>
        <v>54.641560691608504</v>
      </c>
      <c r="G20" s="31">
        <f t="shared" ca="1" si="2"/>
        <v>45.355252773935234</v>
      </c>
      <c r="H20" s="31">
        <f t="shared" ca="1" si="3"/>
        <v>431.76958203212928</v>
      </c>
      <c r="I20" s="31">
        <f t="shared" ca="1" si="4"/>
        <v>99.99681346554371</v>
      </c>
    </row>
    <row r="21" spans="1:9" x14ac:dyDescent="0.3">
      <c r="A21" s="30">
        <v>18</v>
      </c>
      <c r="B21" s="31">
        <f t="shared" ca="1" si="0"/>
        <v>0.63083687222421347</v>
      </c>
      <c r="C21" s="31">
        <f t="shared" ca="1" si="0"/>
        <v>0.5005651069331698</v>
      </c>
      <c r="D21" s="31">
        <f t="shared" ca="1" si="1"/>
        <v>11.517699312193134</v>
      </c>
      <c r="E21" s="31">
        <f t="shared" ca="1" si="5"/>
        <v>343.29046787877871</v>
      </c>
      <c r="F21" s="31">
        <f t="shared" ca="1" si="6"/>
        <v>88.479114153350565</v>
      </c>
      <c r="G21" s="31">
        <f t="shared" ca="1" si="2"/>
        <v>27.680704196178652</v>
      </c>
      <c r="H21" s="31">
        <f t="shared" ca="1" si="3"/>
        <v>459.45028622830796</v>
      </c>
      <c r="I21" s="31">
        <f t="shared" ca="1" si="4"/>
        <v>116.15981834952925</v>
      </c>
    </row>
    <row r="22" spans="1:9" x14ac:dyDescent="0.3">
      <c r="A22" s="30">
        <v>19</v>
      </c>
      <c r="B22" s="31">
        <f t="shared" ca="1" si="0"/>
        <v>0.90359233319513554</v>
      </c>
      <c r="C22" s="31">
        <f t="shared" ca="1" si="0"/>
        <v>0.25864539376319062</v>
      </c>
      <c r="D22" s="31">
        <f t="shared" ca="1" si="1"/>
        <v>2.5344244789355863</v>
      </c>
      <c r="E22" s="31">
        <f t="shared" ca="1" si="5"/>
        <v>345.8248923577143</v>
      </c>
      <c r="F22" s="31">
        <f t="shared" ca="1" si="6"/>
        <v>113.62539387059365</v>
      </c>
      <c r="G22" s="31">
        <f t="shared" ca="1" si="2"/>
        <v>54.091891658207757</v>
      </c>
      <c r="H22" s="31">
        <f t="shared" ca="1" si="3"/>
        <v>513.54217788651567</v>
      </c>
      <c r="I22" s="31">
        <f t="shared" ca="1" si="4"/>
        <v>167.71728552880137</v>
      </c>
    </row>
    <row r="23" spans="1:9" x14ac:dyDescent="0.3">
      <c r="A23" s="30">
        <v>20</v>
      </c>
      <c r="B23" s="31">
        <f t="shared" ca="1" si="0"/>
        <v>0.20198571587423764</v>
      </c>
      <c r="C23" s="31">
        <f t="shared" ca="1" si="0"/>
        <v>0.9298134941903452</v>
      </c>
      <c r="D23" s="31">
        <f t="shared" ca="1" si="1"/>
        <v>39.988957439378062</v>
      </c>
      <c r="E23" s="31">
        <f t="shared" ca="1" si="5"/>
        <v>385.81384979709236</v>
      </c>
      <c r="F23" s="31">
        <f t="shared" ca="1" si="6"/>
        <v>127.72832808942331</v>
      </c>
      <c r="G23" s="31">
        <f t="shared" ca="1" si="2"/>
        <v>2.9108502731119095</v>
      </c>
      <c r="H23" s="31">
        <f t="shared" ca="1" si="3"/>
        <v>516.45302815962759</v>
      </c>
      <c r="I23" s="31">
        <f t="shared" ca="1" si="4"/>
        <v>130.63917836253523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ommandButton1">
          <controlPr defaultSize="0" autoLine="0" r:id="rId4">
            <anchor moveWithCells="1">
              <from>
                <xdr:col>10</xdr:col>
                <xdr:colOff>0</xdr:colOff>
                <xdr:row>1</xdr:row>
                <xdr:rowOff>0</xdr:rowOff>
              </from>
              <to>
                <xdr:col>11</xdr:col>
                <xdr:colOff>0</xdr:colOff>
                <xdr:row>3</xdr:row>
                <xdr:rowOff>38100</xdr:rowOff>
              </to>
            </anchor>
          </controlPr>
        </control>
      </mc:Choice>
      <mc:Fallback>
        <control shapeId="5121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2:BP84"/>
  <sheetViews>
    <sheetView topLeftCell="A22" zoomScale="85" zoomScaleNormal="85" workbookViewId="0"/>
  </sheetViews>
  <sheetFormatPr defaultRowHeight="14.4" x14ac:dyDescent="0.3"/>
  <sheetData>
    <row r="2" spans="1:68" ht="18" x14ac:dyDescent="0.35">
      <c r="A2" s="1" t="s">
        <v>141</v>
      </c>
    </row>
    <row r="4" spans="1:68" x14ac:dyDescent="0.3">
      <c r="D4" t="s">
        <v>146</v>
      </c>
    </row>
    <row r="5" spans="1:68" x14ac:dyDescent="0.3">
      <c r="D5" t="s">
        <v>147</v>
      </c>
    </row>
    <row r="7" spans="1:68" ht="18" x14ac:dyDescent="0.35">
      <c r="A7" s="1" t="s">
        <v>185</v>
      </c>
      <c r="V7" s="1" t="s">
        <v>186</v>
      </c>
      <c r="AT7" s="1" t="s">
        <v>187</v>
      </c>
      <c r="BO7" s="1" t="s">
        <v>188</v>
      </c>
    </row>
    <row r="16" spans="1:68" x14ac:dyDescent="0.3">
      <c r="K16" t="s">
        <v>145</v>
      </c>
      <c r="W16" t="s">
        <v>184</v>
      </c>
      <c r="AU16" t="s">
        <v>145</v>
      </c>
      <c r="BP16" t="s">
        <v>145</v>
      </c>
    </row>
    <row r="22" spans="13:36" ht="18" x14ac:dyDescent="0.35">
      <c r="AJ22" s="1" t="s">
        <v>142</v>
      </c>
    </row>
    <row r="23" spans="13:36" x14ac:dyDescent="0.3">
      <c r="AJ23" t="s">
        <v>149</v>
      </c>
    </row>
    <row r="32" spans="13:36" ht="18" x14ac:dyDescent="0.35">
      <c r="M32" s="1" t="s">
        <v>142</v>
      </c>
    </row>
    <row r="33" spans="2:13" x14ac:dyDescent="0.3">
      <c r="M33" t="s">
        <v>149</v>
      </c>
    </row>
    <row r="39" spans="2:13" x14ac:dyDescent="0.3">
      <c r="B39" t="s">
        <v>150</v>
      </c>
      <c r="I39" t="s">
        <v>151</v>
      </c>
    </row>
    <row r="45" spans="2:13" x14ac:dyDescent="0.3">
      <c r="B45" t="s">
        <v>148</v>
      </c>
    </row>
    <row r="48" spans="2:13" ht="16.5" customHeight="1" x14ac:dyDescent="6.25">
      <c r="B48" s="62"/>
    </row>
    <row r="50" spans="2:2" x14ac:dyDescent="0.3">
      <c r="B50" t="s">
        <v>152</v>
      </c>
    </row>
    <row r="51" spans="2:2" x14ac:dyDescent="0.3">
      <c r="B51" t="s">
        <v>153</v>
      </c>
    </row>
    <row r="58" spans="2:2" x14ac:dyDescent="0.3">
      <c r="B58" t="s">
        <v>154</v>
      </c>
    </row>
    <row r="63" spans="2:2" x14ac:dyDescent="0.3">
      <c r="B63" t="s">
        <v>155</v>
      </c>
    </row>
    <row r="67" spans="2:15" x14ac:dyDescent="0.3">
      <c r="B67" t="s">
        <v>156</v>
      </c>
    </row>
    <row r="69" spans="2:15" x14ac:dyDescent="0.3">
      <c r="O69" t="s">
        <v>163</v>
      </c>
    </row>
    <row r="71" spans="2:15" x14ac:dyDescent="0.3">
      <c r="B71" t="s">
        <v>157</v>
      </c>
    </row>
    <row r="75" spans="2:15" x14ac:dyDescent="0.3">
      <c r="B75" t="s">
        <v>158</v>
      </c>
    </row>
    <row r="80" spans="2:15" x14ac:dyDescent="0.3">
      <c r="B80" t="s">
        <v>157</v>
      </c>
    </row>
    <row r="84" spans="2:2" x14ac:dyDescent="0.3">
      <c r="B84" t="s">
        <v>159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7"/>
  <dimension ref="A1:I14"/>
  <sheetViews>
    <sheetView workbookViewId="0"/>
  </sheetViews>
  <sheetFormatPr defaultRowHeight="14.4" x14ac:dyDescent="0.3"/>
  <sheetData>
    <row r="1" spans="1:9" x14ac:dyDescent="0.3">
      <c r="C1" s="34" t="s">
        <v>94</v>
      </c>
      <c r="D1" s="36">
        <v>0.03</v>
      </c>
    </row>
    <row r="2" spans="1:9" x14ac:dyDescent="0.3">
      <c r="C2" s="34" t="s">
        <v>95</v>
      </c>
      <c r="D2" s="36">
        <v>4.4999999999999998E-2</v>
      </c>
    </row>
    <row r="4" spans="1:9" ht="15.6" x14ac:dyDescent="0.3">
      <c r="A4" s="30" t="s">
        <v>19</v>
      </c>
      <c r="B4" s="30" t="s">
        <v>85</v>
      </c>
      <c r="C4" s="30" t="s">
        <v>86</v>
      </c>
      <c r="D4" s="30" t="s">
        <v>87</v>
      </c>
      <c r="E4" s="30" t="s">
        <v>88</v>
      </c>
      <c r="F4" s="30" t="s">
        <v>97</v>
      </c>
      <c r="G4" s="30" t="s">
        <v>102</v>
      </c>
      <c r="H4" s="30" t="s">
        <v>100</v>
      </c>
      <c r="I4" s="30" t="s">
        <v>103</v>
      </c>
    </row>
    <row r="5" spans="1:9" x14ac:dyDescent="0.3">
      <c r="A5" s="30">
        <v>1</v>
      </c>
      <c r="B5" s="37">
        <f ca="1">RAND()</f>
        <v>0.16737295834405408</v>
      </c>
      <c r="C5" s="37">
        <f ca="1">RAND()</f>
        <v>1.72623083712522E-2</v>
      </c>
      <c r="D5" s="37">
        <f ca="1">-(1/$D$1)*LN(B5)</f>
        <v>59.584355771299165</v>
      </c>
      <c r="E5" s="37">
        <f ca="1">-(1/$D$2)*LN(C5)</f>
        <v>90.205108026158868</v>
      </c>
      <c r="F5" s="37">
        <f ca="1">D5</f>
        <v>59.584355771299165</v>
      </c>
      <c r="G5" s="37">
        <v>0</v>
      </c>
      <c r="H5" s="37">
        <f ca="1">F5+G5+E5</f>
        <v>149.78946379745804</v>
      </c>
      <c r="I5" s="37">
        <f ca="1">H5-F5</f>
        <v>90.205108026158882</v>
      </c>
    </row>
    <row r="6" spans="1:9" x14ac:dyDescent="0.3">
      <c r="A6" s="30">
        <v>2</v>
      </c>
      <c r="B6" s="37">
        <f t="shared" ref="B6:C14" ca="1" si="0">RAND()</f>
        <v>5.8897995033229567E-2</v>
      </c>
      <c r="C6" s="37">
        <f t="shared" ca="1" si="0"/>
        <v>0.47367210192979614</v>
      </c>
      <c r="D6" s="37">
        <f t="shared" ref="D6:D14" ca="1" si="1">-(1/$D$1)*LN(B6)</f>
        <v>94.398274302894535</v>
      </c>
      <c r="E6" s="37">
        <f t="shared" ref="E6:E14" ca="1" si="2">-(1/$D$2)*LN(C6)</f>
        <v>16.605332549991161</v>
      </c>
      <c r="F6" s="37">
        <f ca="1">F5+D6</f>
        <v>153.98263007419371</v>
      </c>
      <c r="G6" s="37">
        <f ca="1">IF(F6&gt;H5,0,H5-F6)</f>
        <v>0</v>
      </c>
      <c r="H6" s="37">
        <f ca="1">F6+G6+E6</f>
        <v>170.58796262418485</v>
      </c>
      <c r="I6" s="37">
        <f t="shared" ref="I6:I14" ca="1" si="3">H6-F6</f>
        <v>16.605332549991147</v>
      </c>
    </row>
    <row r="7" spans="1:9" x14ac:dyDescent="0.3">
      <c r="A7" s="30">
        <v>3</v>
      </c>
      <c r="B7" s="37">
        <f t="shared" ca="1" si="0"/>
        <v>5.6543256420954813E-2</v>
      </c>
      <c r="C7" s="37">
        <f t="shared" ca="1" si="0"/>
        <v>0.43703619047615894</v>
      </c>
      <c r="D7" s="37">
        <f t="shared" ca="1" si="1"/>
        <v>95.758311112710871</v>
      </c>
      <c r="E7" s="37">
        <f t="shared" ca="1" si="2"/>
        <v>18.394206035125844</v>
      </c>
      <c r="F7" s="37">
        <f t="shared" ref="F7:F14" ca="1" si="4">F6+D7</f>
        <v>249.74094118690459</v>
      </c>
      <c r="G7" s="37">
        <f t="shared" ref="G7:G14" ca="1" si="5">IF(F7&gt;H6,0,H6-F7)</f>
        <v>0</v>
      </c>
      <c r="H7" s="37">
        <f t="shared" ref="H7:H14" ca="1" si="6">F7+G7+E7</f>
        <v>268.13514722203041</v>
      </c>
      <c r="I7" s="37">
        <f t="shared" ca="1" si="3"/>
        <v>18.394206035125819</v>
      </c>
    </row>
    <row r="8" spans="1:9" x14ac:dyDescent="0.3">
      <c r="A8" s="30">
        <v>4</v>
      </c>
      <c r="B8" s="37">
        <f t="shared" ca="1" si="0"/>
        <v>0.70318221450219831</v>
      </c>
      <c r="C8" s="37">
        <f t="shared" ca="1" si="0"/>
        <v>0.80501553185609043</v>
      </c>
      <c r="D8" s="37">
        <f t="shared" ca="1" si="1"/>
        <v>11.737974172113082</v>
      </c>
      <c r="E8" s="37">
        <f t="shared" ca="1" si="2"/>
        <v>4.8198601670785939</v>
      </c>
      <c r="F8" s="37">
        <f t="shared" ca="1" si="4"/>
        <v>261.47891535901766</v>
      </c>
      <c r="G8" s="37">
        <f t="shared" ca="1" si="5"/>
        <v>6.6562318630127493</v>
      </c>
      <c r="H8" s="37">
        <f t="shared" ca="1" si="6"/>
        <v>272.95500738910903</v>
      </c>
      <c r="I8" s="37">
        <f t="shared" ca="1" si="3"/>
        <v>11.476092030091365</v>
      </c>
    </row>
    <row r="9" spans="1:9" x14ac:dyDescent="0.3">
      <c r="A9" s="30">
        <v>5</v>
      </c>
      <c r="B9" s="37">
        <f t="shared" ca="1" si="0"/>
        <v>0.81622653131295686</v>
      </c>
      <c r="C9" s="37">
        <f t="shared" ca="1" si="0"/>
        <v>0.34806530806971636</v>
      </c>
      <c r="D9" s="37">
        <f t="shared" ca="1" si="1"/>
        <v>6.768778354731694</v>
      </c>
      <c r="E9" s="37">
        <f t="shared" ca="1" si="2"/>
        <v>23.452558887730785</v>
      </c>
      <c r="F9" s="37">
        <f t="shared" ca="1" si="4"/>
        <v>268.24769371374936</v>
      </c>
      <c r="G9" s="37">
        <f t="shared" ca="1" si="5"/>
        <v>4.7073136753596714</v>
      </c>
      <c r="H9" s="37">
        <f t="shared" ca="1" si="6"/>
        <v>296.40756627683982</v>
      </c>
      <c r="I9" s="37">
        <f t="shared" ca="1" si="3"/>
        <v>28.15987256309046</v>
      </c>
    </row>
    <row r="10" spans="1:9" x14ac:dyDescent="0.3">
      <c r="A10" s="30">
        <v>6</v>
      </c>
      <c r="B10" s="37">
        <f t="shared" ca="1" si="0"/>
        <v>0.19563674075166981</v>
      </c>
      <c r="C10" s="37">
        <f t="shared" ca="1" si="0"/>
        <v>0.34320507528483757</v>
      </c>
      <c r="D10" s="37">
        <f t="shared" ca="1" si="1"/>
        <v>54.383190095556358</v>
      </c>
      <c r="E10" s="37">
        <f t="shared" ca="1" si="2"/>
        <v>23.765047185593097</v>
      </c>
      <c r="F10" s="37">
        <f t="shared" ca="1" si="4"/>
        <v>322.63088380930571</v>
      </c>
      <c r="G10" s="37">
        <f t="shared" ca="1" si="5"/>
        <v>0</v>
      </c>
      <c r="H10" s="37">
        <f t="shared" ca="1" si="6"/>
        <v>346.39593099489883</v>
      </c>
      <c r="I10" s="37">
        <f t="shared" ca="1" si="3"/>
        <v>23.765047185593119</v>
      </c>
    </row>
    <row r="11" spans="1:9" x14ac:dyDescent="0.3">
      <c r="A11" s="30">
        <v>7</v>
      </c>
      <c r="B11" s="37">
        <f t="shared" ca="1" si="0"/>
        <v>8.3969361961546474E-2</v>
      </c>
      <c r="C11" s="37">
        <f t="shared" ca="1" si="0"/>
        <v>0.17799800779852781</v>
      </c>
      <c r="D11" s="37">
        <f t="shared" ca="1" si="1"/>
        <v>82.576776174170874</v>
      </c>
      <c r="E11" s="37">
        <f t="shared" ca="1" si="2"/>
        <v>38.355176019906366</v>
      </c>
      <c r="F11" s="37">
        <f t="shared" ca="1" si="4"/>
        <v>405.20765998347656</v>
      </c>
      <c r="G11" s="37">
        <f t="shared" ca="1" si="5"/>
        <v>0</v>
      </c>
      <c r="H11" s="37">
        <f t="shared" ca="1" si="6"/>
        <v>443.56283600338293</v>
      </c>
      <c r="I11" s="37">
        <f t="shared" ca="1" si="3"/>
        <v>38.355176019906366</v>
      </c>
    </row>
    <row r="12" spans="1:9" x14ac:dyDescent="0.3">
      <c r="A12" s="30">
        <v>8</v>
      </c>
      <c r="B12" s="37">
        <f t="shared" ca="1" si="0"/>
        <v>0.42502751187233034</v>
      </c>
      <c r="C12" s="37">
        <f t="shared" ca="1" si="0"/>
        <v>0.7453253187192781</v>
      </c>
      <c r="D12" s="37">
        <f t="shared" ca="1" si="1"/>
        <v>28.520045944520518</v>
      </c>
      <c r="E12" s="37">
        <f t="shared" ca="1" si="2"/>
        <v>6.5318774776238682</v>
      </c>
      <c r="F12" s="37">
        <f t="shared" ca="1" si="4"/>
        <v>433.72770592799708</v>
      </c>
      <c r="G12" s="37">
        <f t="shared" ca="1" si="5"/>
        <v>9.8351300753858482</v>
      </c>
      <c r="H12" s="37">
        <f t="shared" ca="1" si="6"/>
        <v>450.09471348100681</v>
      </c>
      <c r="I12" s="37">
        <f t="shared" ca="1" si="3"/>
        <v>16.367007553009728</v>
      </c>
    </row>
    <row r="13" spans="1:9" x14ac:dyDescent="0.3">
      <c r="A13" s="30">
        <v>9</v>
      </c>
      <c r="B13" s="37">
        <f t="shared" ca="1" si="0"/>
        <v>0.14966333523165742</v>
      </c>
      <c r="C13" s="37">
        <f t="shared" ca="1" si="0"/>
        <v>1.9550325972816363E-2</v>
      </c>
      <c r="D13" s="37">
        <f t="shared" ca="1" si="1"/>
        <v>63.312231306232356</v>
      </c>
      <c r="E13" s="37">
        <f t="shared" ca="1" si="2"/>
        <v>87.439184864187112</v>
      </c>
      <c r="F13" s="37">
        <f t="shared" ca="1" si="4"/>
        <v>497.03993723422946</v>
      </c>
      <c r="G13" s="37">
        <f t="shared" ca="1" si="5"/>
        <v>0</v>
      </c>
      <c r="H13" s="37">
        <f t="shared" ca="1" si="6"/>
        <v>584.47912209841661</v>
      </c>
      <c r="I13" s="37">
        <f t="shared" ca="1" si="3"/>
        <v>87.439184864187155</v>
      </c>
    </row>
    <row r="14" spans="1:9" x14ac:dyDescent="0.3">
      <c r="A14" s="30">
        <v>10</v>
      </c>
      <c r="B14" s="37">
        <f t="shared" ca="1" si="0"/>
        <v>3.0396140677444117E-2</v>
      </c>
      <c r="C14" s="37">
        <f t="shared" ca="1" si="0"/>
        <v>0.39499982926154087</v>
      </c>
      <c r="D14" s="37">
        <f t="shared" ca="1" si="1"/>
        <v>116.4479876676279</v>
      </c>
      <c r="E14" s="37">
        <f t="shared" ca="1" si="2"/>
        <v>20.641554362897161</v>
      </c>
      <c r="F14" s="37">
        <f t="shared" ca="1" si="4"/>
        <v>613.48792490185735</v>
      </c>
      <c r="G14" s="37">
        <f t="shared" ca="1" si="5"/>
        <v>0</v>
      </c>
      <c r="H14" s="37">
        <f t="shared" ca="1" si="6"/>
        <v>634.12947926475454</v>
      </c>
      <c r="I14" s="37">
        <f t="shared" ca="1" si="3"/>
        <v>20.641554362897182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ommandButton1">
          <controlPr defaultSize="0" autoLine="0" r:id="rId5">
            <anchor moveWithCells="1">
              <from>
                <xdr:col>6</xdr:col>
                <xdr:colOff>7620</xdr:colOff>
                <xdr:row>0</xdr:row>
                <xdr:rowOff>22860</xdr:rowOff>
              </from>
              <to>
                <xdr:col>6</xdr:col>
                <xdr:colOff>594360</xdr:colOff>
                <xdr:row>2</xdr:row>
                <xdr:rowOff>7620</xdr:rowOff>
              </to>
            </anchor>
          </controlPr>
        </control>
      </mc:Choice>
      <mc:Fallback>
        <control shapeId="7169" r:id="rId4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8"/>
  <dimension ref="A1:I50"/>
  <sheetViews>
    <sheetView workbookViewId="0"/>
  </sheetViews>
  <sheetFormatPr defaultRowHeight="14.4" x14ac:dyDescent="0.3"/>
  <sheetData>
    <row r="1" spans="1:9" x14ac:dyDescent="0.3">
      <c r="C1" s="30" t="s">
        <v>94</v>
      </c>
      <c r="D1" s="37">
        <v>0.06</v>
      </c>
    </row>
    <row r="2" spans="1:9" x14ac:dyDescent="0.3">
      <c r="C2" s="38" t="s">
        <v>95</v>
      </c>
      <c r="D2" s="37">
        <v>0.05</v>
      </c>
    </row>
    <row r="4" spans="1:9" ht="15.6" x14ac:dyDescent="0.3">
      <c r="A4" s="30" t="s">
        <v>19</v>
      </c>
      <c r="B4" s="30" t="s">
        <v>104</v>
      </c>
      <c r="C4" s="30" t="s">
        <v>105</v>
      </c>
      <c r="D4" s="30" t="s">
        <v>106</v>
      </c>
      <c r="E4" s="30" t="s">
        <v>88</v>
      </c>
      <c r="F4" s="30" t="s">
        <v>107</v>
      </c>
      <c r="G4" s="30" t="s">
        <v>108</v>
      </c>
      <c r="H4" s="30" t="s">
        <v>109</v>
      </c>
      <c r="I4" s="30" t="s">
        <v>103</v>
      </c>
    </row>
    <row r="5" spans="1:9" x14ac:dyDescent="0.3">
      <c r="A5" s="30">
        <v>1</v>
      </c>
      <c r="B5" s="37">
        <f ca="1">RAND()</f>
        <v>0.43120780217145338</v>
      </c>
      <c r="C5" s="37">
        <f ca="1">RAND()</f>
        <v>0.49237777129591598</v>
      </c>
      <c r="D5" s="37">
        <f ca="1">(1/$D$1)*LN(1/(1-B5))</f>
        <v>9.4040019580826115</v>
      </c>
      <c r="E5" s="37">
        <f ca="1">(1/$D$2)*LN(1/(1-C5))</f>
        <v>13.56035504655042</v>
      </c>
      <c r="F5" s="37">
        <f ca="1">D5</f>
        <v>9.4040019580826115</v>
      </c>
      <c r="G5" s="37">
        <v>0</v>
      </c>
      <c r="H5" s="37">
        <f ca="1">F5+G5+E5</f>
        <v>22.96435700463303</v>
      </c>
      <c r="I5" s="37">
        <f ca="1">H5-F5</f>
        <v>13.560355046550418</v>
      </c>
    </row>
    <row r="6" spans="1:9" x14ac:dyDescent="0.3">
      <c r="A6" s="30">
        <v>2</v>
      </c>
      <c r="B6" s="37">
        <f t="shared" ref="B6:C24" ca="1" si="0">RAND()</f>
        <v>0.24156858270207426</v>
      </c>
      <c r="C6" s="37">
        <f t="shared" ca="1" si="0"/>
        <v>0.39537850115246287</v>
      </c>
      <c r="D6" s="37">
        <f t="shared" ref="D6:D24" ca="1" si="1">(1/$D$1)*LN(1/(1-B6))</f>
        <v>4.6083817189552541</v>
      </c>
      <c r="E6" s="37">
        <f t="shared" ref="E6:E24" ca="1" si="2">(1/$D$2)*LN(1/(1-C6))</f>
        <v>10.063052769476915</v>
      </c>
      <c r="F6" s="37">
        <f ca="1">F5+D6</f>
        <v>14.012383677037866</v>
      </c>
      <c r="G6" s="37">
        <f ca="1">IF(F6&gt;H5,0,H5-F6)</f>
        <v>8.9519733275951641</v>
      </c>
      <c r="H6" s="37">
        <f ca="1">F6+G6+E6</f>
        <v>33.027409774109941</v>
      </c>
      <c r="I6" s="37">
        <f ca="1">H6-F6</f>
        <v>19.015026097072074</v>
      </c>
    </row>
    <row r="7" spans="1:9" x14ac:dyDescent="0.3">
      <c r="A7" s="30">
        <v>3</v>
      </c>
      <c r="B7" s="37">
        <f t="shared" ca="1" si="0"/>
        <v>0.95574770431993405</v>
      </c>
      <c r="C7" s="37">
        <f t="shared" ca="1" si="0"/>
        <v>0.54099184062998473</v>
      </c>
      <c r="D7" s="37">
        <f t="shared" ca="1" si="1"/>
        <v>51.96413381830677</v>
      </c>
      <c r="E7" s="37">
        <f t="shared" ca="1" si="2"/>
        <v>15.573745853486564</v>
      </c>
      <c r="F7" s="37">
        <f t="shared" ref="F7:F24" ca="1" si="3">F6+D7</f>
        <v>65.976517495344638</v>
      </c>
      <c r="G7" s="37">
        <f t="shared" ref="G7:G24" ca="1" si="4">IF(F7&gt;H6,0,H6-F7)</f>
        <v>0</v>
      </c>
      <c r="H7" s="37">
        <f t="shared" ref="H7:H24" ca="1" si="5">F7+G7+E7</f>
        <v>81.550263348831209</v>
      </c>
      <c r="I7" s="37">
        <f t="shared" ref="I7:I24" ca="1" si="6">H7-F7</f>
        <v>15.573745853486571</v>
      </c>
    </row>
    <row r="8" spans="1:9" x14ac:dyDescent="0.3">
      <c r="A8" s="30">
        <v>4</v>
      </c>
      <c r="B8" s="37">
        <f t="shared" ca="1" si="0"/>
        <v>0.1672005973716667</v>
      </c>
      <c r="C8" s="37">
        <f t="shared" ca="1" si="0"/>
        <v>8.5114462048202943E-2</v>
      </c>
      <c r="D8" s="37">
        <f t="shared" ca="1" si="1"/>
        <v>3.0493746497785077</v>
      </c>
      <c r="E8" s="37">
        <f t="shared" ca="1" si="2"/>
        <v>1.7791263333262561</v>
      </c>
      <c r="F8" s="37">
        <f t="shared" ca="1" si="3"/>
        <v>69.025892145123152</v>
      </c>
      <c r="G8" s="37">
        <f t="shared" ca="1" si="4"/>
        <v>12.524371203708057</v>
      </c>
      <c r="H8" s="37">
        <f t="shared" ca="1" si="5"/>
        <v>83.329389682157469</v>
      </c>
      <c r="I8" s="37">
        <f t="shared" ca="1" si="6"/>
        <v>14.303497537034318</v>
      </c>
    </row>
    <row r="9" spans="1:9" x14ac:dyDescent="0.3">
      <c r="A9" s="30">
        <v>5</v>
      </c>
      <c r="B9" s="37">
        <f t="shared" ca="1" si="0"/>
        <v>0.10163239717522232</v>
      </c>
      <c r="C9" s="37">
        <f t="shared" ca="1" si="0"/>
        <v>0.95725627007300984</v>
      </c>
      <c r="D9" s="37">
        <f t="shared" ca="1" si="1"/>
        <v>1.7862656196310809</v>
      </c>
      <c r="E9" s="37">
        <f t="shared" ca="1" si="2"/>
        <v>63.050655254614497</v>
      </c>
      <c r="F9" s="37">
        <f t="shared" ca="1" si="3"/>
        <v>70.812157764754232</v>
      </c>
      <c r="G9" s="37">
        <f t="shared" ca="1" si="4"/>
        <v>12.517231917403237</v>
      </c>
      <c r="H9" s="37">
        <f t="shared" ca="1" si="5"/>
        <v>146.38004493677198</v>
      </c>
      <c r="I9" s="37">
        <f t="shared" ca="1" si="6"/>
        <v>75.567887172017748</v>
      </c>
    </row>
    <row r="10" spans="1:9" x14ac:dyDescent="0.3">
      <c r="A10" s="30">
        <v>6</v>
      </c>
      <c r="B10" s="37">
        <f t="shared" ca="1" si="0"/>
        <v>0.95916603846402348</v>
      </c>
      <c r="C10" s="37">
        <f t="shared" ca="1" si="0"/>
        <v>0.74027755873242862</v>
      </c>
      <c r="D10" s="37">
        <f t="shared" ca="1" si="1"/>
        <v>53.304019220487987</v>
      </c>
      <c r="E10" s="37">
        <f t="shared" ca="1" si="2"/>
        <v>26.962835035454148</v>
      </c>
      <c r="F10" s="37">
        <f t="shared" ca="1" si="3"/>
        <v>124.11617698524222</v>
      </c>
      <c r="G10" s="37">
        <f t="shared" ca="1" si="4"/>
        <v>22.263867951529761</v>
      </c>
      <c r="H10" s="37">
        <f t="shared" ca="1" si="5"/>
        <v>173.34287997222611</v>
      </c>
      <c r="I10" s="37">
        <f t="shared" ca="1" si="6"/>
        <v>49.226702986983895</v>
      </c>
    </row>
    <row r="11" spans="1:9" x14ac:dyDescent="0.3">
      <c r="A11" s="30">
        <v>7</v>
      </c>
      <c r="B11" s="37">
        <f t="shared" ca="1" si="0"/>
        <v>0.59482149650916294</v>
      </c>
      <c r="C11" s="37">
        <f t="shared" ca="1" si="0"/>
        <v>0.3710581235946192</v>
      </c>
      <c r="D11" s="37">
        <f t="shared" ca="1" si="1"/>
        <v>15.057125993616252</v>
      </c>
      <c r="E11" s="37">
        <f t="shared" ca="1" si="2"/>
        <v>9.2743286580434461</v>
      </c>
      <c r="F11" s="37">
        <f t="shared" ca="1" si="3"/>
        <v>139.17330297885846</v>
      </c>
      <c r="G11" s="37">
        <f t="shared" ca="1" si="4"/>
        <v>34.169576993367656</v>
      </c>
      <c r="H11" s="37">
        <f t="shared" ca="1" si="5"/>
        <v>182.61720863026957</v>
      </c>
      <c r="I11" s="37">
        <f t="shared" ca="1" si="6"/>
        <v>43.443905651411114</v>
      </c>
    </row>
    <row r="12" spans="1:9" x14ac:dyDescent="0.3">
      <c r="A12" s="30">
        <v>8</v>
      </c>
      <c r="B12" s="37">
        <f t="shared" ca="1" si="0"/>
        <v>0.99129786636117556</v>
      </c>
      <c r="C12" s="37">
        <f t="shared" ca="1" si="0"/>
        <v>0.81344453730762989</v>
      </c>
      <c r="D12" s="37">
        <f t="shared" ca="1" si="1"/>
        <v>79.069783959125928</v>
      </c>
      <c r="E12" s="37">
        <f t="shared" ca="1" si="2"/>
        <v>33.580533940371723</v>
      </c>
      <c r="F12" s="37">
        <f t="shared" ca="1" si="3"/>
        <v>218.2430869379844</v>
      </c>
      <c r="G12" s="37">
        <f t="shared" ca="1" si="4"/>
        <v>0</v>
      </c>
      <c r="H12" s="37">
        <f t="shared" ca="1" si="5"/>
        <v>251.82362087835611</v>
      </c>
      <c r="I12" s="37">
        <f t="shared" ca="1" si="6"/>
        <v>33.580533940371708</v>
      </c>
    </row>
    <row r="13" spans="1:9" x14ac:dyDescent="0.3">
      <c r="A13" s="30">
        <v>9</v>
      </c>
      <c r="B13" s="37">
        <f t="shared" ca="1" si="0"/>
        <v>0.60556083793715365</v>
      </c>
      <c r="C13" s="37">
        <f t="shared" ca="1" si="0"/>
        <v>0.46946784288113985</v>
      </c>
      <c r="D13" s="37">
        <f t="shared" ca="1" si="1"/>
        <v>15.504839431531922</v>
      </c>
      <c r="E13" s="37">
        <f t="shared" ca="1" si="2"/>
        <v>12.67749412283073</v>
      </c>
      <c r="F13" s="37">
        <f t="shared" ca="1" si="3"/>
        <v>233.74792636951634</v>
      </c>
      <c r="G13" s="37">
        <f t="shared" ca="1" si="4"/>
        <v>18.075694508839774</v>
      </c>
      <c r="H13" s="37">
        <f t="shared" ca="1" si="5"/>
        <v>264.50111500118686</v>
      </c>
      <c r="I13" s="37">
        <f t="shared" ca="1" si="6"/>
        <v>30.753188631670525</v>
      </c>
    </row>
    <row r="14" spans="1:9" x14ac:dyDescent="0.3">
      <c r="A14" s="30">
        <v>10</v>
      </c>
      <c r="B14" s="37">
        <f t="shared" ca="1" si="0"/>
        <v>0.87209502495411939</v>
      </c>
      <c r="C14" s="37">
        <f t="shared" ca="1" si="0"/>
        <v>0.44685968164724577</v>
      </c>
      <c r="D14" s="37">
        <f t="shared" ca="1" si="1"/>
        <v>34.274461220314855</v>
      </c>
      <c r="E14" s="37">
        <f t="shared" ca="1" si="2"/>
        <v>11.84287138812701</v>
      </c>
      <c r="F14" s="37">
        <f t="shared" ca="1" si="3"/>
        <v>268.02238758983117</v>
      </c>
      <c r="G14" s="37">
        <f t="shared" ca="1" si="4"/>
        <v>0</v>
      </c>
      <c r="H14" s="37">
        <f t="shared" ca="1" si="5"/>
        <v>279.86525897795821</v>
      </c>
      <c r="I14" s="37">
        <f t="shared" ca="1" si="6"/>
        <v>11.842871388127037</v>
      </c>
    </row>
    <row r="15" spans="1:9" x14ac:dyDescent="0.3">
      <c r="A15" s="30">
        <v>11</v>
      </c>
      <c r="B15" s="37">
        <f t="shared" ca="1" si="0"/>
        <v>0.90124080937481521</v>
      </c>
      <c r="C15" s="37">
        <f t="shared" ca="1" si="0"/>
        <v>6.400067832865064E-3</v>
      </c>
      <c r="D15" s="37">
        <f t="shared" ca="1" si="1"/>
        <v>38.584513498491503</v>
      </c>
      <c r="E15" s="37">
        <f t="shared" ca="1" si="2"/>
        <v>0.12841272145433572</v>
      </c>
      <c r="F15" s="37">
        <f t="shared" ca="1" si="3"/>
        <v>306.60690108832267</v>
      </c>
      <c r="G15" s="37">
        <f t="shared" ca="1" si="4"/>
        <v>0</v>
      </c>
      <c r="H15" s="37">
        <f t="shared" ca="1" si="5"/>
        <v>306.73531380977698</v>
      </c>
      <c r="I15" s="37">
        <f t="shared" ca="1" si="6"/>
        <v>0.12841272145431049</v>
      </c>
    </row>
    <row r="16" spans="1:9" x14ac:dyDescent="0.3">
      <c r="A16" s="30">
        <v>12</v>
      </c>
      <c r="B16" s="37">
        <f t="shared" ca="1" si="0"/>
        <v>0.6175164918480619</v>
      </c>
      <c r="C16" s="37">
        <f t="shared" ca="1" si="0"/>
        <v>0.45243284764976466</v>
      </c>
      <c r="D16" s="37">
        <f t="shared" ca="1" si="1"/>
        <v>16.017829043128518</v>
      </c>
      <c r="E16" s="37">
        <f t="shared" ca="1" si="2"/>
        <v>12.045403442364282</v>
      </c>
      <c r="F16" s="37">
        <f t="shared" ca="1" si="3"/>
        <v>322.6247301314512</v>
      </c>
      <c r="G16" s="37">
        <f t="shared" ca="1" si="4"/>
        <v>0</v>
      </c>
      <c r="H16" s="37">
        <f t="shared" ca="1" si="5"/>
        <v>334.67013357381546</v>
      </c>
      <c r="I16" s="37">
        <f t="shared" ca="1" si="6"/>
        <v>12.045403442364261</v>
      </c>
    </row>
    <row r="17" spans="1:9" x14ac:dyDescent="0.3">
      <c r="A17" s="30">
        <v>13</v>
      </c>
      <c r="B17" s="37">
        <f t="shared" ca="1" si="0"/>
        <v>0.63649946692970882</v>
      </c>
      <c r="C17" s="37">
        <f t="shared" ca="1" si="0"/>
        <v>0.32841381367963407</v>
      </c>
      <c r="D17" s="37">
        <f t="shared" ca="1" si="1"/>
        <v>16.866241925273378</v>
      </c>
      <c r="E17" s="37">
        <f t="shared" ca="1" si="2"/>
        <v>7.962258446084201</v>
      </c>
      <c r="F17" s="37">
        <f t="shared" ca="1" si="3"/>
        <v>339.49097205672456</v>
      </c>
      <c r="G17" s="37">
        <f t="shared" ca="1" si="4"/>
        <v>0</v>
      </c>
      <c r="H17" s="37">
        <f t="shared" ca="1" si="5"/>
        <v>347.45323050280876</v>
      </c>
      <c r="I17" s="37">
        <f t="shared" ca="1" si="6"/>
        <v>7.9622584460842063</v>
      </c>
    </row>
    <row r="18" spans="1:9" x14ac:dyDescent="0.3">
      <c r="A18" s="30">
        <v>14</v>
      </c>
      <c r="B18" s="37">
        <f t="shared" ca="1" si="0"/>
        <v>0.69990305463726576</v>
      </c>
      <c r="C18" s="37">
        <f t="shared" ca="1" si="0"/>
        <v>0.80394807302030113</v>
      </c>
      <c r="D18" s="37">
        <f t="shared" ca="1" si="1"/>
        <v>20.060828421982137</v>
      </c>
      <c r="E18" s="37">
        <f t="shared" ca="1" si="2"/>
        <v>32.587514425408571</v>
      </c>
      <c r="F18" s="37">
        <f t="shared" ca="1" si="3"/>
        <v>359.5518004787067</v>
      </c>
      <c r="G18" s="37">
        <f t="shared" ca="1" si="4"/>
        <v>0</v>
      </c>
      <c r="H18" s="37">
        <f t="shared" ca="1" si="5"/>
        <v>392.13931490411528</v>
      </c>
      <c r="I18" s="37">
        <f t="shared" ca="1" si="6"/>
        <v>32.587514425408585</v>
      </c>
    </row>
    <row r="19" spans="1:9" x14ac:dyDescent="0.3">
      <c r="A19" s="30">
        <v>15</v>
      </c>
      <c r="B19" s="37">
        <f t="shared" ca="1" si="0"/>
        <v>0.45078350198917239</v>
      </c>
      <c r="C19" s="37">
        <f t="shared" ca="1" si="0"/>
        <v>0.8387831241784619</v>
      </c>
      <c r="D19" s="37">
        <f t="shared" ca="1" si="1"/>
        <v>9.98770942435889</v>
      </c>
      <c r="E19" s="37">
        <f t="shared" ca="1" si="2"/>
        <v>36.500095313397438</v>
      </c>
      <c r="F19" s="37">
        <f t="shared" ca="1" si="3"/>
        <v>369.53950990306561</v>
      </c>
      <c r="G19" s="37">
        <f t="shared" ca="1" si="4"/>
        <v>22.599805001049674</v>
      </c>
      <c r="H19" s="37">
        <f t="shared" ca="1" si="5"/>
        <v>428.6394102175127</v>
      </c>
      <c r="I19" s="37">
        <f t="shared" ca="1" si="6"/>
        <v>59.099900314447098</v>
      </c>
    </row>
    <row r="20" spans="1:9" x14ac:dyDescent="0.3">
      <c r="A20" s="30">
        <v>16</v>
      </c>
      <c r="B20" s="37">
        <f t="shared" ca="1" si="0"/>
        <v>0.23361853127017029</v>
      </c>
      <c r="C20" s="37">
        <f t="shared" ca="1" si="0"/>
        <v>0.45764471895542891</v>
      </c>
      <c r="D20" s="37">
        <f t="shared" ca="1" si="1"/>
        <v>4.4345872041681069</v>
      </c>
      <c r="E20" s="37">
        <f t="shared" ca="1" si="2"/>
        <v>12.236679844131926</v>
      </c>
      <c r="F20" s="37">
        <f t="shared" ca="1" si="3"/>
        <v>373.97409710723372</v>
      </c>
      <c r="G20" s="37">
        <f t="shared" ca="1" si="4"/>
        <v>54.665313110278987</v>
      </c>
      <c r="H20" s="37">
        <f t="shared" ca="1" si="5"/>
        <v>440.87609006164462</v>
      </c>
      <c r="I20" s="37">
        <f t="shared" ca="1" si="6"/>
        <v>66.9019929544109</v>
      </c>
    </row>
    <row r="21" spans="1:9" x14ac:dyDescent="0.3">
      <c r="A21" s="30">
        <v>17</v>
      </c>
      <c r="B21" s="37">
        <f t="shared" ca="1" si="0"/>
        <v>0.92740295592110256</v>
      </c>
      <c r="C21" s="37">
        <f t="shared" ca="1" si="0"/>
        <v>0.89877173013613154</v>
      </c>
      <c r="D21" s="37">
        <f t="shared" ca="1" si="1"/>
        <v>43.713851219116229</v>
      </c>
      <c r="E21" s="37">
        <f t="shared" ca="1" si="2"/>
        <v>45.807544293156433</v>
      </c>
      <c r="F21" s="37">
        <f t="shared" ca="1" si="3"/>
        <v>417.68794832634995</v>
      </c>
      <c r="G21" s="37">
        <f t="shared" ca="1" si="4"/>
        <v>23.188141735294664</v>
      </c>
      <c r="H21" s="37">
        <f t="shared" ca="1" si="5"/>
        <v>486.68363435480103</v>
      </c>
      <c r="I21" s="37">
        <f t="shared" ca="1" si="6"/>
        <v>68.995686028451075</v>
      </c>
    </row>
    <row r="22" spans="1:9" x14ac:dyDescent="0.3">
      <c r="A22" s="30">
        <v>18</v>
      </c>
      <c r="B22" s="37">
        <f t="shared" ca="1" si="0"/>
        <v>0.81799804803801379</v>
      </c>
      <c r="C22" s="37">
        <f t="shared" ca="1" si="0"/>
        <v>0.6394750352868005</v>
      </c>
      <c r="D22" s="37">
        <f t="shared" ca="1" si="1"/>
        <v>28.395631114949943</v>
      </c>
      <c r="E22" s="37">
        <f t="shared" ca="1" si="2"/>
        <v>20.40388148820324</v>
      </c>
      <c r="F22" s="37">
        <f t="shared" ca="1" si="3"/>
        <v>446.08357944129989</v>
      </c>
      <c r="G22" s="37">
        <f t="shared" ca="1" si="4"/>
        <v>40.60005491350114</v>
      </c>
      <c r="H22" s="37">
        <f t="shared" ca="1" si="5"/>
        <v>507.08751584300427</v>
      </c>
      <c r="I22" s="37">
        <f t="shared" ca="1" si="6"/>
        <v>61.003936401704379</v>
      </c>
    </row>
    <row r="23" spans="1:9" x14ac:dyDescent="0.3">
      <c r="A23" s="30">
        <v>19</v>
      </c>
      <c r="B23" s="37">
        <f t="shared" ca="1" si="0"/>
        <v>0.96991220107046161</v>
      </c>
      <c r="C23" s="37">
        <f t="shared" ca="1" si="0"/>
        <v>0.83860964211275746</v>
      </c>
      <c r="D23" s="37">
        <f t="shared" ca="1" si="1"/>
        <v>58.393925676373847</v>
      </c>
      <c r="E23" s="37">
        <f t="shared" ca="1" si="2"/>
        <v>36.478585308127897</v>
      </c>
      <c r="F23" s="37">
        <f t="shared" ca="1" si="3"/>
        <v>504.47750511767373</v>
      </c>
      <c r="G23" s="37">
        <f t="shared" ca="1" si="4"/>
        <v>2.6100107253305396</v>
      </c>
      <c r="H23" s="37">
        <f t="shared" ca="1" si="5"/>
        <v>543.56610115113222</v>
      </c>
      <c r="I23" s="37">
        <f t="shared" ca="1" si="6"/>
        <v>39.088596033458487</v>
      </c>
    </row>
    <row r="24" spans="1:9" x14ac:dyDescent="0.3">
      <c r="A24" s="30">
        <v>20</v>
      </c>
      <c r="B24" s="37">
        <f t="shared" ca="1" si="0"/>
        <v>0.26292798781700943</v>
      </c>
      <c r="C24" s="37">
        <f t="shared" ca="1" si="0"/>
        <v>4.2043916813377269E-2</v>
      </c>
      <c r="D24" s="37">
        <f t="shared" ca="1" si="1"/>
        <v>5.0844946947359846</v>
      </c>
      <c r="E24" s="37">
        <f t="shared" ca="1" si="2"/>
        <v>0.85906688494430417</v>
      </c>
      <c r="F24" s="37">
        <f t="shared" ca="1" si="3"/>
        <v>509.56199981240974</v>
      </c>
      <c r="G24" s="37">
        <f t="shared" ca="1" si="4"/>
        <v>34.004101338722478</v>
      </c>
      <c r="H24" s="37">
        <f t="shared" ca="1" si="5"/>
        <v>544.42516803607657</v>
      </c>
      <c r="I24" s="37">
        <f t="shared" ca="1" si="6"/>
        <v>34.863168223666833</v>
      </c>
    </row>
    <row r="25" spans="1:9" x14ac:dyDescent="0.3">
      <c r="D25" s="37">
        <f ca="1">AVERAGE(D5:D24)</f>
        <v>25.478099990620485</v>
      </c>
      <c r="E25" s="37">
        <f ca="1">AVERAGE(E5:E24)</f>
        <v>20.168722028477717</v>
      </c>
      <c r="G25" s="37">
        <f ca="1">AVERAGE(G5:G24)</f>
        <v>14.308507136331055</v>
      </c>
      <c r="I25" s="37">
        <f ca="1">AVERAGE(I6:I24)</f>
        <v>35.578117276296062</v>
      </c>
    </row>
    <row r="26" spans="1:9" x14ac:dyDescent="0.3">
      <c r="D26" s="37">
        <f ca="1">1/D25</f>
        <v>3.9249394592537915E-2</v>
      </c>
      <c r="E26" s="37">
        <f ca="1">1/E25</f>
        <v>4.9581723551349745E-2</v>
      </c>
      <c r="G26" s="37">
        <f ca="1">SUM(G5:G24)/H24</f>
        <v>0.52563724002498347</v>
      </c>
      <c r="I26" s="37">
        <f ca="1">SUM(I5:I24)/H24</f>
        <v>1.26655530232666</v>
      </c>
    </row>
    <row r="30" spans="1:9" x14ac:dyDescent="0.3">
      <c r="A30" s="30" t="s">
        <v>19</v>
      </c>
      <c r="B30" s="30" t="s">
        <v>113</v>
      </c>
      <c r="F30" s="30" t="s">
        <v>112</v>
      </c>
      <c r="H30" s="39" t="s">
        <v>37</v>
      </c>
      <c r="I30" s="39" t="s">
        <v>39</v>
      </c>
    </row>
    <row r="31" spans="1:9" x14ac:dyDescent="0.3">
      <c r="A31" s="30">
        <v>1</v>
      </c>
      <c r="B31" s="37">
        <v>8.3682052537230405</v>
      </c>
      <c r="D31" s="30" t="s">
        <v>110</v>
      </c>
      <c r="E31" s="37">
        <f>MIN(B31:B50)</f>
        <v>2.2879848268865732</v>
      </c>
      <c r="F31" s="30">
        <v>0</v>
      </c>
      <c r="H31" s="40">
        <v>0</v>
      </c>
      <c r="I31" s="41">
        <v>0</v>
      </c>
    </row>
    <row r="32" spans="1:9" x14ac:dyDescent="0.3">
      <c r="A32" s="30">
        <v>2</v>
      </c>
      <c r="B32" s="37">
        <v>2.2879848268865732</v>
      </c>
      <c r="D32" s="30" t="s">
        <v>111</v>
      </c>
      <c r="E32" s="37">
        <f>MAX(B31:B50)</f>
        <v>90.191936979425861</v>
      </c>
      <c r="F32" s="30">
        <v>10</v>
      </c>
      <c r="H32" s="40">
        <v>10</v>
      </c>
      <c r="I32" s="41">
        <v>3</v>
      </c>
    </row>
    <row r="33" spans="1:9" x14ac:dyDescent="0.3">
      <c r="A33" s="30">
        <v>3</v>
      </c>
      <c r="B33" s="37">
        <v>3.3002007812723519</v>
      </c>
      <c r="F33" s="30">
        <v>20</v>
      </c>
      <c r="H33" s="40">
        <v>20</v>
      </c>
      <c r="I33" s="41">
        <v>0</v>
      </c>
    </row>
    <row r="34" spans="1:9" x14ac:dyDescent="0.3">
      <c r="A34" s="30">
        <v>4</v>
      </c>
      <c r="B34" s="37">
        <v>21.955887496327755</v>
      </c>
      <c r="F34" s="30">
        <v>30</v>
      </c>
      <c r="H34" s="40">
        <v>30</v>
      </c>
      <c r="I34" s="41">
        <v>5</v>
      </c>
    </row>
    <row r="35" spans="1:9" x14ac:dyDescent="0.3">
      <c r="A35" s="30">
        <v>5</v>
      </c>
      <c r="B35" s="37">
        <v>35.369406663532061</v>
      </c>
      <c r="F35" s="30">
        <v>40</v>
      </c>
      <c r="H35" s="40">
        <v>40</v>
      </c>
      <c r="I35" s="41">
        <v>3</v>
      </c>
    </row>
    <row r="36" spans="1:9" x14ac:dyDescent="0.3">
      <c r="A36" s="30">
        <v>6</v>
      </c>
      <c r="B36" s="37">
        <v>26.85575017917435</v>
      </c>
      <c r="F36" s="30">
        <v>50</v>
      </c>
      <c r="H36" s="40">
        <v>50</v>
      </c>
      <c r="I36" s="41">
        <v>0</v>
      </c>
    </row>
    <row r="37" spans="1:9" x14ac:dyDescent="0.3">
      <c r="A37" s="30">
        <v>7</v>
      </c>
      <c r="B37" s="37">
        <v>38.416015604251015</v>
      </c>
      <c r="F37" s="30">
        <v>60</v>
      </c>
      <c r="H37" s="40">
        <v>60</v>
      </c>
      <c r="I37" s="41">
        <v>2</v>
      </c>
    </row>
    <row r="38" spans="1:9" x14ac:dyDescent="0.3">
      <c r="A38" s="30">
        <v>8</v>
      </c>
      <c r="B38" s="37">
        <v>52.590373685525662</v>
      </c>
      <c r="F38" s="30">
        <v>70</v>
      </c>
      <c r="H38" s="40">
        <v>70</v>
      </c>
      <c r="I38" s="41">
        <v>4</v>
      </c>
    </row>
    <row r="39" spans="1:9" x14ac:dyDescent="0.3">
      <c r="A39" s="30">
        <v>9</v>
      </c>
      <c r="B39" s="37">
        <v>61.885939554099878</v>
      </c>
      <c r="F39" s="30">
        <v>80</v>
      </c>
      <c r="H39" s="40">
        <v>80</v>
      </c>
      <c r="I39" s="41">
        <v>1</v>
      </c>
    </row>
    <row r="40" spans="1:9" x14ac:dyDescent="0.3">
      <c r="A40" s="30">
        <v>10</v>
      </c>
      <c r="B40" s="37">
        <v>84.017264036296865</v>
      </c>
      <c r="F40" s="30">
        <v>90</v>
      </c>
      <c r="H40" s="40">
        <v>90</v>
      </c>
      <c r="I40" s="41">
        <v>1</v>
      </c>
    </row>
    <row r="41" spans="1:9" x14ac:dyDescent="0.3">
      <c r="A41" s="30">
        <v>11</v>
      </c>
      <c r="B41" s="37">
        <v>26.886409884257063</v>
      </c>
      <c r="F41" s="30">
        <v>100</v>
      </c>
      <c r="H41" s="40">
        <v>100</v>
      </c>
      <c r="I41" s="41">
        <v>1</v>
      </c>
    </row>
    <row r="42" spans="1:9" x14ac:dyDescent="0.3">
      <c r="A42" s="30">
        <v>12</v>
      </c>
      <c r="B42" s="37">
        <v>23.995520077815343</v>
      </c>
      <c r="H42" s="41" t="s">
        <v>38</v>
      </c>
      <c r="I42" s="41">
        <v>0</v>
      </c>
    </row>
    <row r="43" spans="1:9" x14ac:dyDescent="0.3">
      <c r="A43" s="30">
        <v>13</v>
      </c>
      <c r="B43" s="37">
        <v>69.040734285185977</v>
      </c>
    </row>
    <row r="44" spans="1:9" x14ac:dyDescent="0.3">
      <c r="A44" s="30">
        <v>14</v>
      </c>
      <c r="B44" s="37">
        <v>53.481357973260089</v>
      </c>
    </row>
    <row r="45" spans="1:9" x14ac:dyDescent="0.3">
      <c r="A45" s="30">
        <v>15</v>
      </c>
      <c r="B45" s="37">
        <v>66.583185267248894</v>
      </c>
    </row>
    <row r="46" spans="1:9" x14ac:dyDescent="0.3">
      <c r="A46" s="30">
        <v>16</v>
      </c>
      <c r="B46" s="37">
        <v>67.758275610826843</v>
      </c>
    </row>
    <row r="47" spans="1:9" x14ac:dyDescent="0.3">
      <c r="A47" s="30">
        <v>17</v>
      </c>
      <c r="B47" s="37">
        <v>70.75924597074561</v>
      </c>
    </row>
    <row r="48" spans="1:9" x14ac:dyDescent="0.3">
      <c r="A48" s="30">
        <v>18</v>
      </c>
      <c r="B48" s="37">
        <v>90.191936979425861</v>
      </c>
    </row>
    <row r="49" spans="1:2" x14ac:dyDescent="0.3">
      <c r="A49" s="30">
        <v>19</v>
      </c>
      <c r="B49" s="37">
        <v>37.201774476243486</v>
      </c>
    </row>
    <row r="50" spans="1:2" x14ac:dyDescent="0.3">
      <c r="A50" s="30">
        <v>20</v>
      </c>
      <c r="B50" s="37">
        <v>25.771225675648282</v>
      </c>
    </row>
  </sheetData>
  <sortState ref="H31:H41">
    <sortCondition ref="H35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7" r:id="rId3" name="CommandButton1">
          <controlPr defaultSize="0" autoLine="0" r:id="rId4">
            <anchor moveWithCells="1">
              <from>
                <xdr:col>6</xdr:col>
                <xdr:colOff>7620</xdr:colOff>
                <xdr:row>0</xdr:row>
                <xdr:rowOff>53340</xdr:rowOff>
              </from>
              <to>
                <xdr:col>7</xdr:col>
                <xdr:colOff>579120</xdr:colOff>
                <xdr:row>1</xdr:row>
                <xdr:rowOff>175260</xdr:rowOff>
              </to>
            </anchor>
          </controlPr>
        </control>
      </mc:Choice>
      <mc:Fallback>
        <control shapeId="9217" r:id="rId3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9"/>
  <dimension ref="A1:T107"/>
  <sheetViews>
    <sheetView tabSelected="1" zoomScale="87" zoomScaleNormal="87" workbookViewId="0"/>
  </sheetViews>
  <sheetFormatPr defaultRowHeight="14.4" x14ac:dyDescent="0.3"/>
  <cols>
    <col min="1" max="1" width="11" customWidth="1"/>
    <col min="5" max="5" width="11.6640625" customWidth="1"/>
    <col min="6" max="6" width="10.5546875" customWidth="1"/>
    <col min="13" max="13" width="13.44140625" bestFit="1" customWidth="1"/>
  </cols>
  <sheetData>
    <row r="1" spans="1:20" ht="21" x14ac:dyDescent="0.35">
      <c r="C1" s="89" t="s">
        <v>118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P1" s="47" t="s">
        <v>131</v>
      </c>
    </row>
    <row r="2" spans="1:20" ht="18" x14ac:dyDescent="0.35">
      <c r="C2" s="44" t="s">
        <v>114</v>
      </c>
      <c r="D2" s="87" t="s">
        <v>136</v>
      </c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20" ht="18" x14ac:dyDescent="0.35">
      <c r="C3" s="44" t="s">
        <v>115</v>
      </c>
      <c r="D3" s="87" t="s">
        <v>137</v>
      </c>
      <c r="E3" s="87"/>
      <c r="F3" s="87"/>
      <c r="G3" s="87"/>
      <c r="H3" s="87"/>
      <c r="I3" s="87"/>
      <c r="J3" s="87"/>
      <c r="K3" s="87"/>
      <c r="L3" s="87"/>
      <c r="M3" s="87"/>
      <c r="N3" s="87"/>
      <c r="T3" s="43" t="s">
        <v>135</v>
      </c>
    </row>
    <row r="4" spans="1:20" ht="18" x14ac:dyDescent="0.35">
      <c r="C4" s="45" t="s">
        <v>116</v>
      </c>
      <c r="D4" s="88" t="s">
        <v>117</v>
      </c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20" ht="20.399999999999999" x14ac:dyDescent="0.35">
      <c r="C5" s="45" t="s">
        <v>119</v>
      </c>
      <c r="D5" s="87" t="s">
        <v>125</v>
      </c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1:20" ht="20.399999999999999" x14ac:dyDescent="0.35">
      <c r="C6" s="45" t="s">
        <v>120</v>
      </c>
      <c r="D6" s="87" t="s">
        <v>126</v>
      </c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1:20" ht="20.399999999999999" x14ac:dyDescent="0.35">
      <c r="C7" s="45" t="s">
        <v>121</v>
      </c>
      <c r="D7" s="90" t="s">
        <v>127</v>
      </c>
      <c r="E7" s="91"/>
      <c r="F7" s="91"/>
      <c r="G7" s="91"/>
      <c r="H7" s="91"/>
      <c r="I7" s="91"/>
      <c r="J7" s="91"/>
      <c r="K7" s="91"/>
      <c r="L7" s="91"/>
      <c r="M7" s="91"/>
      <c r="N7" s="92"/>
    </row>
    <row r="8" spans="1:20" ht="20.399999999999999" x14ac:dyDescent="0.35">
      <c r="C8" s="45" t="s">
        <v>122</v>
      </c>
      <c r="D8" s="87" t="s">
        <v>128</v>
      </c>
      <c r="E8" s="87"/>
      <c r="F8" s="87"/>
      <c r="G8" s="87"/>
      <c r="H8" s="87"/>
      <c r="I8" s="87"/>
      <c r="J8" s="87"/>
      <c r="K8" s="87"/>
      <c r="L8" s="87"/>
      <c r="M8" s="87"/>
      <c r="N8" s="87"/>
    </row>
    <row r="9" spans="1:20" ht="20.399999999999999" x14ac:dyDescent="0.35">
      <c r="C9" s="45" t="s">
        <v>123</v>
      </c>
      <c r="D9" s="87" t="s">
        <v>129</v>
      </c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1:20" ht="20.399999999999999" x14ac:dyDescent="0.35">
      <c r="C10" s="45" t="s">
        <v>124</v>
      </c>
      <c r="D10" s="87" t="s">
        <v>130</v>
      </c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2" spans="1:20" ht="19.8" x14ac:dyDescent="0.3">
      <c r="A12" s="48" t="s">
        <v>132</v>
      </c>
      <c r="B12" s="50">
        <v>0.06</v>
      </c>
      <c r="C12" s="51" t="s">
        <v>134</v>
      </c>
    </row>
    <row r="13" spans="1:20" ht="19.8" x14ac:dyDescent="0.3">
      <c r="A13" s="49" t="s">
        <v>133</v>
      </c>
      <c r="B13" s="50">
        <v>3.5000000000000003E-2</v>
      </c>
      <c r="C13" s="51" t="s">
        <v>134</v>
      </c>
    </row>
    <row r="15" spans="1:20" ht="15.6" x14ac:dyDescent="0.3">
      <c r="A15" s="30" t="s">
        <v>19</v>
      </c>
      <c r="B15" s="30" t="s">
        <v>104</v>
      </c>
      <c r="C15" s="30" t="s">
        <v>105</v>
      </c>
      <c r="D15" s="30" t="s">
        <v>106</v>
      </c>
      <c r="E15" s="30" t="s">
        <v>88</v>
      </c>
      <c r="F15" s="30" t="s">
        <v>107</v>
      </c>
      <c r="G15" s="30" t="s">
        <v>108</v>
      </c>
      <c r="H15" s="30" t="s">
        <v>109</v>
      </c>
      <c r="I15" s="30" t="s">
        <v>103</v>
      </c>
    </row>
    <row r="16" spans="1:20" x14ac:dyDescent="0.3">
      <c r="A16" s="30">
        <v>1</v>
      </c>
      <c r="B16" s="37">
        <f ca="1">RAND()</f>
        <v>7.183444892321611E-2</v>
      </c>
      <c r="C16" s="37">
        <f ca="1">RAND()</f>
        <v>0.69165288138000292</v>
      </c>
      <c r="D16" s="37">
        <f ca="1">(1/$B$12)*LN(1/(1-B16))</f>
        <v>1.2424194424942074</v>
      </c>
      <c r="E16" s="37">
        <f ca="1">(1/$B$13)*LN(1/(1-C16))</f>
        <v>33.615117774268924</v>
      </c>
      <c r="F16" s="37">
        <f ca="1">D16</f>
        <v>1.2424194424942074</v>
      </c>
      <c r="G16" s="37">
        <v>0</v>
      </c>
      <c r="H16" s="37">
        <f ca="1">F16+G16+E16</f>
        <v>34.857537216763134</v>
      </c>
      <c r="I16" s="37">
        <f ca="1">H16-F16</f>
        <v>33.615117774268924</v>
      </c>
    </row>
    <row r="17" spans="1:9" x14ac:dyDescent="0.3">
      <c r="A17" s="30">
        <v>2</v>
      </c>
      <c r="B17" s="37">
        <f t="shared" ref="B17:C35" ca="1" si="0">RAND()</f>
        <v>0.49144555828921643</v>
      </c>
      <c r="C17" s="37">
        <f t="shared" ca="1" si="0"/>
        <v>0.85034064588821678</v>
      </c>
      <c r="D17" s="37">
        <f t="shared" ref="D17:D35" ca="1" si="1">(1/$B$12)*LN(1/(1-B17))</f>
        <v>11.269716764661437</v>
      </c>
      <c r="E17" s="37">
        <f t="shared" ref="E17:E35" ca="1" si="2">(1/$B$13)*LN(1/(1-C17))</f>
        <v>54.26838685836983</v>
      </c>
      <c r="F17" s="37">
        <f ca="1">F16+D17</f>
        <v>12.512136207155645</v>
      </c>
      <c r="G17" s="37">
        <f ca="1">IF(F17&gt;H16,0,H16-F17)</f>
        <v>22.345401009607489</v>
      </c>
      <c r="H17" s="37">
        <f ca="1">F17+G17+E17</f>
        <v>89.125924075132957</v>
      </c>
      <c r="I17" s="37">
        <f ca="1">H17-F17</f>
        <v>76.613787867977308</v>
      </c>
    </row>
    <row r="18" spans="1:9" x14ac:dyDescent="0.3">
      <c r="A18" s="30">
        <v>3</v>
      </c>
      <c r="B18" s="37">
        <f t="shared" ca="1" si="0"/>
        <v>0.59519047320268725</v>
      </c>
      <c r="C18" s="37">
        <f t="shared" ca="1" si="0"/>
        <v>0.75387565986595484</v>
      </c>
      <c r="D18" s="37">
        <f t="shared" ca="1" si="1"/>
        <v>15.072310445124559</v>
      </c>
      <c r="E18" s="37">
        <f t="shared" ca="1" si="2"/>
        <v>40.05481208703042</v>
      </c>
      <c r="F18" s="37">
        <f t="shared" ref="F18:F35" ca="1" si="3">F17+D18</f>
        <v>27.584446652280207</v>
      </c>
      <c r="G18" s="37">
        <f t="shared" ref="G18:G35" ca="1" si="4">IF(F18&gt;H17,0,H17-F18)</f>
        <v>61.541477422852751</v>
      </c>
      <c r="H18" s="37">
        <f t="shared" ref="H18:H35" ca="1" si="5">F18+G18+E18</f>
        <v>129.18073616216338</v>
      </c>
      <c r="I18" s="37">
        <f t="shared" ref="I18:I35" ca="1" si="6">H18-F18</f>
        <v>101.59628950988318</v>
      </c>
    </row>
    <row r="19" spans="1:9" x14ac:dyDescent="0.3">
      <c r="A19" s="30">
        <v>4</v>
      </c>
      <c r="B19" s="37">
        <f t="shared" ca="1" si="0"/>
        <v>0.31347866772900146</v>
      </c>
      <c r="C19" s="37">
        <f t="shared" ca="1" si="0"/>
        <v>0.93019949079630104</v>
      </c>
      <c r="D19" s="37">
        <f t="shared" ca="1" si="1"/>
        <v>6.2686330050099794</v>
      </c>
      <c r="E19" s="37">
        <f t="shared" ca="1" si="2"/>
        <v>76.060399258813888</v>
      </c>
      <c r="F19" s="37">
        <f t="shared" ca="1" si="3"/>
        <v>33.853079657290188</v>
      </c>
      <c r="G19" s="37">
        <f t="shared" ca="1" si="4"/>
        <v>95.327656504873204</v>
      </c>
      <c r="H19" s="37">
        <f t="shared" ca="1" si="5"/>
        <v>205.24113542097729</v>
      </c>
      <c r="I19" s="37">
        <f t="shared" ca="1" si="6"/>
        <v>171.38805576368711</v>
      </c>
    </row>
    <row r="20" spans="1:9" x14ac:dyDescent="0.3">
      <c r="A20" s="30">
        <v>5</v>
      </c>
      <c r="B20" s="37">
        <f t="shared" ca="1" si="0"/>
        <v>0.44519351702865628</v>
      </c>
      <c r="C20" s="37">
        <f t="shared" ca="1" si="0"/>
        <v>9.5701723168628461E-2</v>
      </c>
      <c r="D20" s="37">
        <f t="shared" ca="1" si="1"/>
        <v>9.8189317561564486</v>
      </c>
      <c r="E20" s="37">
        <f t="shared" ca="1" si="2"/>
        <v>2.8741720218611446</v>
      </c>
      <c r="F20" s="37">
        <f t="shared" ca="1" si="3"/>
        <v>43.67201141344664</v>
      </c>
      <c r="G20" s="37">
        <f t="shared" ca="1" si="4"/>
        <v>161.56912400753066</v>
      </c>
      <c r="H20" s="37">
        <f t="shared" ca="1" si="5"/>
        <v>208.11530744283843</v>
      </c>
      <c r="I20" s="37">
        <f t="shared" ca="1" si="6"/>
        <v>164.44329602939177</v>
      </c>
    </row>
    <row r="21" spans="1:9" x14ac:dyDescent="0.3">
      <c r="A21" s="30">
        <v>6</v>
      </c>
      <c r="B21" s="37">
        <f t="shared" ca="1" si="0"/>
        <v>0.7072716567914008</v>
      </c>
      <c r="C21" s="37">
        <f t="shared" ca="1" si="0"/>
        <v>0.64670368051346605</v>
      </c>
      <c r="D21" s="37">
        <f t="shared" ca="1" si="1"/>
        <v>20.475170938749237</v>
      </c>
      <c r="E21" s="37">
        <f t="shared" ca="1" si="2"/>
        <v>29.727089777189473</v>
      </c>
      <c r="F21" s="37">
        <f t="shared" ca="1" si="3"/>
        <v>64.14718235219587</v>
      </c>
      <c r="G21" s="37">
        <f t="shared" ca="1" si="4"/>
        <v>143.96812509064256</v>
      </c>
      <c r="H21" s="37">
        <f t="shared" ca="1" si="5"/>
        <v>237.84239722002789</v>
      </c>
      <c r="I21" s="37">
        <f t="shared" ca="1" si="6"/>
        <v>173.69521486783202</v>
      </c>
    </row>
    <row r="22" spans="1:9" x14ac:dyDescent="0.3">
      <c r="A22" s="30">
        <v>7</v>
      </c>
      <c r="B22" s="37">
        <f t="shared" ca="1" si="0"/>
        <v>0.55052661042146278</v>
      </c>
      <c r="C22" s="37">
        <f t="shared" ca="1" si="0"/>
        <v>0.62335645060083944</v>
      </c>
      <c r="D22" s="37">
        <f t="shared" ca="1" si="1"/>
        <v>13.327977114510038</v>
      </c>
      <c r="E22" s="37">
        <f t="shared" ca="1" si="2"/>
        <v>27.898743745824053</v>
      </c>
      <c r="F22" s="37">
        <f t="shared" ca="1" si="3"/>
        <v>77.475159466705904</v>
      </c>
      <c r="G22" s="37">
        <f t="shared" ca="1" si="4"/>
        <v>160.367237753322</v>
      </c>
      <c r="H22" s="37">
        <f t="shared" ca="1" si="5"/>
        <v>265.74114096585197</v>
      </c>
      <c r="I22" s="37">
        <f t="shared" ca="1" si="6"/>
        <v>188.26598149914605</v>
      </c>
    </row>
    <row r="23" spans="1:9" x14ac:dyDescent="0.3">
      <c r="A23" s="30">
        <v>8</v>
      </c>
      <c r="B23" s="37">
        <f t="shared" ca="1" si="0"/>
        <v>0.69919575541937429</v>
      </c>
      <c r="C23" s="37">
        <f t="shared" ca="1" si="0"/>
        <v>0.61877069544801988</v>
      </c>
      <c r="D23" s="37">
        <f t="shared" ca="1" si="1"/>
        <v>20.021592933886438</v>
      </c>
      <c r="E23" s="37">
        <f t="shared" ca="1" si="2"/>
        <v>27.552978162178452</v>
      </c>
      <c r="F23" s="37">
        <f t="shared" ca="1" si="3"/>
        <v>97.496752400592342</v>
      </c>
      <c r="G23" s="37">
        <f t="shared" ca="1" si="4"/>
        <v>168.24438856525961</v>
      </c>
      <c r="H23" s="37">
        <f t="shared" ca="1" si="5"/>
        <v>293.29411912803045</v>
      </c>
      <c r="I23" s="37">
        <f t="shared" ca="1" si="6"/>
        <v>195.79736672743809</v>
      </c>
    </row>
    <row r="24" spans="1:9" x14ac:dyDescent="0.3">
      <c r="A24" s="30">
        <v>9</v>
      </c>
      <c r="B24" s="37">
        <f t="shared" ca="1" si="0"/>
        <v>0.51610626926712955</v>
      </c>
      <c r="C24" s="37">
        <f t="shared" ca="1" si="0"/>
        <v>0.90155249347927335</v>
      </c>
      <c r="D24" s="37">
        <f t="shared" ca="1" si="1"/>
        <v>12.098166016247479</v>
      </c>
      <c r="E24" s="37">
        <f t="shared" ca="1" si="2"/>
        <v>66.235194330990467</v>
      </c>
      <c r="F24" s="37">
        <f t="shared" ca="1" si="3"/>
        <v>109.59491841683982</v>
      </c>
      <c r="G24" s="37">
        <f t="shared" ca="1" si="4"/>
        <v>183.69920071119063</v>
      </c>
      <c r="H24" s="37">
        <f t="shared" ca="1" si="5"/>
        <v>359.5293134590209</v>
      </c>
      <c r="I24" s="37">
        <f t="shared" ca="1" si="6"/>
        <v>249.93439504218108</v>
      </c>
    </row>
    <row r="25" spans="1:9" x14ac:dyDescent="0.3">
      <c r="A25" s="30">
        <v>10</v>
      </c>
      <c r="B25" s="37">
        <f t="shared" ca="1" si="0"/>
        <v>0.68672752456555086</v>
      </c>
      <c r="C25" s="37">
        <f t="shared" ca="1" si="0"/>
        <v>0.32845220034867539</v>
      </c>
      <c r="D25" s="37">
        <f t="shared" ca="1" si="1"/>
        <v>19.34469897646056</v>
      </c>
      <c r="E25" s="37">
        <f t="shared" ca="1" si="2"/>
        <v>11.376288061568756</v>
      </c>
      <c r="F25" s="37">
        <f t="shared" ca="1" si="3"/>
        <v>128.93961739330038</v>
      </c>
      <c r="G25" s="37">
        <f t="shared" ca="1" si="4"/>
        <v>230.58969606572052</v>
      </c>
      <c r="H25" s="37">
        <f t="shared" ca="1" si="5"/>
        <v>370.90560152058964</v>
      </c>
      <c r="I25" s="37">
        <f t="shared" ca="1" si="6"/>
        <v>241.96598412728926</v>
      </c>
    </row>
    <row r="26" spans="1:9" x14ac:dyDescent="0.3">
      <c r="A26" s="30">
        <v>11</v>
      </c>
      <c r="B26" s="37">
        <f t="shared" ca="1" si="0"/>
        <v>0.94806602728715927</v>
      </c>
      <c r="C26" s="37">
        <f t="shared" ca="1" si="0"/>
        <v>0.14195870515520392</v>
      </c>
      <c r="D26" s="37">
        <f t="shared" ca="1" si="1"/>
        <v>49.29636871242662</v>
      </c>
      <c r="E26" s="37">
        <f t="shared" ca="1" si="2"/>
        <v>4.374372898931659</v>
      </c>
      <c r="F26" s="37">
        <f t="shared" ca="1" si="3"/>
        <v>178.23598610572699</v>
      </c>
      <c r="G26" s="37">
        <f t="shared" ca="1" si="4"/>
        <v>192.66961541486265</v>
      </c>
      <c r="H26" s="37">
        <f t="shared" ca="1" si="5"/>
        <v>375.2799744195213</v>
      </c>
      <c r="I26" s="37">
        <f t="shared" ca="1" si="6"/>
        <v>197.0439883137943</v>
      </c>
    </row>
    <row r="27" spans="1:9" x14ac:dyDescent="0.3">
      <c r="A27" s="30">
        <v>12</v>
      </c>
      <c r="B27" s="37">
        <f t="shared" ca="1" si="0"/>
        <v>0.49289531175708778</v>
      </c>
      <c r="C27" s="37">
        <f t="shared" ca="1" si="0"/>
        <v>8.7052996077005007E-3</v>
      </c>
      <c r="D27" s="37">
        <f t="shared" ca="1" si="1"/>
        <v>11.317296850332861</v>
      </c>
      <c r="E27" s="37">
        <f t="shared" ca="1" si="2"/>
        <v>0.2498117736146023</v>
      </c>
      <c r="F27" s="37">
        <f t="shared" ca="1" si="3"/>
        <v>189.55328295605986</v>
      </c>
      <c r="G27" s="37">
        <f t="shared" ca="1" si="4"/>
        <v>185.72669146346144</v>
      </c>
      <c r="H27" s="37">
        <f t="shared" ca="1" si="5"/>
        <v>375.52978619313592</v>
      </c>
      <c r="I27" s="37">
        <f t="shared" ca="1" si="6"/>
        <v>185.97650323707606</v>
      </c>
    </row>
    <row r="28" spans="1:9" x14ac:dyDescent="0.3">
      <c r="A28" s="30">
        <v>13</v>
      </c>
      <c r="B28" s="37">
        <f t="shared" ca="1" si="0"/>
        <v>4.2588986506293947E-2</v>
      </c>
      <c r="C28" s="37">
        <f t="shared" ca="1" si="0"/>
        <v>0.49020958324262476</v>
      </c>
      <c r="D28" s="37">
        <f t="shared" ca="1" si="1"/>
        <v>0.72537497575304766</v>
      </c>
      <c r="E28" s="37">
        <f t="shared" ca="1" si="2"/>
        <v>19.250159578868644</v>
      </c>
      <c r="F28" s="37">
        <f t="shared" ca="1" si="3"/>
        <v>190.27865793181292</v>
      </c>
      <c r="G28" s="37">
        <f t="shared" ca="1" si="4"/>
        <v>185.251128261323</v>
      </c>
      <c r="H28" s="37">
        <f t="shared" ca="1" si="5"/>
        <v>394.77994577200457</v>
      </c>
      <c r="I28" s="37">
        <f t="shared" ca="1" si="6"/>
        <v>204.50128784019165</v>
      </c>
    </row>
    <row r="29" spans="1:9" x14ac:dyDescent="0.3">
      <c r="A29" s="30">
        <v>14</v>
      </c>
      <c r="B29" s="37">
        <f t="shared" ca="1" si="0"/>
        <v>0.31591681234434732</v>
      </c>
      <c r="C29" s="37">
        <f t="shared" ca="1" si="0"/>
        <v>0.57529081287661854</v>
      </c>
      <c r="D29" s="37">
        <f t="shared" ca="1" si="1"/>
        <v>6.327929156250244</v>
      </c>
      <c r="E29" s="37">
        <f t="shared" ca="1" si="2"/>
        <v>24.467160281894696</v>
      </c>
      <c r="F29" s="37">
        <f t="shared" ca="1" si="3"/>
        <v>196.60658708806315</v>
      </c>
      <c r="G29" s="37">
        <f t="shared" ca="1" si="4"/>
        <v>198.17335868394142</v>
      </c>
      <c r="H29" s="37">
        <f t="shared" ca="1" si="5"/>
        <v>419.24710605389924</v>
      </c>
      <c r="I29" s="37">
        <f t="shared" ca="1" si="6"/>
        <v>222.64051896583609</v>
      </c>
    </row>
    <row r="30" spans="1:9" x14ac:dyDescent="0.3">
      <c r="A30" s="30">
        <v>15</v>
      </c>
      <c r="B30" s="37">
        <f t="shared" ca="1" si="0"/>
        <v>0.49148598538664889</v>
      </c>
      <c r="C30" s="37">
        <f t="shared" ca="1" si="0"/>
        <v>0.51898373057303349</v>
      </c>
      <c r="D30" s="37">
        <f t="shared" ca="1" si="1"/>
        <v>11.271041719640372</v>
      </c>
      <c r="E30" s="37">
        <f t="shared" ca="1" si="2"/>
        <v>20.91011957931179</v>
      </c>
      <c r="F30" s="37">
        <f t="shared" ca="1" si="3"/>
        <v>207.87762880770353</v>
      </c>
      <c r="G30" s="37">
        <f t="shared" ca="1" si="4"/>
        <v>211.36947724619571</v>
      </c>
      <c r="H30" s="37">
        <f t="shared" ca="1" si="5"/>
        <v>440.15722563321106</v>
      </c>
      <c r="I30" s="37">
        <f t="shared" ca="1" si="6"/>
        <v>232.27959682550753</v>
      </c>
    </row>
    <row r="31" spans="1:9" x14ac:dyDescent="0.3">
      <c r="A31" s="30">
        <v>16</v>
      </c>
      <c r="B31" s="37">
        <f t="shared" ca="1" si="0"/>
        <v>0.23848515891419231</v>
      </c>
      <c r="C31" s="37">
        <f t="shared" ca="1" si="0"/>
        <v>0.20146424169160149</v>
      </c>
      <c r="D31" s="37">
        <f t="shared" ca="1" si="1"/>
        <v>4.5407602926338688</v>
      </c>
      <c r="E31" s="37">
        <f t="shared" ca="1" si="2"/>
        <v>6.4278722993793567</v>
      </c>
      <c r="F31" s="37">
        <f t="shared" ca="1" si="3"/>
        <v>212.41838910033741</v>
      </c>
      <c r="G31" s="37">
        <f t="shared" ca="1" si="4"/>
        <v>227.73883653287365</v>
      </c>
      <c r="H31" s="37">
        <f t="shared" ca="1" si="5"/>
        <v>446.58509793259043</v>
      </c>
      <c r="I31" s="37">
        <f t="shared" ca="1" si="6"/>
        <v>234.16670883225302</v>
      </c>
    </row>
    <row r="32" spans="1:9" x14ac:dyDescent="0.3">
      <c r="A32" s="30">
        <v>17</v>
      </c>
      <c r="B32" s="37">
        <f t="shared" ca="1" si="0"/>
        <v>0.53853283929839968</v>
      </c>
      <c r="C32" s="37">
        <f t="shared" ca="1" si="0"/>
        <v>0.8757094905143239</v>
      </c>
      <c r="D32" s="37">
        <f t="shared" ca="1" si="1"/>
        <v>12.889073088567898</v>
      </c>
      <c r="E32" s="37">
        <f t="shared" ca="1" si="2"/>
        <v>59.575246716126614</v>
      </c>
      <c r="F32" s="37">
        <f t="shared" ca="1" si="3"/>
        <v>225.3074621889053</v>
      </c>
      <c r="G32" s="37">
        <f t="shared" ca="1" si="4"/>
        <v>221.27763574368512</v>
      </c>
      <c r="H32" s="37">
        <f t="shared" ca="1" si="5"/>
        <v>506.16034464871706</v>
      </c>
      <c r="I32" s="37">
        <f t="shared" ca="1" si="6"/>
        <v>280.85288245981178</v>
      </c>
    </row>
    <row r="33" spans="1:9" x14ac:dyDescent="0.3">
      <c r="A33" s="30">
        <v>18</v>
      </c>
      <c r="B33" s="37">
        <f t="shared" ca="1" si="0"/>
        <v>0.36053766289857259</v>
      </c>
      <c r="C33" s="37">
        <f t="shared" ca="1" si="0"/>
        <v>0.74575400408658343</v>
      </c>
      <c r="D33" s="37">
        <f t="shared" ca="1" si="1"/>
        <v>7.452125899796008</v>
      </c>
      <c r="E33" s="37">
        <f t="shared" ca="1" si="2"/>
        <v>39.127228365636441</v>
      </c>
      <c r="F33" s="37">
        <f t="shared" ca="1" si="3"/>
        <v>232.75958808870132</v>
      </c>
      <c r="G33" s="37">
        <f t="shared" ca="1" si="4"/>
        <v>273.40075656001574</v>
      </c>
      <c r="H33" s="37">
        <f t="shared" ca="1" si="5"/>
        <v>545.28757301435348</v>
      </c>
      <c r="I33" s="37">
        <f t="shared" ca="1" si="6"/>
        <v>312.52798492565216</v>
      </c>
    </row>
    <row r="34" spans="1:9" x14ac:dyDescent="0.3">
      <c r="A34" s="30">
        <v>19</v>
      </c>
      <c r="B34" s="37">
        <f t="shared" ca="1" si="0"/>
        <v>0.45126583736136938</v>
      </c>
      <c r="C34" s="37">
        <f t="shared" ca="1" si="0"/>
        <v>7.9544275375964535E-4</v>
      </c>
      <c r="D34" s="37">
        <f t="shared" ca="1" si="1"/>
        <v>10.00235293007405</v>
      </c>
      <c r="E34" s="37">
        <f t="shared" ca="1" si="2"/>
        <v>2.273597960610187E-2</v>
      </c>
      <c r="F34" s="37">
        <f t="shared" ca="1" si="3"/>
        <v>242.76194101877536</v>
      </c>
      <c r="G34" s="37">
        <f t="shared" ca="1" si="4"/>
        <v>302.52563199557812</v>
      </c>
      <c r="H34" s="37">
        <f t="shared" ca="1" si="5"/>
        <v>545.31030899395955</v>
      </c>
      <c r="I34" s="37">
        <f t="shared" ca="1" si="6"/>
        <v>302.54836797518419</v>
      </c>
    </row>
    <row r="35" spans="1:9" x14ac:dyDescent="0.3">
      <c r="A35" s="30">
        <v>20</v>
      </c>
      <c r="B35" s="37">
        <f t="shared" ca="1" si="0"/>
        <v>0.17571203620365505</v>
      </c>
      <c r="C35" s="37">
        <f t="shared" ca="1" si="0"/>
        <v>0.27344364808557875</v>
      </c>
      <c r="D35" s="37">
        <f t="shared" ca="1" si="1"/>
        <v>3.2205889916111565</v>
      </c>
      <c r="E35" s="37">
        <f t="shared" ca="1" si="2"/>
        <v>9.1268352195254216</v>
      </c>
      <c r="F35" s="37">
        <f t="shared" ca="1" si="3"/>
        <v>245.98253001038651</v>
      </c>
      <c r="G35" s="37">
        <f t="shared" ca="1" si="4"/>
        <v>299.32777898357301</v>
      </c>
      <c r="H35" s="37">
        <f t="shared" ca="1" si="5"/>
        <v>554.437144213485</v>
      </c>
      <c r="I35" s="37">
        <f t="shared" ca="1" si="6"/>
        <v>308.45461420309846</v>
      </c>
    </row>
    <row r="36" spans="1:9" x14ac:dyDescent="0.3">
      <c r="D36" s="37">
        <f ca="1">AVERAGE(D16:D35)</f>
        <v>12.299126500519325</v>
      </c>
      <c r="E36" s="37">
        <f ca="1">AVERAGE(E16:E35)</f>
        <v>27.659736238549538</v>
      </c>
      <c r="G36" s="37">
        <f ca="1">AVERAGE(G16:G35)</f>
        <v>176.25566090082549</v>
      </c>
      <c r="I36" s="53">
        <f ca="1">AVERAGE(I16:I35)</f>
        <v>203.91539713937499</v>
      </c>
    </row>
    <row r="37" spans="1:9" x14ac:dyDescent="0.3">
      <c r="D37" s="52">
        <f ca="1">1/D36</f>
        <v>8.130658709443922E-2</v>
      </c>
      <c r="E37" s="52">
        <f ca="1">1/E36</f>
        <v>3.6153634704813059E-2</v>
      </c>
      <c r="G37" s="52">
        <f ca="1">SUM(G16:G35)/H35</f>
        <v>6.3580033459287337</v>
      </c>
      <c r="I37" s="52">
        <f ca="1">SUM(I16:I35)/H35</f>
        <v>7.3557624797539809</v>
      </c>
    </row>
    <row r="49" spans="1:13" x14ac:dyDescent="0.3">
      <c r="A49" s="37" t="s">
        <v>49</v>
      </c>
      <c r="B49" s="37" t="s">
        <v>50</v>
      </c>
      <c r="C49" s="37" t="s">
        <v>51</v>
      </c>
      <c r="D49" s="37" t="s">
        <v>52</v>
      </c>
      <c r="E49" s="37" t="s">
        <v>53</v>
      </c>
      <c r="F49" s="37" t="s">
        <v>54</v>
      </c>
    </row>
    <row r="50" spans="1:13" x14ac:dyDescent="0.3">
      <c r="A50" s="37">
        <v>1248.0102755003227</v>
      </c>
      <c r="B50" s="37">
        <v>2.7999999999999997E-2</v>
      </c>
      <c r="C50" s="37">
        <v>7.1293057824694541</v>
      </c>
      <c r="D50" s="37">
        <v>-3.575550768806933</v>
      </c>
      <c r="E50" s="37">
        <f>$E$58*B50+$E$59</f>
        <v>1028.4483573125628</v>
      </c>
      <c r="F50" s="37">
        <f>$M$60*B50^$M$58</f>
        <v>1527.1172549020357</v>
      </c>
    </row>
    <row r="51" spans="1:13" x14ac:dyDescent="0.3">
      <c r="A51" s="37">
        <v>843.81742539900222</v>
      </c>
      <c r="B51" s="37">
        <v>3.2000000000000001E-2</v>
      </c>
      <c r="C51" s="37">
        <v>6.7379361505779816</v>
      </c>
      <c r="D51" s="37">
        <v>-3.4420193761824103</v>
      </c>
      <c r="E51" s="37">
        <f t="shared" ref="E51:E56" si="7">$E$58*B51+$E$59</f>
        <v>838.37182516090684</v>
      </c>
      <c r="F51" s="37">
        <f t="shared" ref="F51:F56" si="8">$M$60*B51^$M$58</f>
        <v>779.76539676978473</v>
      </c>
    </row>
    <row r="52" spans="1:13" x14ac:dyDescent="0.3">
      <c r="A52" s="37">
        <v>431.10715787506496</v>
      </c>
      <c r="B52" s="37">
        <v>3.6000000000000004E-2</v>
      </c>
      <c r="C52" s="37">
        <v>6.0663566853616295</v>
      </c>
      <c r="D52" s="37">
        <v>-3.3242363405260269</v>
      </c>
      <c r="E52" s="37">
        <f t="shared" si="7"/>
        <v>648.2952930092506</v>
      </c>
      <c r="F52" s="37">
        <f t="shared" si="8"/>
        <v>431.00517005071748</v>
      </c>
    </row>
    <row r="53" spans="1:13" x14ac:dyDescent="0.3">
      <c r="A53" s="37">
        <v>347.05336875709946</v>
      </c>
      <c r="B53" s="37">
        <v>0.04</v>
      </c>
      <c r="C53" s="37">
        <v>5.8494785685735184</v>
      </c>
      <c r="D53" s="37">
        <v>-3.2188758248682006</v>
      </c>
      <c r="E53" s="37">
        <f t="shared" si="7"/>
        <v>458.21876085759482</v>
      </c>
      <c r="F53" s="37">
        <f t="shared" si="8"/>
        <v>253.60478765000423</v>
      </c>
    </row>
    <row r="54" spans="1:13" x14ac:dyDescent="0.3">
      <c r="A54" s="37">
        <v>205.60414873451637</v>
      </c>
      <c r="B54" s="37">
        <v>4.4000000000000004E-2</v>
      </c>
      <c r="C54" s="37">
        <v>5.3259527120472505</v>
      </c>
      <c r="D54" s="37">
        <v>-3.1235656450638758</v>
      </c>
      <c r="E54" s="37">
        <f t="shared" si="7"/>
        <v>268.14222870593858</v>
      </c>
      <c r="F54" s="37">
        <f t="shared" si="8"/>
        <v>156.96510433030332</v>
      </c>
    </row>
    <row r="55" spans="1:13" x14ac:dyDescent="0.3">
      <c r="A55" s="37">
        <v>60.791063018320493</v>
      </c>
      <c r="B55" s="37">
        <v>4.8000000000000001E-2</v>
      </c>
      <c r="C55" s="37">
        <v>4.1074427883378029</v>
      </c>
      <c r="D55" s="37">
        <v>-3.0365542680742461</v>
      </c>
      <c r="E55" s="37">
        <f t="shared" si="7"/>
        <v>78.065696554283022</v>
      </c>
      <c r="F55" s="37">
        <f t="shared" si="8"/>
        <v>101.29558290832411</v>
      </c>
    </row>
    <row r="56" spans="1:13" x14ac:dyDescent="0.3">
      <c r="A56" s="37">
        <v>71.147886718837711</v>
      </c>
      <c r="B56" s="37">
        <v>5.2000000000000005E-2</v>
      </c>
      <c r="C56" s="37">
        <v>4.2647606223215675</v>
      </c>
      <c r="D56" s="37">
        <v>-2.9565115604007097</v>
      </c>
      <c r="E56" s="37">
        <f t="shared" si="7"/>
        <v>-112.01083559737299</v>
      </c>
      <c r="F56" s="37">
        <f t="shared" si="8"/>
        <v>67.703617345778824</v>
      </c>
    </row>
    <row r="58" spans="1:13" x14ac:dyDescent="0.3">
      <c r="D58" s="26" t="s">
        <v>55</v>
      </c>
      <c r="E58" s="54">
        <f>B77</f>
        <v>-47519.133037913984</v>
      </c>
      <c r="L58" s="26" t="s">
        <v>57</v>
      </c>
      <c r="M58" s="26">
        <f>M79</f>
        <v>-5.0336027786778255</v>
      </c>
    </row>
    <row r="59" spans="1:13" x14ac:dyDescent="0.3">
      <c r="D59" s="26" t="s">
        <v>56</v>
      </c>
      <c r="E59" s="54">
        <f>B76</f>
        <v>2358.9840823741542</v>
      </c>
      <c r="L59" s="26" t="s">
        <v>58</v>
      </c>
      <c r="M59" s="26">
        <f>M78</f>
        <v>-10.66676519514451</v>
      </c>
    </row>
    <row r="60" spans="1:13" x14ac:dyDescent="0.3">
      <c r="A60" t="s">
        <v>60</v>
      </c>
      <c r="L60" s="26" t="s">
        <v>59</v>
      </c>
      <c r="M60" s="26">
        <f>EXP(M59)</f>
        <v>2.3306804645818529E-5</v>
      </c>
    </row>
    <row r="61" spans="1:13" ht="15" thickBot="1" x14ac:dyDescent="0.35"/>
    <row r="62" spans="1:13" x14ac:dyDescent="0.3">
      <c r="A62" s="25" t="s">
        <v>61</v>
      </c>
      <c r="B62" s="25"/>
      <c r="L62" t="s">
        <v>60</v>
      </c>
    </row>
    <row r="63" spans="1:13" ht="15" thickBot="1" x14ac:dyDescent="0.35">
      <c r="A63" s="16" t="s">
        <v>62</v>
      </c>
      <c r="B63" s="16">
        <v>0.93500775654755175</v>
      </c>
    </row>
    <row r="64" spans="1:13" x14ac:dyDescent="0.3">
      <c r="A64" s="28" t="s">
        <v>63</v>
      </c>
      <c r="B64" s="28">
        <v>0.87423950480408574</v>
      </c>
      <c r="L64" s="25" t="s">
        <v>61</v>
      </c>
      <c r="M64" s="25"/>
    </row>
    <row r="65" spans="1:20" x14ac:dyDescent="0.3">
      <c r="A65" s="16" t="s">
        <v>64</v>
      </c>
      <c r="B65" s="16">
        <v>0.84908740576490283</v>
      </c>
      <c r="L65" s="16" t="s">
        <v>62</v>
      </c>
      <c r="M65" s="16">
        <v>0.96939746841314789</v>
      </c>
    </row>
    <row r="66" spans="1:20" x14ac:dyDescent="0.3">
      <c r="A66" s="16" t="s">
        <v>65</v>
      </c>
      <c r="B66" s="16">
        <v>170.60015410015583</v>
      </c>
      <c r="L66" s="28" t="s">
        <v>63</v>
      </c>
      <c r="M66" s="28">
        <v>0.93973145176582007</v>
      </c>
    </row>
    <row r="67" spans="1:20" ht="15" thickBot="1" x14ac:dyDescent="0.35">
      <c r="A67" s="17" t="s">
        <v>66</v>
      </c>
      <c r="B67" s="17">
        <v>7</v>
      </c>
      <c r="L67" s="16" t="s">
        <v>64</v>
      </c>
      <c r="M67" s="16">
        <v>0.92767774211898413</v>
      </c>
    </row>
    <row r="68" spans="1:20" x14ac:dyDescent="0.3">
      <c r="L68" s="16" t="s">
        <v>65</v>
      </c>
      <c r="M68" s="16">
        <v>0.31029435793190951</v>
      </c>
    </row>
    <row r="69" spans="1:20" ht="15" thickBot="1" x14ac:dyDescent="0.35">
      <c r="A69" t="s">
        <v>67</v>
      </c>
      <c r="L69" s="17" t="s">
        <v>66</v>
      </c>
      <c r="M69" s="17">
        <v>7</v>
      </c>
    </row>
    <row r="70" spans="1:20" x14ac:dyDescent="0.3">
      <c r="A70" s="18"/>
      <c r="B70" s="18" t="s">
        <v>72</v>
      </c>
      <c r="C70" s="18" t="s">
        <v>73</v>
      </c>
      <c r="D70" s="18" t="s">
        <v>74</v>
      </c>
      <c r="E70" s="18" t="s">
        <v>75</v>
      </c>
      <c r="F70" s="18" t="s">
        <v>76</v>
      </c>
    </row>
    <row r="71" spans="1:20" ht="15" thickBot="1" x14ac:dyDescent="0.35">
      <c r="A71" s="16" t="s">
        <v>68</v>
      </c>
      <c r="B71" s="16">
        <v>1</v>
      </c>
      <c r="C71" s="16">
        <v>1011614.4660943861</v>
      </c>
      <c r="D71" s="16">
        <v>1011614.4660943861</v>
      </c>
      <c r="E71" s="16">
        <v>34.758113167500021</v>
      </c>
      <c r="F71" s="16">
        <v>1.9967175055657146E-3</v>
      </c>
      <c r="L71" t="s">
        <v>67</v>
      </c>
    </row>
    <row r="72" spans="1:20" x14ac:dyDescent="0.3">
      <c r="A72" s="16" t="s">
        <v>69</v>
      </c>
      <c r="B72" s="16">
        <v>5</v>
      </c>
      <c r="C72" s="16">
        <v>145522.06289498459</v>
      </c>
      <c r="D72" s="16">
        <v>29104.412578996918</v>
      </c>
      <c r="E72" s="16"/>
      <c r="F72" s="16"/>
      <c r="L72" s="18"/>
      <c r="M72" s="18" t="s">
        <v>72</v>
      </c>
      <c r="N72" s="18" t="s">
        <v>73</v>
      </c>
      <c r="O72" s="18" t="s">
        <v>74</v>
      </c>
      <c r="P72" s="18" t="s">
        <v>75</v>
      </c>
      <c r="Q72" s="18" t="s">
        <v>76</v>
      </c>
    </row>
    <row r="73" spans="1:20" ht="15" thickBot="1" x14ac:dyDescent="0.35">
      <c r="A73" s="17" t="s">
        <v>70</v>
      </c>
      <c r="B73" s="17">
        <v>6</v>
      </c>
      <c r="C73" s="17">
        <v>1157136.5289893707</v>
      </c>
      <c r="D73" s="17"/>
      <c r="E73" s="17"/>
      <c r="F73" s="17"/>
      <c r="L73" s="16" t="s">
        <v>68</v>
      </c>
      <c r="M73" s="16">
        <v>1</v>
      </c>
      <c r="N73" s="16">
        <v>7.5063842901776274</v>
      </c>
      <c r="O73" s="16">
        <v>7.5063842901776274</v>
      </c>
      <c r="P73" s="16">
        <v>77.962011637844014</v>
      </c>
      <c r="Q73" s="16">
        <v>3.09520831576127E-4</v>
      </c>
    </row>
    <row r="74" spans="1:20" ht="15" thickBot="1" x14ac:dyDescent="0.35">
      <c r="L74" s="16" t="s">
        <v>69</v>
      </c>
      <c r="M74" s="16">
        <v>5</v>
      </c>
      <c r="N74" s="16">
        <v>0.48141294282187991</v>
      </c>
      <c r="O74" s="16">
        <v>9.6282588564375979E-2</v>
      </c>
      <c r="P74" s="16"/>
      <c r="Q74" s="16"/>
    </row>
    <row r="75" spans="1:20" ht="15" thickBot="1" x14ac:dyDescent="0.35">
      <c r="A75" s="18"/>
      <c r="B75" s="18" t="s">
        <v>77</v>
      </c>
      <c r="C75" s="18" t="s">
        <v>65</v>
      </c>
      <c r="D75" s="18" t="s">
        <v>78</v>
      </c>
      <c r="E75" s="18" t="s">
        <v>79</v>
      </c>
      <c r="F75" s="18" t="s">
        <v>80</v>
      </c>
      <c r="G75" s="18" t="s">
        <v>81</v>
      </c>
      <c r="H75" s="18" t="s">
        <v>82</v>
      </c>
      <c r="I75" s="18" t="s">
        <v>83</v>
      </c>
      <c r="L75" s="17" t="s">
        <v>70</v>
      </c>
      <c r="M75" s="17">
        <v>6</v>
      </c>
      <c r="N75" s="17">
        <v>7.9877972329995073</v>
      </c>
      <c r="O75" s="17"/>
      <c r="P75" s="17"/>
      <c r="Q75" s="17"/>
    </row>
    <row r="76" spans="1:20" ht="15" thickBot="1" x14ac:dyDescent="0.35">
      <c r="A76" s="28" t="s">
        <v>71</v>
      </c>
      <c r="B76" s="28">
        <v>2358.9840823741542</v>
      </c>
      <c r="C76" s="16">
        <v>328.78884388744956</v>
      </c>
      <c r="D76" s="16">
        <v>7.1747692363360045</v>
      </c>
      <c r="E76" s="16">
        <v>8.1821797224848679E-4</v>
      </c>
      <c r="F76" s="16">
        <v>1513.8054525172124</v>
      </c>
      <c r="G76" s="16">
        <v>3204.1627122310961</v>
      </c>
      <c r="H76" s="16">
        <v>1513.8054525172124</v>
      </c>
      <c r="I76" s="16">
        <v>3204.1627122310961</v>
      </c>
    </row>
    <row r="77" spans="1:20" ht="15" thickBot="1" x14ac:dyDescent="0.35">
      <c r="A77" s="28" t="s">
        <v>84</v>
      </c>
      <c r="B77" s="28">
        <v>-47519.133037913984</v>
      </c>
      <c r="C77" s="17">
        <v>8060.0996674697926</v>
      </c>
      <c r="D77" s="17">
        <v>-5.8956011710002931</v>
      </c>
      <c r="E77" s="17">
        <v>1.9967175055657128E-3</v>
      </c>
      <c r="F77" s="17">
        <v>-68238.278836530139</v>
      </c>
      <c r="G77" s="17">
        <v>-26799.987239297832</v>
      </c>
      <c r="H77" s="17">
        <v>-68238.278836530139</v>
      </c>
      <c r="I77" s="17">
        <v>-26799.987239297832</v>
      </c>
      <c r="L77" s="18"/>
      <c r="M77" s="18" t="s">
        <v>77</v>
      </c>
      <c r="N77" s="18" t="s">
        <v>65</v>
      </c>
      <c r="O77" s="18" t="s">
        <v>78</v>
      </c>
      <c r="P77" s="18" t="s">
        <v>79</v>
      </c>
      <c r="Q77" s="18" t="s">
        <v>80</v>
      </c>
      <c r="R77" s="18" t="s">
        <v>81</v>
      </c>
      <c r="S77" s="18" t="s">
        <v>82</v>
      </c>
      <c r="T77" s="18" t="s">
        <v>83</v>
      </c>
    </row>
    <row r="78" spans="1:20" x14ac:dyDescent="0.3">
      <c r="L78" s="28" t="s">
        <v>71</v>
      </c>
      <c r="M78" s="28">
        <v>-10.66676519514451</v>
      </c>
      <c r="N78" s="16">
        <v>1.8505673862725467</v>
      </c>
      <c r="O78" s="16">
        <v>-5.7640512170863127</v>
      </c>
      <c r="P78" s="16">
        <v>2.2075304350009264E-3</v>
      </c>
      <c r="Q78" s="16">
        <v>-15.423800103917692</v>
      </c>
      <c r="R78" s="16">
        <v>-5.909730286371329</v>
      </c>
      <c r="S78" s="16">
        <v>-15.423800103917692</v>
      </c>
      <c r="T78" s="16">
        <v>-5.909730286371329</v>
      </c>
    </row>
    <row r="79" spans="1:20" ht="15" thickBot="1" x14ac:dyDescent="0.35">
      <c r="A79" s="55" t="s">
        <v>138</v>
      </c>
      <c r="B79" s="36">
        <f>MIN(A82:A101)</f>
        <v>11.381947826438278</v>
      </c>
      <c r="L79" s="28" t="s">
        <v>84</v>
      </c>
      <c r="M79" s="28">
        <v>-5.0336027786778255</v>
      </c>
      <c r="N79" s="17">
        <v>0.57008212306644235</v>
      </c>
      <c r="O79" s="17">
        <v>-8.8296099369023118</v>
      </c>
      <c r="P79" s="17">
        <v>3.0952083157612673E-4</v>
      </c>
      <c r="Q79" s="17">
        <v>-6.4990455290534079</v>
      </c>
      <c r="R79" s="17">
        <v>-3.5681600283022425</v>
      </c>
      <c r="S79" s="17">
        <v>-6.4990455290534079</v>
      </c>
      <c r="T79" s="17">
        <v>-3.5681600283022425</v>
      </c>
    </row>
    <row r="80" spans="1:20" x14ac:dyDescent="0.3">
      <c r="A80" s="55" t="s">
        <v>139</v>
      </c>
      <c r="B80" s="36">
        <f>MAX(A82:A101)</f>
        <v>249.53496039462161</v>
      </c>
    </row>
    <row r="81" spans="1:6" x14ac:dyDescent="0.3">
      <c r="C81" s="30" t="s">
        <v>37</v>
      </c>
    </row>
    <row r="82" spans="1:6" x14ac:dyDescent="0.3">
      <c r="A82" s="37">
        <v>17.920915309977605</v>
      </c>
      <c r="C82" s="30">
        <v>0</v>
      </c>
      <c r="E82" s="39" t="s">
        <v>37</v>
      </c>
      <c r="F82" s="39" t="s">
        <v>39</v>
      </c>
    </row>
    <row r="83" spans="1:6" x14ac:dyDescent="0.3">
      <c r="A83" s="37">
        <v>32.119939960213003</v>
      </c>
      <c r="C83" s="30">
        <v>20</v>
      </c>
      <c r="E83" s="40">
        <v>0</v>
      </c>
      <c r="F83" s="41">
        <v>0</v>
      </c>
    </row>
    <row r="84" spans="1:6" x14ac:dyDescent="0.3">
      <c r="A84" s="37">
        <v>49.353172492024612</v>
      </c>
      <c r="C84" s="30">
        <v>40</v>
      </c>
      <c r="E84" s="40">
        <v>20</v>
      </c>
      <c r="F84" s="41">
        <v>2</v>
      </c>
    </row>
    <row r="85" spans="1:6" x14ac:dyDescent="0.3">
      <c r="A85" s="37">
        <v>27.183664003760221</v>
      </c>
      <c r="C85" s="30">
        <v>60</v>
      </c>
      <c r="E85" s="40">
        <v>40</v>
      </c>
      <c r="F85" s="41">
        <v>4</v>
      </c>
    </row>
    <row r="86" spans="1:6" x14ac:dyDescent="0.3">
      <c r="A86" s="37">
        <v>46.465941720420581</v>
      </c>
      <c r="C86" s="30">
        <v>80</v>
      </c>
      <c r="E86" s="40">
        <v>60</v>
      </c>
      <c r="F86" s="41">
        <v>3</v>
      </c>
    </row>
    <row r="87" spans="1:6" x14ac:dyDescent="0.3">
      <c r="A87" s="37">
        <v>20.696702344468875</v>
      </c>
      <c r="C87" s="30">
        <v>100</v>
      </c>
      <c r="E87" s="40">
        <v>80</v>
      </c>
      <c r="F87" s="41">
        <v>1</v>
      </c>
    </row>
    <row r="88" spans="1:6" x14ac:dyDescent="0.3">
      <c r="A88" s="37">
        <v>32.85826399342676</v>
      </c>
      <c r="C88" s="30">
        <v>120</v>
      </c>
      <c r="E88" s="40">
        <v>100</v>
      </c>
      <c r="F88" s="41">
        <v>0</v>
      </c>
    </row>
    <row r="89" spans="1:6" x14ac:dyDescent="0.3">
      <c r="A89" s="37">
        <v>11.381947826438278</v>
      </c>
      <c r="C89" s="30">
        <v>140</v>
      </c>
      <c r="E89" s="40">
        <v>120</v>
      </c>
      <c r="F89" s="41">
        <v>0</v>
      </c>
    </row>
    <row r="90" spans="1:6" x14ac:dyDescent="0.3">
      <c r="A90" s="37">
        <v>56.108878999500547</v>
      </c>
      <c r="C90" s="30">
        <v>160</v>
      </c>
      <c r="E90" s="40">
        <v>140</v>
      </c>
      <c r="F90" s="41">
        <v>0</v>
      </c>
    </row>
    <row r="91" spans="1:6" x14ac:dyDescent="0.3">
      <c r="A91" s="37">
        <v>78.540772189356659</v>
      </c>
      <c r="C91" s="30">
        <v>180</v>
      </c>
      <c r="E91" s="40">
        <v>160</v>
      </c>
      <c r="F91" s="41">
        <v>1</v>
      </c>
    </row>
    <row r="92" spans="1:6" x14ac:dyDescent="0.3">
      <c r="A92" s="37">
        <v>159.98446226386494</v>
      </c>
      <c r="C92" s="30">
        <v>200</v>
      </c>
      <c r="E92" s="40">
        <v>180</v>
      </c>
      <c r="F92" s="41">
        <v>1</v>
      </c>
    </row>
    <row r="93" spans="1:6" x14ac:dyDescent="0.3">
      <c r="A93" s="37">
        <v>183.73981373943971</v>
      </c>
      <c r="C93" s="30">
        <v>220</v>
      </c>
      <c r="E93" s="40">
        <v>200</v>
      </c>
      <c r="F93" s="41">
        <v>3</v>
      </c>
    </row>
    <row r="94" spans="1:6" x14ac:dyDescent="0.3">
      <c r="A94" s="37">
        <v>175.98532024135471</v>
      </c>
      <c r="C94" s="30">
        <v>240</v>
      </c>
      <c r="E94" s="40">
        <v>220</v>
      </c>
      <c r="F94" s="41">
        <v>2</v>
      </c>
    </row>
    <row r="95" spans="1:6" x14ac:dyDescent="0.3">
      <c r="A95" s="37">
        <v>196.9948159053894</v>
      </c>
      <c r="C95" s="30">
        <v>260</v>
      </c>
      <c r="E95" s="40">
        <v>240</v>
      </c>
      <c r="F95" s="41">
        <v>2</v>
      </c>
    </row>
    <row r="96" spans="1:6" x14ac:dyDescent="0.3">
      <c r="A96" s="37">
        <v>197.3591788994311</v>
      </c>
      <c r="C96" s="30"/>
      <c r="E96" s="40">
        <v>260</v>
      </c>
      <c r="F96" s="41">
        <v>1</v>
      </c>
    </row>
    <row r="97" spans="1:6" x14ac:dyDescent="0.3">
      <c r="A97" s="37">
        <v>202.60322639348982</v>
      </c>
      <c r="C97" s="30"/>
      <c r="E97" s="41" t="s">
        <v>38</v>
      </c>
      <c r="F97" s="41">
        <v>0</v>
      </c>
    </row>
    <row r="98" spans="1:6" x14ac:dyDescent="0.3">
      <c r="A98" s="37">
        <v>249.53496039462161</v>
      </c>
      <c r="C98" s="30"/>
    </row>
    <row r="99" spans="1:6" x14ac:dyDescent="0.3">
      <c r="A99" s="37">
        <v>238.5738054725644</v>
      </c>
      <c r="C99" s="30"/>
    </row>
    <row r="100" spans="1:6" x14ac:dyDescent="0.3">
      <c r="A100" s="37">
        <v>225.97101920918533</v>
      </c>
      <c r="C100" s="30"/>
    </row>
    <row r="101" spans="1:6" x14ac:dyDescent="0.3">
      <c r="A101" s="37">
        <v>216.31812007249113</v>
      </c>
      <c r="C101" s="30"/>
    </row>
    <row r="102" spans="1:6" x14ac:dyDescent="0.3">
      <c r="C102" s="30"/>
    </row>
    <row r="103" spans="1:6" x14ac:dyDescent="0.3">
      <c r="C103" s="30"/>
    </row>
    <row r="104" spans="1:6" x14ac:dyDescent="0.3">
      <c r="C104" s="30"/>
    </row>
    <row r="105" spans="1:6" x14ac:dyDescent="0.3">
      <c r="C105" s="30"/>
    </row>
    <row r="106" spans="1:6" x14ac:dyDescent="0.3">
      <c r="C106" s="30"/>
    </row>
    <row r="107" spans="1:6" x14ac:dyDescent="0.3">
      <c r="C107" s="30"/>
    </row>
  </sheetData>
  <sortState ref="E83:E96">
    <sortCondition ref="E83"/>
  </sortState>
  <mergeCells count="10">
    <mergeCell ref="D8:N8"/>
    <mergeCell ref="D9:N9"/>
    <mergeCell ref="D10:N10"/>
    <mergeCell ref="D7:N7"/>
    <mergeCell ref="D6:N6"/>
    <mergeCell ref="D5:N5"/>
    <mergeCell ref="D4:N4"/>
    <mergeCell ref="D3:N3"/>
    <mergeCell ref="D2:N2"/>
    <mergeCell ref="C1:N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1" r:id="rId4" name="CommandButton1">
          <controlPr defaultSize="0" autoLine="0" r:id="rId5">
            <anchor moveWithCells="1">
              <from>
                <xdr:col>10</xdr:col>
                <xdr:colOff>0</xdr:colOff>
                <xdr:row>12</xdr:row>
                <xdr:rowOff>53340</xdr:rowOff>
              </from>
              <to>
                <xdr:col>11</xdr:col>
                <xdr:colOff>601980</xdr:colOff>
                <xdr:row>14</xdr:row>
                <xdr:rowOff>0</xdr:rowOff>
              </to>
            </anchor>
          </controlPr>
        </control>
      </mc:Choice>
      <mc:Fallback>
        <control shapeId="10241" r:id="rId4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0"/>
  <dimension ref="A1:T87"/>
  <sheetViews>
    <sheetView workbookViewId="0"/>
  </sheetViews>
  <sheetFormatPr defaultRowHeight="14.4" x14ac:dyDescent="0.3"/>
  <cols>
    <col min="13" max="13" width="12" bestFit="1" customWidth="1"/>
  </cols>
  <sheetData>
    <row r="1" spans="1:20" ht="21" x14ac:dyDescent="0.35">
      <c r="C1" s="89" t="s">
        <v>118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P1" s="47" t="s">
        <v>131</v>
      </c>
    </row>
    <row r="2" spans="1:20" ht="18" x14ac:dyDescent="0.35">
      <c r="C2" s="44" t="s">
        <v>114</v>
      </c>
      <c r="D2" s="87" t="s">
        <v>136</v>
      </c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20" ht="18" x14ac:dyDescent="0.35">
      <c r="C3" s="44" t="s">
        <v>115</v>
      </c>
      <c r="D3" s="87" t="s">
        <v>137</v>
      </c>
      <c r="E3" s="87"/>
      <c r="F3" s="87"/>
      <c r="G3" s="87"/>
      <c r="H3" s="87"/>
      <c r="I3" s="87"/>
      <c r="J3" s="87"/>
      <c r="K3" s="87"/>
      <c r="L3" s="87"/>
      <c r="M3" s="87"/>
      <c r="N3" s="87"/>
      <c r="T3" s="43" t="s">
        <v>135</v>
      </c>
    </row>
    <row r="4" spans="1:20" ht="18" x14ac:dyDescent="0.35">
      <c r="C4" s="45" t="s">
        <v>116</v>
      </c>
      <c r="D4" s="88" t="s">
        <v>117</v>
      </c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20" ht="20.399999999999999" x14ac:dyDescent="0.35">
      <c r="C5" s="45" t="s">
        <v>119</v>
      </c>
      <c r="D5" s="87" t="s">
        <v>125</v>
      </c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1:20" ht="20.399999999999999" x14ac:dyDescent="0.35">
      <c r="C6" s="45" t="s">
        <v>120</v>
      </c>
      <c r="D6" s="87" t="s">
        <v>126</v>
      </c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1:20" ht="20.399999999999999" x14ac:dyDescent="0.35">
      <c r="C7" s="45" t="s">
        <v>121</v>
      </c>
      <c r="D7" s="90" t="s">
        <v>127</v>
      </c>
      <c r="E7" s="91"/>
      <c r="F7" s="91"/>
      <c r="G7" s="91"/>
      <c r="H7" s="91"/>
      <c r="I7" s="91"/>
      <c r="J7" s="91"/>
      <c r="K7" s="91"/>
      <c r="L7" s="91"/>
      <c r="M7" s="91"/>
      <c r="N7" s="92"/>
    </row>
    <row r="8" spans="1:20" ht="20.399999999999999" x14ac:dyDescent="0.35">
      <c r="C8" s="45" t="s">
        <v>122</v>
      </c>
      <c r="D8" s="87" t="s">
        <v>128</v>
      </c>
      <c r="E8" s="87"/>
      <c r="F8" s="87"/>
      <c r="G8" s="87"/>
      <c r="H8" s="87"/>
      <c r="I8" s="87"/>
      <c r="J8" s="87"/>
      <c r="K8" s="87"/>
      <c r="L8" s="87"/>
      <c r="M8" s="87"/>
      <c r="N8" s="87"/>
    </row>
    <row r="9" spans="1:20" ht="20.399999999999999" x14ac:dyDescent="0.35">
      <c r="C9" s="45" t="s">
        <v>123</v>
      </c>
      <c r="D9" s="87" t="s">
        <v>129</v>
      </c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1:20" ht="20.399999999999999" x14ac:dyDescent="0.35">
      <c r="C10" s="45" t="s">
        <v>124</v>
      </c>
      <c r="D10" s="87" t="s">
        <v>130</v>
      </c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2" spans="1:20" ht="19.8" x14ac:dyDescent="0.3">
      <c r="A12" s="48" t="s">
        <v>132</v>
      </c>
      <c r="B12" s="50">
        <v>0.06</v>
      </c>
      <c r="C12" s="51" t="s">
        <v>134</v>
      </c>
    </row>
    <row r="13" spans="1:20" ht="19.8" x14ac:dyDescent="0.3">
      <c r="A13" s="49" t="s">
        <v>133</v>
      </c>
      <c r="B13" s="50">
        <v>8.5000000000000006E-2</v>
      </c>
      <c r="C13" s="51" t="s">
        <v>134</v>
      </c>
    </row>
    <row r="15" spans="1:20" ht="20.399999999999999" x14ac:dyDescent="0.3">
      <c r="A15" s="56" t="s">
        <v>19</v>
      </c>
      <c r="B15" s="56" t="s">
        <v>104</v>
      </c>
      <c r="C15" s="56" t="s">
        <v>105</v>
      </c>
      <c r="D15" s="56" t="s">
        <v>119</v>
      </c>
      <c r="E15" s="56" t="s">
        <v>120</v>
      </c>
      <c r="F15" s="56" t="s">
        <v>123</v>
      </c>
      <c r="G15" s="56" t="s">
        <v>121</v>
      </c>
      <c r="H15" s="56" t="s">
        <v>124</v>
      </c>
      <c r="I15" s="56" t="s">
        <v>122</v>
      </c>
    </row>
    <row r="16" spans="1:20" x14ac:dyDescent="0.3">
      <c r="A16" s="30">
        <v>1</v>
      </c>
      <c r="B16" s="37">
        <f ca="1">RAND()</f>
        <v>0.48326432877456649</v>
      </c>
      <c r="C16" s="37">
        <f ca="1">RAND()</f>
        <v>0.20073129381821775</v>
      </c>
      <c r="D16" s="37">
        <f ca="1">(1/$B$12)*LN(1/(1-B16))</f>
        <v>11.003730157406803</v>
      </c>
      <c r="E16" s="37">
        <f ca="1">(1/$B$13)*LN(1/(1-C16))</f>
        <v>2.6359774899643078</v>
      </c>
      <c r="F16" s="37">
        <f ca="1">D16</f>
        <v>11.003730157406803</v>
      </c>
      <c r="G16" s="37">
        <v>0</v>
      </c>
      <c r="H16" s="37">
        <f ca="1">F16+G16+E16</f>
        <v>13.639707647371111</v>
      </c>
      <c r="I16" s="37">
        <f ca="1">H16-F16</f>
        <v>2.6359774899643078</v>
      </c>
    </row>
    <row r="17" spans="1:9" x14ac:dyDescent="0.3">
      <c r="A17" s="30">
        <v>2</v>
      </c>
      <c r="B17" s="37">
        <f t="shared" ref="B17:C35" ca="1" si="0">RAND()</f>
        <v>0.10136816494576861</v>
      </c>
      <c r="C17" s="37">
        <f t="shared" ca="1" si="0"/>
        <v>0.45247962611591985</v>
      </c>
      <c r="D17" s="37">
        <f t="shared" ref="D17:D35" ca="1" si="1">(1/$B$12)*LN(1/(1-B17))</f>
        <v>1.7813642596976222</v>
      </c>
      <c r="E17" s="37">
        <f t="shared" ref="E17:E35" ca="1" si="2">(1/$B$13)*LN(1/(1-C17))</f>
        <v>7.0865365342375215</v>
      </c>
      <c r="F17" s="37">
        <f ca="1">F16+D17</f>
        <v>12.785094417104425</v>
      </c>
      <c r="G17" s="37">
        <f ca="1">IF(F17&gt;H16,0,H16-F17)</f>
        <v>0.85461323026668623</v>
      </c>
      <c r="H17" s="37">
        <f ca="1">F17+G17+E17</f>
        <v>20.726244181608632</v>
      </c>
      <c r="I17" s="37">
        <f ca="1">H17-F17</f>
        <v>7.9411497645042068</v>
      </c>
    </row>
    <row r="18" spans="1:9" x14ac:dyDescent="0.3">
      <c r="A18" s="30">
        <v>3</v>
      </c>
      <c r="B18" s="37">
        <f t="shared" ca="1" si="0"/>
        <v>7.0317533112004393E-2</v>
      </c>
      <c r="C18" s="37">
        <f t="shared" ca="1" si="0"/>
        <v>6.3435112575456643E-2</v>
      </c>
      <c r="D18" s="37">
        <f t="shared" ca="1" si="1"/>
        <v>1.2152030765046065</v>
      </c>
      <c r="E18" s="37">
        <f t="shared" ca="1" si="2"/>
        <v>0.7710173216363384</v>
      </c>
      <c r="F18" s="37">
        <f t="shared" ref="F18:F35" ca="1" si="3">F17+D18</f>
        <v>14.000297493609031</v>
      </c>
      <c r="G18" s="37">
        <f t="shared" ref="G18:G35" ca="1" si="4">IF(F18&gt;H17,0,H17-F18)</f>
        <v>6.7259466879996008</v>
      </c>
      <c r="H18" s="37">
        <f t="shared" ref="H18:H35" ca="1" si="5">F18+G18+E18</f>
        <v>21.497261503244971</v>
      </c>
      <c r="I18" s="37">
        <f t="shared" ref="I18:I35" ca="1" si="6">H18-F18</f>
        <v>7.4969640096359402</v>
      </c>
    </row>
    <row r="19" spans="1:9" x14ac:dyDescent="0.3">
      <c r="A19" s="30">
        <v>4</v>
      </c>
      <c r="B19" s="37">
        <f t="shared" ca="1" si="0"/>
        <v>0.98172399626763662</v>
      </c>
      <c r="C19" s="37">
        <f t="shared" ca="1" si="0"/>
        <v>0.65182810679101855</v>
      </c>
      <c r="D19" s="37">
        <f t="shared" ca="1" si="1"/>
        <v>66.702772517650288</v>
      </c>
      <c r="E19" s="37">
        <f t="shared" ca="1" si="2"/>
        <v>12.412458531247207</v>
      </c>
      <c r="F19" s="37">
        <f t="shared" ca="1" si="3"/>
        <v>80.703070011259314</v>
      </c>
      <c r="G19" s="37">
        <f t="shared" ca="1" si="4"/>
        <v>0</v>
      </c>
      <c r="H19" s="37">
        <f t="shared" ca="1" si="5"/>
        <v>93.115528542506524</v>
      </c>
      <c r="I19" s="37">
        <f t="shared" ca="1" si="6"/>
        <v>12.412458531247211</v>
      </c>
    </row>
    <row r="20" spans="1:9" x14ac:dyDescent="0.3">
      <c r="A20" s="30">
        <v>5</v>
      </c>
      <c r="B20" s="37">
        <f t="shared" ca="1" si="0"/>
        <v>0.12037849123304478</v>
      </c>
      <c r="C20" s="37">
        <f t="shared" ca="1" si="0"/>
        <v>0.85419088429711409</v>
      </c>
      <c r="D20" s="37">
        <f t="shared" ca="1" si="1"/>
        <v>2.1377261284152431</v>
      </c>
      <c r="E20" s="37">
        <f t="shared" ca="1" si="2"/>
        <v>22.652434581109745</v>
      </c>
      <c r="F20" s="37">
        <f t="shared" ca="1" si="3"/>
        <v>82.840796139674552</v>
      </c>
      <c r="G20" s="37">
        <f t="shared" ca="1" si="4"/>
        <v>10.274732402831972</v>
      </c>
      <c r="H20" s="37">
        <f t="shared" ca="1" si="5"/>
        <v>115.76796312361627</v>
      </c>
      <c r="I20" s="37">
        <f t="shared" ca="1" si="6"/>
        <v>32.927166983941717</v>
      </c>
    </row>
    <row r="21" spans="1:9" x14ac:dyDescent="0.3">
      <c r="A21" s="30">
        <v>6</v>
      </c>
      <c r="B21" s="37">
        <f t="shared" ca="1" si="0"/>
        <v>0.45739497982762789</v>
      </c>
      <c r="C21" s="37">
        <f t="shared" ca="1" si="0"/>
        <v>0.7556070292643644</v>
      </c>
      <c r="D21" s="37">
        <f t="shared" ca="1" si="1"/>
        <v>10.189560445526642</v>
      </c>
      <c r="E21" s="37">
        <f t="shared" ca="1" si="2"/>
        <v>16.57620956951919</v>
      </c>
      <c r="F21" s="37">
        <f t="shared" ca="1" si="3"/>
        <v>93.03035658520119</v>
      </c>
      <c r="G21" s="37">
        <f t="shared" ca="1" si="4"/>
        <v>22.737606538415079</v>
      </c>
      <c r="H21" s="37">
        <f t="shared" ca="1" si="5"/>
        <v>132.34417269313545</v>
      </c>
      <c r="I21" s="37">
        <f t="shared" ca="1" si="6"/>
        <v>39.313816107934258</v>
      </c>
    </row>
    <row r="22" spans="1:9" x14ac:dyDescent="0.3">
      <c r="A22" s="30">
        <v>7</v>
      </c>
      <c r="B22" s="37">
        <f t="shared" ca="1" si="0"/>
        <v>0.20876487755925921</v>
      </c>
      <c r="C22" s="37">
        <f t="shared" ca="1" si="0"/>
        <v>0.26210848439690015</v>
      </c>
      <c r="D22" s="37">
        <f t="shared" ca="1" si="1"/>
        <v>3.9026684717176927</v>
      </c>
      <c r="E22" s="37">
        <f t="shared" ca="1" si="2"/>
        <v>3.5759819178197891</v>
      </c>
      <c r="F22" s="37">
        <f t="shared" ca="1" si="3"/>
        <v>96.933025056918879</v>
      </c>
      <c r="G22" s="37">
        <f t="shared" ca="1" si="4"/>
        <v>35.411147636216569</v>
      </c>
      <c r="H22" s="37">
        <f t="shared" ca="1" si="5"/>
        <v>135.92015461095525</v>
      </c>
      <c r="I22" s="37">
        <f t="shared" ca="1" si="6"/>
        <v>38.987129554036372</v>
      </c>
    </row>
    <row r="23" spans="1:9" x14ac:dyDescent="0.3">
      <c r="A23" s="30">
        <v>8</v>
      </c>
      <c r="B23" s="37">
        <f t="shared" ca="1" si="0"/>
        <v>0.57079882922112668</v>
      </c>
      <c r="C23" s="37">
        <f t="shared" ca="1" si="0"/>
        <v>0.57038091141227987</v>
      </c>
      <c r="D23" s="37">
        <f t="shared" ca="1" si="1"/>
        <v>14.097159006879011</v>
      </c>
      <c r="E23" s="37">
        <f t="shared" ca="1" si="2"/>
        <v>9.9394859220795002</v>
      </c>
      <c r="F23" s="37">
        <f t="shared" ca="1" si="3"/>
        <v>111.03018406379789</v>
      </c>
      <c r="G23" s="37">
        <f t="shared" ca="1" si="4"/>
        <v>24.889970547157361</v>
      </c>
      <c r="H23" s="37">
        <f t="shared" ca="1" si="5"/>
        <v>145.85964053303476</v>
      </c>
      <c r="I23" s="37">
        <f t="shared" ca="1" si="6"/>
        <v>34.829456469236874</v>
      </c>
    </row>
    <row r="24" spans="1:9" x14ac:dyDescent="0.3">
      <c r="A24" s="30">
        <v>9</v>
      </c>
      <c r="B24" s="37">
        <f t="shared" ca="1" si="0"/>
        <v>0.90952463612218515</v>
      </c>
      <c r="C24" s="37">
        <f t="shared" ca="1" si="0"/>
        <v>0.83662700682107205</v>
      </c>
      <c r="D24" s="37">
        <f t="shared" ca="1" si="1"/>
        <v>40.044628128001207</v>
      </c>
      <c r="E24" s="37">
        <f t="shared" ca="1" si="2"/>
        <v>21.314345772226662</v>
      </c>
      <c r="F24" s="37">
        <f t="shared" ca="1" si="3"/>
        <v>151.07481219179908</v>
      </c>
      <c r="G24" s="37">
        <f t="shared" ca="1" si="4"/>
        <v>0</v>
      </c>
      <c r="H24" s="37">
        <f t="shared" ca="1" si="5"/>
        <v>172.38915796402574</v>
      </c>
      <c r="I24" s="37">
        <f t="shared" ca="1" si="6"/>
        <v>21.314345772226659</v>
      </c>
    </row>
    <row r="25" spans="1:9" x14ac:dyDescent="0.3">
      <c r="A25" s="30">
        <v>10</v>
      </c>
      <c r="B25" s="37">
        <f t="shared" ca="1" si="0"/>
        <v>0.91741414467401339</v>
      </c>
      <c r="C25" s="37">
        <f t="shared" ca="1" si="0"/>
        <v>0.54527447224090997</v>
      </c>
      <c r="D25" s="37">
        <f t="shared" ca="1" si="1"/>
        <v>41.565280935762708</v>
      </c>
      <c r="E25" s="37">
        <f t="shared" ca="1" si="2"/>
        <v>9.271309149945294</v>
      </c>
      <c r="F25" s="37">
        <f t="shared" ca="1" si="3"/>
        <v>192.64009312756178</v>
      </c>
      <c r="G25" s="37">
        <f t="shared" ca="1" si="4"/>
        <v>0</v>
      </c>
      <c r="H25" s="37">
        <f t="shared" ca="1" si="5"/>
        <v>201.91140227750708</v>
      </c>
      <c r="I25" s="37">
        <f t="shared" ca="1" si="6"/>
        <v>9.2713091499452958</v>
      </c>
    </row>
    <row r="26" spans="1:9" x14ac:dyDescent="0.3">
      <c r="A26" s="30">
        <v>11</v>
      </c>
      <c r="B26" s="37">
        <f t="shared" ca="1" si="0"/>
        <v>0.1276758145268142</v>
      </c>
      <c r="C26" s="37">
        <f t="shared" ca="1" si="0"/>
        <v>8.731734431455318E-2</v>
      </c>
      <c r="D26" s="37">
        <f t="shared" ca="1" si="1"/>
        <v>2.2765691971955389</v>
      </c>
      <c r="E26" s="37">
        <f t="shared" ca="1" si="2"/>
        <v>1.0749063875619587</v>
      </c>
      <c r="F26" s="37">
        <f t="shared" ca="1" si="3"/>
        <v>194.91666232475731</v>
      </c>
      <c r="G26" s="37">
        <f t="shared" ca="1" si="4"/>
        <v>6.994739952749768</v>
      </c>
      <c r="H26" s="37">
        <f t="shared" ca="1" si="5"/>
        <v>202.98630866506903</v>
      </c>
      <c r="I26" s="37">
        <f t="shared" ca="1" si="6"/>
        <v>8.0696463403117207</v>
      </c>
    </row>
    <row r="27" spans="1:9" x14ac:dyDescent="0.3">
      <c r="A27" s="30">
        <v>12</v>
      </c>
      <c r="B27" s="37">
        <f t="shared" ca="1" si="0"/>
        <v>0.87366804159692935</v>
      </c>
      <c r="C27" s="37">
        <f t="shared" ca="1" si="0"/>
        <v>0.94655608678660419</v>
      </c>
      <c r="D27" s="37">
        <f t="shared" ca="1" si="1"/>
        <v>34.480704099667463</v>
      </c>
      <c r="E27" s="37">
        <f t="shared" ca="1" si="2"/>
        <v>34.460265013365728</v>
      </c>
      <c r="F27" s="37">
        <f t="shared" ca="1" si="3"/>
        <v>229.39736642442477</v>
      </c>
      <c r="G27" s="37">
        <f t="shared" ca="1" si="4"/>
        <v>0</v>
      </c>
      <c r="H27" s="37">
        <f t="shared" ca="1" si="5"/>
        <v>263.85763143779047</v>
      </c>
      <c r="I27" s="37">
        <f t="shared" ca="1" si="6"/>
        <v>34.460265013365699</v>
      </c>
    </row>
    <row r="28" spans="1:9" x14ac:dyDescent="0.3">
      <c r="A28" s="30">
        <v>13</v>
      </c>
      <c r="B28" s="37">
        <f t="shared" ca="1" si="0"/>
        <v>0.89063772102129812</v>
      </c>
      <c r="C28" s="37">
        <f t="shared" ca="1" si="0"/>
        <v>0.11311996672321389</v>
      </c>
      <c r="D28" s="37">
        <f t="shared" ca="1" si="1"/>
        <v>36.884820792482024</v>
      </c>
      <c r="E28" s="37">
        <f t="shared" ca="1" si="2"/>
        <v>1.4123006563465983</v>
      </c>
      <c r="F28" s="37">
        <f t="shared" ca="1" si="3"/>
        <v>266.28218721690678</v>
      </c>
      <c r="G28" s="37">
        <f t="shared" ca="1" si="4"/>
        <v>0</v>
      </c>
      <c r="H28" s="37">
        <f t="shared" ca="1" si="5"/>
        <v>267.69448787325337</v>
      </c>
      <c r="I28" s="37">
        <f t="shared" ca="1" si="6"/>
        <v>1.4123006563465879</v>
      </c>
    </row>
    <row r="29" spans="1:9" x14ac:dyDescent="0.3">
      <c r="A29" s="30">
        <v>14</v>
      </c>
      <c r="B29" s="37">
        <f t="shared" ca="1" si="0"/>
        <v>0.44463204638700282</v>
      </c>
      <c r="C29" s="37">
        <f t="shared" ca="1" si="0"/>
        <v>0.88710736217901887</v>
      </c>
      <c r="D29" s="37">
        <f t="shared" ca="1" si="1"/>
        <v>9.8020734237772462</v>
      </c>
      <c r="E29" s="37">
        <f t="shared" ca="1" si="2"/>
        <v>25.662564937496626</v>
      </c>
      <c r="F29" s="37">
        <f t="shared" ca="1" si="3"/>
        <v>276.08426064068402</v>
      </c>
      <c r="G29" s="37">
        <f t="shared" ca="1" si="4"/>
        <v>0</v>
      </c>
      <c r="H29" s="37">
        <f t="shared" ca="1" si="5"/>
        <v>301.74682557818062</v>
      </c>
      <c r="I29" s="37">
        <f t="shared" ca="1" si="6"/>
        <v>25.662564937496597</v>
      </c>
    </row>
    <row r="30" spans="1:9" x14ac:dyDescent="0.3">
      <c r="A30" s="30">
        <v>15</v>
      </c>
      <c r="B30" s="37">
        <f t="shared" ca="1" si="0"/>
        <v>0.72570717226921388</v>
      </c>
      <c r="C30" s="37">
        <f t="shared" ca="1" si="0"/>
        <v>0.72467105772926732</v>
      </c>
      <c r="D30" s="37">
        <f t="shared" ca="1" si="1"/>
        <v>21.559317148612621</v>
      </c>
      <c r="E30" s="37">
        <f t="shared" ca="1" si="2"/>
        <v>15.173985205008163</v>
      </c>
      <c r="F30" s="37">
        <f t="shared" ca="1" si="3"/>
        <v>297.64357778929661</v>
      </c>
      <c r="G30" s="37">
        <f t="shared" ca="1" si="4"/>
        <v>4.1032477888840049</v>
      </c>
      <c r="H30" s="37">
        <f t="shared" ca="1" si="5"/>
        <v>316.92081078318876</v>
      </c>
      <c r="I30" s="37">
        <f t="shared" ca="1" si="6"/>
        <v>19.277232993892142</v>
      </c>
    </row>
    <row r="31" spans="1:9" x14ac:dyDescent="0.3">
      <c r="A31" s="30">
        <v>16</v>
      </c>
      <c r="B31" s="37">
        <f t="shared" ca="1" si="0"/>
        <v>0.3728389761739751</v>
      </c>
      <c r="C31" s="37">
        <f t="shared" ca="1" si="0"/>
        <v>0.23581589914718759</v>
      </c>
      <c r="D31" s="37">
        <f t="shared" ca="1" si="1"/>
        <v>7.7758659168571711</v>
      </c>
      <c r="E31" s="37">
        <f t="shared" ca="1" si="2"/>
        <v>3.1640770487237408</v>
      </c>
      <c r="F31" s="37">
        <f t="shared" ca="1" si="3"/>
        <v>305.4194437061538</v>
      </c>
      <c r="G31" s="37">
        <f t="shared" ca="1" si="4"/>
        <v>11.501367077034956</v>
      </c>
      <c r="H31" s="37">
        <f t="shared" ca="1" si="5"/>
        <v>320.08488783191251</v>
      </c>
      <c r="I31" s="37">
        <f t="shared" ca="1" si="6"/>
        <v>14.665444125758711</v>
      </c>
    </row>
    <row r="32" spans="1:9" x14ac:dyDescent="0.3">
      <c r="A32" s="30">
        <v>17</v>
      </c>
      <c r="B32" s="37">
        <f t="shared" ca="1" si="0"/>
        <v>0.71793513639111584</v>
      </c>
      <c r="C32" s="37">
        <f t="shared" ca="1" si="0"/>
        <v>4.5565654223165386E-2</v>
      </c>
      <c r="D32" s="37">
        <f t="shared" ca="1" si="1"/>
        <v>21.093637028257497</v>
      </c>
      <c r="E32" s="37">
        <f t="shared" ca="1" si="2"/>
        <v>0.54866378908497737</v>
      </c>
      <c r="F32" s="37">
        <f t="shared" ca="1" si="3"/>
        <v>326.51308073441129</v>
      </c>
      <c r="G32" s="37">
        <f t="shared" ca="1" si="4"/>
        <v>0</v>
      </c>
      <c r="H32" s="37">
        <f t="shared" ca="1" si="5"/>
        <v>327.06174452349626</v>
      </c>
      <c r="I32" s="37">
        <f t="shared" ca="1" si="6"/>
        <v>0.54866378908496927</v>
      </c>
    </row>
    <row r="33" spans="1:9" x14ac:dyDescent="0.3">
      <c r="A33" s="30">
        <v>18</v>
      </c>
      <c r="B33" s="37">
        <f t="shared" ca="1" si="0"/>
        <v>0.24542432793803015</v>
      </c>
      <c r="C33" s="37">
        <f t="shared" ca="1" si="0"/>
        <v>0.31095141480949318</v>
      </c>
      <c r="D33" s="37">
        <f t="shared" ca="1" si="1"/>
        <v>4.6933285247774359</v>
      </c>
      <c r="E33" s="37">
        <f t="shared" ca="1" si="2"/>
        <v>4.3816881757483008</v>
      </c>
      <c r="F33" s="37">
        <f t="shared" ca="1" si="3"/>
        <v>331.20640925918872</v>
      </c>
      <c r="G33" s="37">
        <f t="shared" ca="1" si="4"/>
        <v>0</v>
      </c>
      <c r="H33" s="37">
        <f t="shared" ca="1" si="5"/>
        <v>335.58809743493703</v>
      </c>
      <c r="I33" s="37">
        <f t="shared" ca="1" si="6"/>
        <v>4.3816881757483088</v>
      </c>
    </row>
    <row r="34" spans="1:9" x14ac:dyDescent="0.3">
      <c r="A34" s="30">
        <v>19</v>
      </c>
      <c r="B34" s="37">
        <f t="shared" ca="1" si="0"/>
        <v>0.65982426920129245</v>
      </c>
      <c r="C34" s="37">
        <f t="shared" ca="1" si="0"/>
        <v>0.22975938831683007</v>
      </c>
      <c r="D34" s="37">
        <f t="shared" ca="1" si="1"/>
        <v>17.971548993421717</v>
      </c>
      <c r="E34" s="37">
        <f t="shared" ca="1" si="2"/>
        <v>3.0712038851946364</v>
      </c>
      <c r="F34" s="37">
        <f t="shared" ca="1" si="3"/>
        <v>349.17795825261044</v>
      </c>
      <c r="G34" s="37">
        <f t="shared" ca="1" si="4"/>
        <v>0</v>
      </c>
      <c r="H34" s="37">
        <f t="shared" ca="1" si="5"/>
        <v>352.24916213780506</v>
      </c>
      <c r="I34" s="37">
        <f t="shared" ca="1" si="6"/>
        <v>3.0712038851946204</v>
      </c>
    </row>
    <row r="35" spans="1:9" x14ac:dyDescent="0.3">
      <c r="A35" s="30">
        <v>20</v>
      </c>
      <c r="B35" s="37">
        <f t="shared" ca="1" si="0"/>
        <v>0.86387086820288439</v>
      </c>
      <c r="C35" s="37">
        <f t="shared" ca="1" si="0"/>
        <v>0.35369491772863915</v>
      </c>
      <c r="D35" s="37">
        <f t="shared" ca="1" si="1"/>
        <v>33.235855753774239</v>
      </c>
      <c r="E35" s="37">
        <f t="shared" ca="1" si="2"/>
        <v>5.1351014482696824</v>
      </c>
      <c r="F35" s="37">
        <f t="shared" ca="1" si="3"/>
        <v>382.41381400638465</v>
      </c>
      <c r="G35" s="37">
        <f t="shared" ca="1" si="4"/>
        <v>0</v>
      </c>
      <c r="H35" s="37">
        <f t="shared" ca="1" si="5"/>
        <v>387.54891545465432</v>
      </c>
      <c r="I35" s="37">
        <f t="shared" ca="1" si="6"/>
        <v>5.1351014482696655</v>
      </c>
    </row>
    <row r="36" spans="1:9" x14ac:dyDescent="0.3">
      <c r="C36" s="46" t="s">
        <v>140</v>
      </c>
      <c r="D36" s="37">
        <f ca="1">AVERAGE(D16:D35)</f>
        <v>19.120690700319233</v>
      </c>
      <c r="E36" s="37">
        <f ca="1">AVERAGE(E16:E35)</f>
        <v>10.016025666829298</v>
      </c>
      <c r="G36" s="37">
        <f ca="1">AVERAGE(G16:G35)</f>
        <v>6.1746685930777998</v>
      </c>
      <c r="I36" s="37">
        <f ca="1">AVERAGE(I16:I35)</f>
        <v>16.190694259907094</v>
      </c>
    </row>
    <row r="37" spans="1:9" x14ac:dyDescent="0.3">
      <c r="D37" s="37">
        <f ca="1">1/D36</f>
        <v>5.2299365942010886E-2</v>
      </c>
      <c r="E37" s="37">
        <f ca="1">1/E36</f>
        <v>9.9839999742788482E-2</v>
      </c>
      <c r="G37" s="37">
        <f ca="1">SUM(G16:G35)/H35</f>
        <v>0.31865234796665431</v>
      </c>
      <c r="I37" s="37">
        <f ca="1">SUM(I16:I35)/H35</f>
        <v>0.83554326250212441</v>
      </c>
    </row>
    <row r="39" spans="1:9" x14ac:dyDescent="0.3">
      <c r="A39" s="57" t="s">
        <v>138</v>
      </c>
      <c r="B39" s="37">
        <f>MIN(A40:A59)</f>
        <v>2.1356091759533342</v>
      </c>
      <c r="C39" s="57" t="s">
        <v>139</v>
      </c>
      <c r="D39" s="37">
        <f>MAX(A40:A59)</f>
        <v>60.237429202337694</v>
      </c>
    </row>
    <row r="40" spans="1:9" x14ac:dyDescent="0.3">
      <c r="A40" s="37">
        <v>6.4443275516363911</v>
      </c>
      <c r="C40" s="30" t="s">
        <v>112</v>
      </c>
      <c r="E40" s="39" t="s">
        <v>37</v>
      </c>
      <c r="F40" s="39" t="s">
        <v>39</v>
      </c>
    </row>
    <row r="41" spans="1:9" x14ac:dyDescent="0.3">
      <c r="A41" s="37">
        <v>12.56515748889467</v>
      </c>
      <c r="C41" s="30">
        <v>0</v>
      </c>
      <c r="E41" s="40">
        <v>0</v>
      </c>
      <c r="F41" s="41">
        <v>0</v>
      </c>
    </row>
    <row r="42" spans="1:9" x14ac:dyDescent="0.3">
      <c r="A42" s="37">
        <v>4.5855168557011723</v>
      </c>
      <c r="C42" s="30">
        <v>5</v>
      </c>
      <c r="E42" s="40">
        <v>5</v>
      </c>
      <c r="F42" s="41">
        <v>3</v>
      </c>
    </row>
    <row r="43" spans="1:9" x14ac:dyDescent="0.3">
      <c r="A43" s="37">
        <v>8.5326252078002796</v>
      </c>
      <c r="C43" s="30">
        <v>10</v>
      </c>
      <c r="E43" s="40">
        <v>10</v>
      </c>
      <c r="F43" s="41">
        <v>3</v>
      </c>
    </row>
    <row r="44" spans="1:9" x14ac:dyDescent="0.3">
      <c r="A44" s="37">
        <v>13.911150993482437</v>
      </c>
      <c r="C44" s="30">
        <v>15</v>
      </c>
      <c r="E44" s="40">
        <v>15</v>
      </c>
      <c r="F44" s="41">
        <v>5</v>
      </c>
    </row>
    <row r="45" spans="1:9" x14ac:dyDescent="0.3">
      <c r="A45" s="37">
        <v>22.17681337403215</v>
      </c>
      <c r="C45" s="30">
        <v>20</v>
      </c>
      <c r="E45" s="40">
        <v>20</v>
      </c>
      <c r="F45" s="41">
        <v>1</v>
      </c>
    </row>
    <row r="46" spans="1:9" x14ac:dyDescent="0.3">
      <c r="A46" s="37">
        <v>13.473053590585835</v>
      </c>
      <c r="C46" s="30">
        <v>25</v>
      </c>
      <c r="E46" s="40">
        <v>25</v>
      </c>
      <c r="F46" s="41">
        <v>1</v>
      </c>
    </row>
    <row r="47" spans="1:9" x14ac:dyDescent="0.3">
      <c r="A47" s="37">
        <v>13.770632354994262</v>
      </c>
      <c r="C47" s="30">
        <v>30</v>
      </c>
      <c r="E47" s="40">
        <v>30</v>
      </c>
      <c r="F47" s="41">
        <v>1</v>
      </c>
    </row>
    <row r="48" spans="1:9" x14ac:dyDescent="0.3">
      <c r="A48" s="37">
        <v>2.3681638853680624</v>
      </c>
      <c r="C48" s="30">
        <v>35</v>
      </c>
      <c r="E48" s="40">
        <v>35</v>
      </c>
      <c r="F48" s="41">
        <v>0</v>
      </c>
    </row>
    <row r="49" spans="1:13" x14ac:dyDescent="0.3">
      <c r="A49" s="37">
        <v>2.1356091759533342</v>
      </c>
      <c r="C49" s="30">
        <v>40</v>
      </c>
      <c r="E49" s="40">
        <v>40</v>
      </c>
      <c r="F49" s="41">
        <v>1</v>
      </c>
    </row>
    <row r="50" spans="1:13" x14ac:dyDescent="0.3">
      <c r="A50" s="37">
        <v>8.9878696888723084</v>
      </c>
      <c r="C50" s="30">
        <v>45</v>
      </c>
      <c r="E50" s="40">
        <v>45</v>
      </c>
      <c r="F50" s="41">
        <v>2</v>
      </c>
    </row>
    <row r="51" spans="1:13" x14ac:dyDescent="0.3">
      <c r="A51" s="37">
        <v>28.625073121692168</v>
      </c>
      <c r="C51" s="30">
        <v>50</v>
      </c>
      <c r="E51" s="40">
        <v>50</v>
      </c>
      <c r="F51" s="41">
        <v>1</v>
      </c>
    </row>
    <row r="52" spans="1:13" x14ac:dyDescent="0.3">
      <c r="A52" s="37">
        <v>45.882191793373153</v>
      </c>
      <c r="C52" s="30">
        <v>55</v>
      </c>
      <c r="E52" s="40">
        <v>55</v>
      </c>
      <c r="F52" s="41">
        <v>0</v>
      </c>
    </row>
    <row r="53" spans="1:13" x14ac:dyDescent="0.3">
      <c r="A53" s="37">
        <v>42.840775631197801</v>
      </c>
      <c r="C53" s="30">
        <v>60</v>
      </c>
      <c r="E53" s="40">
        <v>60</v>
      </c>
      <c r="F53" s="41">
        <v>1</v>
      </c>
    </row>
    <row r="54" spans="1:13" x14ac:dyDescent="0.3">
      <c r="A54" s="37">
        <v>55.330073402299263</v>
      </c>
      <c r="C54" s="30">
        <v>65</v>
      </c>
      <c r="E54" s="40">
        <v>65</v>
      </c>
      <c r="F54" s="41">
        <v>1</v>
      </c>
    </row>
    <row r="55" spans="1:13" x14ac:dyDescent="0.3">
      <c r="A55" s="37">
        <v>60.237429202337694</v>
      </c>
      <c r="E55" s="41" t="s">
        <v>38</v>
      </c>
      <c r="F55" s="41">
        <v>0</v>
      </c>
    </row>
    <row r="56" spans="1:13" x14ac:dyDescent="0.3">
      <c r="A56" s="37">
        <v>35.994673576391506</v>
      </c>
    </row>
    <row r="57" spans="1:13" x14ac:dyDescent="0.3">
      <c r="A57" s="37">
        <v>44.949435227943923</v>
      </c>
    </row>
    <row r="58" spans="1:13" x14ac:dyDescent="0.3">
      <c r="A58" s="37">
        <v>13.439563549626882</v>
      </c>
    </row>
    <row r="59" spans="1:13" x14ac:dyDescent="0.3">
      <c r="A59" s="37">
        <v>17.097474668947598</v>
      </c>
    </row>
    <row r="61" spans="1:13" x14ac:dyDescent="0.3">
      <c r="A61" s="30" t="s">
        <v>49</v>
      </c>
      <c r="B61" s="30" t="s">
        <v>50</v>
      </c>
      <c r="C61" s="30" t="s">
        <v>51</v>
      </c>
      <c r="D61" s="30" t="s">
        <v>52</v>
      </c>
      <c r="E61" s="30" t="s">
        <v>53</v>
      </c>
      <c r="F61" s="30" t="s">
        <v>54</v>
      </c>
      <c r="L61" s="24" t="s">
        <v>55</v>
      </c>
      <c r="M61" s="27">
        <f>B87</f>
        <v>-44240.268593736029</v>
      </c>
    </row>
    <row r="62" spans="1:13" x14ac:dyDescent="0.3">
      <c r="A62" s="37">
        <v>1125.5993362510121</v>
      </c>
      <c r="B62" s="37">
        <v>2.7999999999999997E-2</v>
      </c>
      <c r="C62" s="37">
        <f>LN(A62)</f>
        <v>7.0260709161154038</v>
      </c>
      <c r="D62" s="37">
        <f>LN(B62)</f>
        <v>-3.575550768806933</v>
      </c>
      <c r="E62" s="37">
        <f>$M$61*B62+$M$62</f>
        <v>971.61470694681157</v>
      </c>
      <c r="F62" s="37">
        <f>$M$66*B62^$M$64</f>
        <v>1446.7353216354402</v>
      </c>
      <c r="L62" s="24" t="s">
        <v>56</v>
      </c>
      <c r="M62" s="27">
        <f>B86</f>
        <v>2210.3422275714202</v>
      </c>
    </row>
    <row r="63" spans="1:13" x14ac:dyDescent="0.3">
      <c r="A63" s="37">
        <v>843.81742539900222</v>
      </c>
      <c r="B63" s="37">
        <v>3.2000000000000001E-2</v>
      </c>
      <c r="C63" s="37">
        <f t="shared" ref="C63:C68" si="7">LN(A63)</f>
        <v>6.7379361505779816</v>
      </c>
      <c r="D63" s="37">
        <f t="shared" ref="D63:D68" si="8">LN(B63)</f>
        <v>-3.4420193761824103</v>
      </c>
      <c r="E63" s="37">
        <f t="shared" ref="E63:E68" si="9">$M$61*B63+$M$62</f>
        <v>794.65363257186709</v>
      </c>
      <c r="F63" s="37">
        <f t="shared" ref="F63:F68" si="10">$M$66*B63^$M$64</f>
        <v>750.35916296631694</v>
      </c>
    </row>
    <row r="64" spans="1:13" x14ac:dyDescent="0.3">
      <c r="A64" s="37">
        <v>431.10715787506496</v>
      </c>
      <c r="B64" s="37">
        <v>3.6000000000000004E-2</v>
      </c>
      <c r="C64" s="37">
        <f t="shared" si="7"/>
        <v>6.0663566853616295</v>
      </c>
      <c r="D64" s="37">
        <f t="shared" si="8"/>
        <v>-3.3242363405260269</v>
      </c>
      <c r="E64" s="37">
        <f t="shared" si="9"/>
        <v>617.69255819692285</v>
      </c>
      <c r="F64" s="37">
        <f t="shared" si="10"/>
        <v>420.5093142227181</v>
      </c>
      <c r="L64" s="24" t="s">
        <v>57</v>
      </c>
      <c r="M64" s="27">
        <f>L87</f>
        <v>-4.9165428884644005</v>
      </c>
    </row>
    <row r="65" spans="1:16" x14ac:dyDescent="0.3">
      <c r="A65" s="37">
        <v>347.05336875709946</v>
      </c>
      <c r="B65" s="37">
        <v>0.04</v>
      </c>
      <c r="C65" s="37">
        <f t="shared" si="7"/>
        <v>5.8494785685735184</v>
      </c>
      <c r="D65" s="37">
        <f t="shared" si="8"/>
        <v>-3.2188758248682006</v>
      </c>
      <c r="E65" s="37">
        <f t="shared" si="9"/>
        <v>440.73148382197905</v>
      </c>
      <c r="F65" s="37">
        <f t="shared" si="10"/>
        <v>250.49955286081286</v>
      </c>
      <c r="L65" s="24" t="s">
        <v>58</v>
      </c>
      <c r="M65" s="27">
        <f>L86</f>
        <v>-10.302283910069182</v>
      </c>
    </row>
    <row r="66" spans="1:16" x14ac:dyDescent="0.3">
      <c r="A66" s="37">
        <v>205.60414873451637</v>
      </c>
      <c r="B66" s="37">
        <v>4.4000000000000004E-2</v>
      </c>
      <c r="C66" s="37">
        <f t="shared" si="7"/>
        <v>5.3259527120472505</v>
      </c>
      <c r="D66" s="37">
        <f t="shared" si="8"/>
        <v>-3.1235656450638758</v>
      </c>
      <c r="E66" s="37">
        <f t="shared" si="9"/>
        <v>263.77040944703458</v>
      </c>
      <c r="F66" s="37">
        <f t="shared" si="10"/>
        <v>156.78266529218072</v>
      </c>
      <c r="L66" s="24" t="s">
        <v>59</v>
      </c>
      <c r="M66" s="27">
        <f>EXP(M65)</f>
        <v>3.3556367873459473E-5</v>
      </c>
    </row>
    <row r="67" spans="1:16" x14ac:dyDescent="0.3">
      <c r="A67" s="37">
        <v>60.791063018320493</v>
      </c>
      <c r="B67" s="37">
        <v>4.8000000000000001E-2</v>
      </c>
      <c r="C67" s="37">
        <f t="shared" si="7"/>
        <v>4.1074427883378029</v>
      </c>
      <c r="D67" s="37">
        <f t="shared" si="8"/>
        <v>-3.0365542680742461</v>
      </c>
      <c r="E67" s="37">
        <f t="shared" si="9"/>
        <v>86.809335072090562</v>
      </c>
      <c r="F67" s="37">
        <f t="shared" si="10"/>
        <v>102.21366549278974</v>
      </c>
    </row>
    <row r="68" spans="1:16" x14ac:dyDescent="0.3">
      <c r="A68" s="37">
        <v>71.147886718837711</v>
      </c>
      <c r="B68" s="37">
        <v>5.2000000000000005E-2</v>
      </c>
      <c r="C68" s="37">
        <f t="shared" si="7"/>
        <v>4.2647606223215675</v>
      </c>
      <c r="D68" s="37">
        <f t="shared" si="8"/>
        <v>-2.9565115604007097</v>
      </c>
      <c r="E68" s="37">
        <f t="shared" si="9"/>
        <v>-90.151739302853457</v>
      </c>
      <c r="F68" s="37">
        <f t="shared" si="10"/>
        <v>68.960368973279259</v>
      </c>
    </row>
    <row r="70" spans="1:16" x14ac:dyDescent="0.3">
      <c r="A70" t="s">
        <v>60</v>
      </c>
      <c r="K70" t="s">
        <v>60</v>
      </c>
    </row>
    <row r="71" spans="1:16" ht="15" thickBot="1" x14ac:dyDescent="0.35"/>
    <row r="72" spans="1:16" x14ac:dyDescent="0.3">
      <c r="A72" s="25" t="s">
        <v>61</v>
      </c>
      <c r="B72" s="25"/>
      <c r="K72" s="25" t="s">
        <v>61</v>
      </c>
      <c r="L72" s="25"/>
    </row>
    <row r="73" spans="1:16" x14ac:dyDescent="0.3">
      <c r="A73" s="16" t="s">
        <v>62</v>
      </c>
      <c r="B73" s="16">
        <v>0.94753113677040668</v>
      </c>
      <c r="K73" s="16" t="s">
        <v>62</v>
      </c>
      <c r="L73" s="16">
        <v>0.96504603086835616</v>
      </c>
    </row>
    <row r="74" spans="1:16" x14ac:dyDescent="0.3">
      <c r="A74" s="28" t="s">
        <v>63</v>
      </c>
      <c r="B74" s="28">
        <v>0.89781525514941918</v>
      </c>
      <c r="K74" s="28" t="s">
        <v>63</v>
      </c>
      <c r="L74" s="28">
        <v>0.93131384169476816</v>
      </c>
    </row>
    <row r="75" spans="1:16" x14ac:dyDescent="0.3">
      <c r="A75" s="16" t="s">
        <v>64</v>
      </c>
      <c r="B75" s="16">
        <v>0.8773783061793029</v>
      </c>
      <c r="K75" s="16" t="s">
        <v>64</v>
      </c>
      <c r="L75" s="16">
        <v>0.91757661003372171</v>
      </c>
    </row>
    <row r="76" spans="1:16" x14ac:dyDescent="0.3">
      <c r="A76" s="16" t="s">
        <v>65</v>
      </c>
      <c r="B76" s="16">
        <v>141.27694727955904</v>
      </c>
      <c r="K76" s="16" t="s">
        <v>65</v>
      </c>
      <c r="L76" s="16">
        <v>0.32501085840012167</v>
      </c>
    </row>
    <row r="77" spans="1:16" ht="15" thickBot="1" x14ac:dyDescent="0.35">
      <c r="A77" s="17" t="s">
        <v>66</v>
      </c>
      <c r="B77" s="17">
        <v>7</v>
      </c>
      <c r="K77" s="17" t="s">
        <v>66</v>
      </c>
      <c r="L77" s="17">
        <v>7</v>
      </c>
    </row>
    <row r="79" spans="1:16" ht="15" thickBot="1" x14ac:dyDescent="0.35">
      <c r="A79" t="s">
        <v>67</v>
      </c>
      <c r="K79" t="s">
        <v>67</v>
      </c>
    </row>
    <row r="80" spans="1:16" x14ac:dyDescent="0.3">
      <c r="A80" s="18"/>
      <c r="B80" s="18" t="s">
        <v>72</v>
      </c>
      <c r="C80" s="18" t="s">
        <v>73</v>
      </c>
      <c r="D80" s="18" t="s">
        <v>74</v>
      </c>
      <c r="E80" s="18" t="s">
        <v>75</v>
      </c>
      <c r="F80" s="18" t="s">
        <v>76</v>
      </c>
      <c r="K80" s="18"/>
      <c r="L80" s="18" t="s">
        <v>72</v>
      </c>
      <c r="M80" s="18" t="s">
        <v>73</v>
      </c>
      <c r="N80" s="18" t="s">
        <v>74</v>
      </c>
      <c r="O80" s="18" t="s">
        <v>75</v>
      </c>
      <c r="P80" s="18" t="s">
        <v>76</v>
      </c>
    </row>
    <row r="81" spans="1:19" x14ac:dyDescent="0.3">
      <c r="A81" s="16" t="s">
        <v>68</v>
      </c>
      <c r="B81" s="16">
        <v>1</v>
      </c>
      <c r="C81" s="16">
        <v>876826.21163016616</v>
      </c>
      <c r="D81" s="16">
        <v>876826.21163016616</v>
      </c>
      <c r="E81" s="16">
        <v>43.930982871378937</v>
      </c>
      <c r="F81" s="16">
        <v>1.1773081232142207E-3</v>
      </c>
      <c r="K81" s="16" t="s">
        <v>68</v>
      </c>
      <c r="L81" s="16">
        <v>1</v>
      </c>
      <c r="M81" s="16">
        <v>7.1613116996265926</v>
      </c>
      <c r="N81" s="16">
        <v>7.1613116996265926</v>
      </c>
      <c r="O81" s="16">
        <v>67.794870514968864</v>
      </c>
      <c r="P81" s="16">
        <v>4.3054038980397722E-4</v>
      </c>
    </row>
    <row r="82" spans="1:19" x14ac:dyDescent="0.3">
      <c r="A82" s="16" t="s">
        <v>69</v>
      </c>
      <c r="B82" s="16">
        <v>5</v>
      </c>
      <c r="C82" s="16">
        <v>99795.879163156511</v>
      </c>
      <c r="D82" s="16">
        <v>19959.175832631303</v>
      </c>
      <c r="E82" s="16"/>
      <c r="F82" s="16"/>
      <c r="K82" s="16" t="s">
        <v>69</v>
      </c>
      <c r="L82" s="16">
        <v>5</v>
      </c>
      <c r="M82" s="16">
        <v>0.52816029038991974</v>
      </c>
      <c r="N82" s="16">
        <v>0.10563205807798395</v>
      </c>
      <c r="O82" s="16"/>
      <c r="P82" s="16"/>
    </row>
    <row r="83" spans="1:19" ht="15" thickBot="1" x14ac:dyDescent="0.35">
      <c r="A83" s="17" t="s">
        <v>70</v>
      </c>
      <c r="B83" s="17">
        <v>6</v>
      </c>
      <c r="C83" s="17">
        <v>976622.09079332266</v>
      </c>
      <c r="D83" s="17"/>
      <c r="E83" s="17"/>
      <c r="F83" s="17"/>
      <c r="K83" s="17" t="s">
        <v>70</v>
      </c>
      <c r="L83" s="17">
        <v>6</v>
      </c>
      <c r="M83" s="17">
        <v>7.6894719900165125</v>
      </c>
      <c r="N83" s="17"/>
      <c r="O83" s="17"/>
      <c r="P83" s="17"/>
    </row>
    <row r="84" spans="1:19" ht="15" thickBot="1" x14ac:dyDescent="0.35"/>
    <row r="85" spans="1:19" x14ac:dyDescent="0.3">
      <c r="A85" s="18"/>
      <c r="B85" s="18" t="s">
        <v>77</v>
      </c>
      <c r="C85" s="18" t="s">
        <v>65</v>
      </c>
      <c r="D85" s="18" t="s">
        <v>78</v>
      </c>
      <c r="E85" s="18" t="s">
        <v>79</v>
      </c>
      <c r="F85" s="18" t="s">
        <v>80</v>
      </c>
      <c r="G85" s="18" t="s">
        <v>81</v>
      </c>
      <c r="H85" s="18" t="s">
        <v>82</v>
      </c>
      <c r="I85" s="18" t="s">
        <v>83</v>
      </c>
      <c r="K85" s="18"/>
      <c r="L85" s="18" t="s">
        <v>77</v>
      </c>
      <c r="M85" s="18" t="s">
        <v>65</v>
      </c>
      <c r="N85" s="18" t="s">
        <v>78</v>
      </c>
      <c r="O85" s="18" t="s">
        <v>79</v>
      </c>
      <c r="P85" s="18" t="s">
        <v>80</v>
      </c>
      <c r="Q85" s="18" t="s">
        <v>81</v>
      </c>
      <c r="R85" s="18" t="s">
        <v>82</v>
      </c>
      <c r="S85" s="18" t="s">
        <v>83</v>
      </c>
    </row>
    <row r="86" spans="1:19" x14ac:dyDescent="0.3">
      <c r="A86" s="28" t="s">
        <v>71</v>
      </c>
      <c r="B86" s="28">
        <v>2210.3422275714202</v>
      </c>
      <c r="C86" s="16">
        <v>272.27574564044278</v>
      </c>
      <c r="D86" s="16">
        <v>8.1180283699978038</v>
      </c>
      <c r="E86" s="16">
        <v>4.6016665283112068E-4</v>
      </c>
      <c r="F86" s="16">
        <v>1510.4351415437643</v>
      </c>
      <c r="G86" s="16">
        <v>2910.2493135990762</v>
      </c>
      <c r="H86" s="16">
        <v>1510.4351415437643</v>
      </c>
      <c r="I86" s="16">
        <v>2910.2493135990762</v>
      </c>
      <c r="K86" s="28" t="s">
        <v>71</v>
      </c>
      <c r="L86" s="28">
        <v>-10.302283910069182</v>
      </c>
      <c r="M86" s="16">
        <v>1.9383352592949568</v>
      </c>
      <c r="N86" s="16">
        <v>-5.3150165125802324</v>
      </c>
      <c r="O86" s="16">
        <v>3.1530048154607736E-3</v>
      </c>
      <c r="P86" s="16">
        <v>-15.284933318986205</v>
      </c>
      <c r="Q86" s="16">
        <v>-5.3196345011521595</v>
      </c>
      <c r="R86" s="16">
        <v>-15.284933318986205</v>
      </c>
      <c r="S86" s="16">
        <v>-5.3196345011521595</v>
      </c>
    </row>
    <row r="87" spans="1:19" ht="15" thickBot="1" x14ac:dyDescent="0.35">
      <c r="A87" s="28" t="s">
        <v>84</v>
      </c>
      <c r="B87" s="28">
        <v>-44240.268593736029</v>
      </c>
      <c r="C87" s="17">
        <v>6674.7083658588626</v>
      </c>
      <c r="D87" s="17">
        <v>-6.6280451772282714</v>
      </c>
      <c r="E87" s="17">
        <v>1.1773081232142196E-3</v>
      </c>
      <c r="F87" s="17">
        <v>-61398.152677182574</v>
      </c>
      <c r="G87" s="17">
        <v>-27082.384510289485</v>
      </c>
      <c r="H87" s="17">
        <v>-61398.152677182574</v>
      </c>
      <c r="I87" s="17">
        <v>-27082.384510289485</v>
      </c>
      <c r="K87" s="28" t="s">
        <v>84</v>
      </c>
      <c r="L87" s="28">
        <v>-4.9165428884644005</v>
      </c>
      <c r="M87" s="17">
        <v>0.59711972016277015</v>
      </c>
      <c r="N87" s="17">
        <v>-8.233764055094662</v>
      </c>
      <c r="O87" s="17">
        <v>4.3054038980397684E-4</v>
      </c>
      <c r="P87" s="17">
        <v>-6.4514879948150572</v>
      </c>
      <c r="Q87" s="17">
        <v>-3.3815977821137437</v>
      </c>
      <c r="R87" s="17">
        <v>-6.4514879948150572</v>
      </c>
      <c r="S87" s="17">
        <v>-3.3815977821137437</v>
      </c>
    </row>
  </sheetData>
  <sortState ref="E41:E54">
    <sortCondition ref="E42"/>
  </sortState>
  <mergeCells count="10">
    <mergeCell ref="D7:N7"/>
    <mergeCell ref="D8:N8"/>
    <mergeCell ref="D9:N9"/>
    <mergeCell ref="D10:N10"/>
    <mergeCell ref="C1:N1"/>
    <mergeCell ref="D2:N2"/>
    <mergeCell ref="D3:N3"/>
    <mergeCell ref="D4:N4"/>
    <mergeCell ref="D5:N5"/>
    <mergeCell ref="D6:N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2289" r:id="rId3" name="CommandButton1">
          <controlPr defaultSize="0" autoLine="0" r:id="rId4">
            <anchor moveWithCells="1">
              <from>
                <xdr:col>9</xdr:col>
                <xdr:colOff>121920</xdr:colOff>
                <xdr:row>22</xdr:row>
                <xdr:rowOff>129540</xdr:rowOff>
              </from>
              <to>
                <xdr:col>9</xdr:col>
                <xdr:colOff>518160</xdr:colOff>
                <xdr:row>27</xdr:row>
                <xdr:rowOff>30480</xdr:rowOff>
              </to>
            </anchor>
          </controlPr>
        </control>
      </mc:Choice>
      <mc:Fallback>
        <control shapeId="12289" r:id="rId3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1"/>
  <dimension ref="A2:S58"/>
  <sheetViews>
    <sheetView topLeftCell="A4" workbookViewId="0"/>
  </sheetViews>
  <sheetFormatPr defaultRowHeight="14.4" x14ac:dyDescent="0.3"/>
  <cols>
    <col min="13" max="13" width="12" bestFit="1" customWidth="1"/>
  </cols>
  <sheetData>
    <row r="2" spans="1:9" ht="19.8" x14ac:dyDescent="0.3">
      <c r="B2" s="48" t="s">
        <v>132</v>
      </c>
      <c r="C2" s="50">
        <v>6.5000000000000002E-2</v>
      </c>
      <c r="D2" s="51" t="s">
        <v>134</v>
      </c>
    </row>
    <row r="3" spans="1:9" ht="19.8" x14ac:dyDescent="0.3">
      <c r="B3" s="49" t="s">
        <v>133</v>
      </c>
      <c r="C3" s="50">
        <v>8.5000000000000006E-2</v>
      </c>
      <c r="D3" s="51" t="s">
        <v>134</v>
      </c>
    </row>
    <row r="6" spans="1:9" ht="20.399999999999999" x14ac:dyDescent="0.3">
      <c r="A6" s="56" t="s">
        <v>19</v>
      </c>
      <c r="B6" s="56" t="s">
        <v>104</v>
      </c>
      <c r="C6" s="56" t="s">
        <v>105</v>
      </c>
      <c r="D6" s="56" t="s">
        <v>119</v>
      </c>
      <c r="E6" s="56" t="s">
        <v>120</v>
      </c>
      <c r="F6" s="56" t="s">
        <v>123</v>
      </c>
      <c r="G6" s="56" t="s">
        <v>121</v>
      </c>
      <c r="H6" s="56" t="s">
        <v>124</v>
      </c>
      <c r="I6" s="56" t="s">
        <v>122</v>
      </c>
    </row>
    <row r="7" spans="1:9" x14ac:dyDescent="0.3">
      <c r="A7" s="30">
        <v>1</v>
      </c>
      <c r="B7" s="37">
        <f ca="1">RAND()</f>
        <v>0.64390852195348103</v>
      </c>
      <c r="C7" s="37">
        <f ca="1">RAND()</f>
        <v>0.596911107632353</v>
      </c>
      <c r="D7" s="37">
        <f ca="1">(1/$C$2)*LN(1/(1-C7))</f>
        <v>13.978433304065183</v>
      </c>
      <c r="E7" s="37">
        <f ca="1">(1/$C$3)*LN(1/(1-C7))</f>
        <v>10.689390173696903</v>
      </c>
      <c r="F7" s="37">
        <f ca="1">D7</f>
        <v>13.978433304065183</v>
      </c>
      <c r="G7" s="37">
        <v>0</v>
      </c>
      <c r="H7" s="37">
        <f ca="1">F7+G7+E7</f>
        <v>24.667823477762084</v>
      </c>
      <c r="I7" s="37">
        <f ca="1">H7-F7</f>
        <v>10.689390173696902</v>
      </c>
    </row>
    <row r="8" spans="1:9" x14ac:dyDescent="0.3">
      <c r="A8" s="30">
        <v>2</v>
      </c>
      <c r="B8" s="37">
        <f ca="1">RAND()</f>
        <v>0.10184787337552437</v>
      </c>
      <c r="C8" s="37">
        <f ca="1">RAND()</f>
        <v>0.27056804708370708</v>
      </c>
      <c r="D8" s="37">
        <f t="shared" ref="D8:D26" ca="1" si="0">(1/$C$2)*LN(1/(1-C8))</f>
        <v>4.8536799145076364</v>
      </c>
      <c r="E8" s="37">
        <f t="shared" ref="E8:E26" ca="1" si="1">(1/$C$3)*LN(1/(1-C8))</f>
        <v>3.7116375816823104</v>
      </c>
      <c r="F8" s="37">
        <f ca="1">F7+D8</f>
        <v>18.832113218572818</v>
      </c>
      <c r="G8" s="37">
        <f ca="1">IF(F8&gt;H7,0,H7-F8)</f>
        <v>5.8357102591892662</v>
      </c>
      <c r="H8" s="37">
        <f ca="1">F8+G8+E8</f>
        <v>28.379461059444395</v>
      </c>
      <c r="I8" s="37">
        <f ca="1">H8-F8</f>
        <v>9.5473478408715771</v>
      </c>
    </row>
    <row r="9" spans="1:9" x14ac:dyDescent="0.3">
      <c r="A9" s="30">
        <v>3</v>
      </c>
      <c r="B9" s="37">
        <f t="shared" ref="B9:C26" ca="1" si="2">RAND()</f>
        <v>0.53053532750938182</v>
      </c>
      <c r="C9" s="37">
        <f t="shared" ca="1" si="2"/>
        <v>0.58845497739380692</v>
      </c>
      <c r="D9" s="37">
        <f t="shared" ca="1" si="0"/>
        <v>13.659028521527731</v>
      </c>
      <c r="E9" s="37">
        <f t="shared" ca="1" si="1"/>
        <v>10.445139457638852</v>
      </c>
      <c r="F9" s="37">
        <f t="shared" ref="F9:F26" ca="1" si="3">F8+D9</f>
        <v>32.491141740100545</v>
      </c>
      <c r="G9" s="37">
        <f t="shared" ref="G9:G26" ca="1" si="4">IF(F9&gt;H8,0,H8-F9)</f>
        <v>0</v>
      </c>
      <c r="H9" s="37">
        <f t="shared" ref="H9:H26" ca="1" si="5">F9+G9+E9</f>
        <v>42.936281197739397</v>
      </c>
      <c r="I9" s="37">
        <f t="shared" ref="I9:I26" ca="1" si="6">H9-F9</f>
        <v>10.445139457638852</v>
      </c>
    </row>
    <row r="10" spans="1:9" x14ac:dyDescent="0.3">
      <c r="A10" s="30">
        <v>4</v>
      </c>
      <c r="B10" s="37">
        <f t="shared" ca="1" si="2"/>
        <v>0.45163385855553195</v>
      </c>
      <c r="C10" s="37">
        <f t="shared" ca="1" si="2"/>
        <v>2.2542549965989256E-3</v>
      </c>
      <c r="D10" s="37">
        <f t="shared" ca="1" si="0"/>
        <v>3.4719994681814248E-2</v>
      </c>
      <c r="E10" s="37">
        <f t="shared" ca="1" si="1"/>
        <v>2.6550584168446186E-2</v>
      </c>
      <c r="F10" s="37">
        <f t="shared" ca="1" si="3"/>
        <v>32.52586173478236</v>
      </c>
      <c r="G10" s="37">
        <f t="shared" ca="1" si="4"/>
        <v>10.410419462957037</v>
      </c>
      <c r="H10" s="37">
        <f t="shared" ca="1" si="5"/>
        <v>42.962831781907845</v>
      </c>
      <c r="I10" s="37">
        <f t="shared" ca="1" si="6"/>
        <v>10.436970047125484</v>
      </c>
    </row>
    <row r="11" spans="1:9" x14ac:dyDescent="0.3">
      <c r="A11" s="30">
        <v>5</v>
      </c>
      <c r="B11" s="37">
        <f t="shared" ca="1" si="2"/>
        <v>0.43070345150219913</v>
      </c>
      <c r="C11" s="37">
        <f t="shared" ca="1" si="2"/>
        <v>9.3780084190842827E-2</v>
      </c>
      <c r="D11" s="37">
        <f t="shared" ca="1" si="0"/>
        <v>1.5149733801966103</v>
      </c>
      <c r="E11" s="37">
        <f t="shared" ca="1" si="1"/>
        <v>1.1585090554444668</v>
      </c>
      <c r="F11" s="37">
        <f t="shared" ca="1" si="3"/>
        <v>34.040835114978968</v>
      </c>
      <c r="G11" s="37">
        <f t="shared" ca="1" si="4"/>
        <v>8.9219966669288766</v>
      </c>
      <c r="H11" s="37">
        <f t="shared" ca="1" si="5"/>
        <v>44.121340837352314</v>
      </c>
      <c r="I11" s="37">
        <f t="shared" ca="1" si="6"/>
        <v>10.080505722373346</v>
      </c>
    </row>
    <row r="12" spans="1:9" x14ac:dyDescent="0.3">
      <c r="A12" s="30">
        <v>6</v>
      </c>
      <c r="B12" s="37">
        <f t="shared" ca="1" si="2"/>
        <v>0.25112023597656496</v>
      </c>
      <c r="C12" s="37">
        <f t="shared" ca="1" si="2"/>
        <v>0.54732752334467993</v>
      </c>
      <c r="D12" s="37">
        <f t="shared" ca="1" si="0"/>
        <v>12.193637301346049</v>
      </c>
      <c r="E12" s="37">
        <f t="shared" ca="1" si="1"/>
        <v>9.3245461716175679</v>
      </c>
      <c r="F12" s="37">
        <f t="shared" ca="1" si="3"/>
        <v>46.234472416325019</v>
      </c>
      <c r="G12" s="37">
        <f t="shared" ca="1" si="4"/>
        <v>0</v>
      </c>
      <c r="H12" s="37">
        <f t="shared" ca="1" si="5"/>
        <v>55.559018587942589</v>
      </c>
      <c r="I12" s="37">
        <f t="shared" ca="1" si="6"/>
        <v>9.3245461716175697</v>
      </c>
    </row>
    <row r="13" spans="1:9" x14ac:dyDescent="0.3">
      <c r="A13" s="30">
        <v>7</v>
      </c>
      <c r="B13" s="37">
        <f t="shared" ca="1" si="2"/>
        <v>5.3029093204323585E-2</v>
      </c>
      <c r="C13" s="37">
        <f t="shared" ca="1" si="2"/>
        <v>8.5360260803982069E-2</v>
      </c>
      <c r="D13" s="37">
        <f t="shared" ca="1" si="0"/>
        <v>1.3726925983434664</v>
      </c>
      <c r="E13" s="37">
        <f t="shared" ca="1" si="1"/>
        <v>1.049706104615592</v>
      </c>
      <c r="F13" s="37">
        <f t="shared" ca="1" si="3"/>
        <v>47.607165014668489</v>
      </c>
      <c r="G13" s="37">
        <f t="shared" ca="1" si="4"/>
        <v>7.9518535732741</v>
      </c>
      <c r="H13" s="37">
        <f t="shared" ca="1" si="5"/>
        <v>56.608724692558184</v>
      </c>
      <c r="I13" s="37">
        <f t="shared" ca="1" si="6"/>
        <v>9.0015596778896949</v>
      </c>
    </row>
    <row r="14" spans="1:9" x14ac:dyDescent="0.3">
      <c r="A14" s="30">
        <v>8</v>
      </c>
      <c r="B14" s="37">
        <f t="shared" ca="1" si="2"/>
        <v>0.15930594614699312</v>
      </c>
      <c r="C14" s="37">
        <f t="shared" ca="1" si="2"/>
        <v>4.3578992198091471E-2</v>
      </c>
      <c r="D14" s="37">
        <f t="shared" ca="1" si="0"/>
        <v>0.68549350987079016</v>
      </c>
      <c r="E14" s="37">
        <f t="shared" ca="1" si="1"/>
        <v>0.5242009193129572</v>
      </c>
      <c r="F14" s="37">
        <f t="shared" ca="1" si="3"/>
        <v>48.292658524539277</v>
      </c>
      <c r="G14" s="37">
        <f t="shared" ca="1" si="4"/>
        <v>8.3160661680189065</v>
      </c>
      <c r="H14" s="37">
        <f t="shared" ca="1" si="5"/>
        <v>57.132925611871144</v>
      </c>
      <c r="I14" s="37">
        <f t="shared" ca="1" si="6"/>
        <v>8.8402670873318669</v>
      </c>
    </row>
    <row r="15" spans="1:9" x14ac:dyDescent="0.3">
      <c r="A15" s="30">
        <v>9</v>
      </c>
      <c r="B15" s="37">
        <f t="shared" ca="1" si="2"/>
        <v>0.97417022150252586</v>
      </c>
      <c r="C15" s="37">
        <f t="shared" ca="1" si="2"/>
        <v>0.19499848593170532</v>
      </c>
      <c r="D15" s="37">
        <f t="shared" ca="1" si="0"/>
        <v>3.3370941651563482</v>
      </c>
      <c r="E15" s="37">
        <f t="shared" ca="1" si="1"/>
        <v>2.5518955380607369</v>
      </c>
      <c r="F15" s="37">
        <f t="shared" ca="1" si="3"/>
        <v>51.629752689695628</v>
      </c>
      <c r="G15" s="37">
        <f t="shared" ca="1" si="4"/>
        <v>5.5031729221755157</v>
      </c>
      <c r="H15" s="37">
        <f t="shared" ca="1" si="5"/>
        <v>59.684821149931878</v>
      </c>
      <c r="I15" s="37">
        <f t="shared" ca="1" si="6"/>
        <v>8.0550684602362495</v>
      </c>
    </row>
    <row r="16" spans="1:9" x14ac:dyDescent="0.3">
      <c r="A16" s="30">
        <v>10</v>
      </c>
      <c r="B16" s="37">
        <f t="shared" ca="1" si="2"/>
        <v>0.68529657282955136</v>
      </c>
      <c r="C16" s="37">
        <f t="shared" ca="1" si="2"/>
        <v>6.7932841256945098E-2</v>
      </c>
      <c r="D16" s="37">
        <f t="shared" ca="1" si="0"/>
        <v>1.0823139716225931</v>
      </c>
      <c r="E16" s="37">
        <f t="shared" ca="1" si="1"/>
        <v>0.82765186065257124</v>
      </c>
      <c r="F16" s="37">
        <f t="shared" ca="1" si="3"/>
        <v>52.712066661318218</v>
      </c>
      <c r="G16" s="37">
        <f t="shared" ca="1" si="4"/>
        <v>6.9727544886136599</v>
      </c>
      <c r="H16" s="37">
        <f t="shared" ca="1" si="5"/>
        <v>60.512473010584451</v>
      </c>
      <c r="I16" s="37">
        <f t="shared" ca="1" si="6"/>
        <v>7.8004063492662326</v>
      </c>
    </row>
    <row r="17" spans="1:9" x14ac:dyDescent="0.3">
      <c r="A17" s="30">
        <v>11</v>
      </c>
      <c r="B17" s="37">
        <f t="shared" ca="1" si="2"/>
        <v>0.16270462466213576</v>
      </c>
      <c r="C17" s="37">
        <f t="shared" ca="1" si="2"/>
        <v>0.83357414520184392</v>
      </c>
      <c r="D17" s="37">
        <f t="shared" ca="1" si="0"/>
        <v>27.587775158032006</v>
      </c>
      <c r="E17" s="37">
        <f t="shared" ca="1" si="1"/>
        <v>21.096533944377416</v>
      </c>
      <c r="F17" s="37">
        <f t="shared" ca="1" si="3"/>
        <v>80.29984181935022</v>
      </c>
      <c r="G17" s="37">
        <f t="shared" ca="1" si="4"/>
        <v>0</v>
      </c>
      <c r="H17" s="37">
        <f t="shared" ca="1" si="5"/>
        <v>101.39637576372763</v>
      </c>
      <c r="I17" s="37">
        <f t="shared" ca="1" si="6"/>
        <v>21.096533944377413</v>
      </c>
    </row>
    <row r="18" spans="1:9" x14ac:dyDescent="0.3">
      <c r="A18" s="30">
        <v>12</v>
      </c>
      <c r="B18" s="37">
        <f t="shared" ca="1" si="2"/>
        <v>0.2887330989264455</v>
      </c>
      <c r="C18" s="37">
        <f t="shared" ca="1" si="2"/>
        <v>4.2393809811407057E-2</v>
      </c>
      <c r="D18" s="37">
        <f t="shared" ca="1" si="0"/>
        <v>0.66644093054561404</v>
      </c>
      <c r="E18" s="37">
        <f t="shared" ca="1" si="1"/>
        <v>0.50963129982899891</v>
      </c>
      <c r="F18" s="37">
        <f t="shared" ca="1" si="3"/>
        <v>80.966282749895839</v>
      </c>
      <c r="G18" s="37">
        <f t="shared" ca="1" si="4"/>
        <v>20.430093013831794</v>
      </c>
      <c r="H18" s="37">
        <f t="shared" ca="1" si="5"/>
        <v>101.90600706355663</v>
      </c>
      <c r="I18" s="37">
        <f t="shared" ca="1" si="6"/>
        <v>20.93972431366079</v>
      </c>
    </row>
    <row r="19" spans="1:9" x14ac:dyDescent="0.3">
      <c r="A19" s="30">
        <v>13</v>
      </c>
      <c r="B19" s="37">
        <f t="shared" ca="1" si="2"/>
        <v>4.3373230750975877E-2</v>
      </c>
      <c r="C19" s="37">
        <f t="shared" ca="1" si="2"/>
        <v>4.466781956116761E-2</v>
      </c>
      <c r="D19" s="37">
        <f t="shared" ca="1" si="0"/>
        <v>0.70301793940014634</v>
      </c>
      <c r="E19" s="37">
        <f t="shared" ca="1" si="1"/>
        <v>0.53760195365893537</v>
      </c>
      <c r="F19" s="37">
        <f t="shared" ca="1" si="3"/>
        <v>81.66930068929598</v>
      </c>
      <c r="G19" s="37">
        <f t="shared" ca="1" si="4"/>
        <v>20.236706374260649</v>
      </c>
      <c r="H19" s="37">
        <f t="shared" ca="1" si="5"/>
        <v>102.44360901721556</v>
      </c>
      <c r="I19" s="37">
        <f t="shared" ca="1" si="6"/>
        <v>20.774308327919584</v>
      </c>
    </row>
    <row r="20" spans="1:9" x14ac:dyDescent="0.3">
      <c r="A20" s="30">
        <v>14</v>
      </c>
      <c r="B20" s="37">
        <f t="shared" ca="1" si="2"/>
        <v>0.26629055308718919</v>
      </c>
      <c r="C20" s="37">
        <f t="shared" ca="1" si="2"/>
        <v>0.28796978706491028</v>
      </c>
      <c r="D20" s="37">
        <f t="shared" ca="1" si="0"/>
        <v>5.2251528395823961</v>
      </c>
      <c r="E20" s="37">
        <f t="shared" ca="1" si="1"/>
        <v>3.9957051126218324</v>
      </c>
      <c r="F20" s="37">
        <f t="shared" ca="1" si="3"/>
        <v>86.894453528878373</v>
      </c>
      <c r="G20" s="37">
        <f t="shared" ca="1" si="4"/>
        <v>15.549155488337192</v>
      </c>
      <c r="H20" s="37">
        <f t="shared" ca="1" si="5"/>
        <v>106.4393141298374</v>
      </c>
      <c r="I20" s="37">
        <f t="shared" ca="1" si="6"/>
        <v>19.544860600959026</v>
      </c>
    </row>
    <row r="21" spans="1:9" x14ac:dyDescent="0.3">
      <c r="A21" s="30">
        <v>15</v>
      </c>
      <c r="B21" s="37">
        <f t="shared" ca="1" si="2"/>
        <v>0.33314157071168105</v>
      </c>
      <c r="C21" s="37">
        <f t="shared" ca="1" si="2"/>
        <v>0.81503657115746042</v>
      </c>
      <c r="D21" s="37">
        <f t="shared" ca="1" si="0"/>
        <v>25.963033159656604</v>
      </c>
      <c r="E21" s="37">
        <f t="shared" ca="1" si="1"/>
        <v>19.854084180913873</v>
      </c>
      <c r="F21" s="37">
        <f t="shared" ca="1" si="3"/>
        <v>112.85748668853498</v>
      </c>
      <c r="G21" s="37">
        <f t="shared" ca="1" si="4"/>
        <v>0</v>
      </c>
      <c r="H21" s="37">
        <f t="shared" ca="1" si="5"/>
        <v>132.71157086944885</v>
      </c>
      <c r="I21" s="37">
        <f t="shared" ca="1" si="6"/>
        <v>19.854084180913873</v>
      </c>
    </row>
    <row r="22" spans="1:9" x14ac:dyDescent="0.3">
      <c r="A22" s="30">
        <v>16</v>
      </c>
      <c r="B22" s="37">
        <f t="shared" ca="1" si="2"/>
        <v>5.9478984835251714E-2</v>
      </c>
      <c r="C22" s="37">
        <f t="shared" ca="1" si="2"/>
        <v>0.58083339987095783</v>
      </c>
      <c r="D22" s="37">
        <f t="shared" ca="1" si="0"/>
        <v>13.376720375603639</v>
      </c>
      <c r="E22" s="37">
        <f t="shared" ca="1" si="1"/>
        <v>10.229256757814548</v>
      </c>
      <c r="F22" s="37">
        <f t="shared" ca="1" si="3"/>
        <v>126.23420706413862</v>
      </c>
      <c r="G22" s="37">
        <f t="shared" ca="1" si="4"/>
        <v>6.4773638053102331</v>
      </c>
      <c r="H22" s="37">
        <f t="shared" ca="1" si="5"/>
        <v>142.94082762726339</v>
      </c>
      <c r="I22" s="37">
        <f t="shared" ca="1" si="6"/>
        <v>16.706620563124773</v>
      </c>
    </row>
    <row r="23" spans="1:9" x14ac:dyDescent="0.3">
      <c r="A23" s="30">
        <v>17</v>
      </c>
      <c r="B23" s="37">
        <f t="shared" ca="1" si="2"/>
        <v>0.40824194169950412</v>
      </c>
      <c r="C23" s="37">
        <f t="shared" ca="1" si="2"/>
        <v>0.45690830790196502</v>
      </c>
      <c r="D23" s="37">
        <f t="shared" ca="1" si="0"/>
        <v>9.3919555576122757</v>
      </c>
      <c r="E23" s="37">
        <f t="shared" ca="1" si="1"/>
        <v>7.1820836617035049</v>
      </c>
      <c r="F23" s="37">
        <f t="shared" ca="1" si="3"/>
        <v>135.62616262175089</v>
      </c>
      <c r="G23" s="37">
        <f t="shared" ca="1" si="4"/>
        <v>7.3146650055124951</v>
      </c>
      <c r="H23" s="37">
        <f t="shared" ca="1" si="5"/>
        <v>150.12291128896689</v>
      </c>
      <c r="I23" s="37">
        <f t="shared" ca="1" si="6"/>
        <v>14.496748667215996</v>
      </c>
    </row>
    <row r="24" spans="1:9" x14ac:dyDescent="0.3">
      <c r="A24" s="30">
        <v>18</v>
      </c>
      <c r="B24" s="37">
        <f t="shared" ca="1" si="2"/>
        <v>0.21795202729882202</v>
      </c>
      <c r="C24" s="37">
        <f t="shared" ca="1" si="2"/>
        <v>0.46117301501784658</v>
      </c>
      <c r="D24" s="37">
        <f t="shared" ca="1" si="0"/>
        <v>9.5132423417577829</v>
      </c>
      <c r="E24" s="37">
        <f t="shared" ca="1" si="1"/>
        <v>7.2748323789912455</v>
      </c>
      <c r="F24" s="37">
        <f t="shared" ca="1" si="3"/>
        <v>145.13940496350867</v>
      </c>
      <c r="G24" s="37">
        <f t="shared" ca="1" si="4"/>
        <v>4.9835063254582224</v>
      </c>
      <c r="H24" s="37">
        <f t="shared" ca="1" si="5"/>
        <v>157.39774366795814</v>
      </c>
      <c r="I24" s="37">
        <f t="shared" ca="1" si="6"/>
        <v>12.258338704449471</v>
      </c>
    </row>
    <row r="25" spans="1:9" x14ac:dyDescent="0.3">
      <c r="A25" s="30">
        <v>19</v>
      </c>
      <c r="B25" s="37">
        <f t="shared" ca="1" si="2"/>
        <v>0.40274451044518622</v>
      </c>
      <c r="C25" s="37">
        <f t="shared" ca="1" si="2"/>
        <v>0.30829459037819607</v>
      </c>
      <c r="D25" s="37">
        <f t="shared" ca="1" si="0"/>
        <v>5.6706941945096423</v>
      </c>
      <c r="E25" s="37">
        <f t="shared" ca="1" si="1"/>
        <v>4.3364132075661965</v>
      </c>
      <c r="F25" s="37">
        <f t="shared" ca="1" si="3"/>
        <v>150.81009915801832</v>
      </c>
      <c r="G25" s="37">
        <f t="shared" ca="1" si="4"/>
        <v>6.5876445099398211</v>
      </c>
      <c r="H25" s="37">
        <f t="shared" ca="1" si="5"/>
        <v>161.73415687552435</v>
      </c>
      <c r="I25" s="37">
        <f t="shared" ca="1" si="6"/>
        <v>10.924057717506031</v>
      </c>
    </row>
    <row r="26" spans="1:9" x14ac:dyDescent="0.3">
      <c r="A26" s="30">
        <v>20</v>
      </c>
      <c r="B26" s="37">
        <f t="shared" ca="1" si="2"/>
        <v>0.86229792158273866</v>
      </c>
      <c r="C26" s="37">
        <f t="shared" ca="1" si="2"/>
        <v>0.84250798206095212</v>
      </c>
      <c r="D26" s="37">
        <f t="shared" ca="1" si="0"/>
        <v>28.436623103889048</v>
      </c>
      <c r="E26" s="37">
        <f t="shared" ca="1" si="1"/>
        <v>21.745652961797507</v>
      </c>
      <c r="F26" s="37">
        <f t="shared" ca="1" si="3"/>
        <v>179.24672226190737</v>
      </c>
      <c r="G26" s="37">
        <f t="shared" ca="1" si="4"/>
        <v>0</v>
      </c>
      <c r="H26" s="37">
        <f t="shared" ca="1" si="5"/>
        <v>200.99237522370487</v>
      </c>
      <c r="I26" s="37">
        <f t="shared" ca="1" si="6"/>
        <v>21.745652961797504</v>
      </c>
    </row>
    <row r="27" spans="1:9" x14ac:dyDescent="0.3">
      <c r="D27" s="37">
        <f ca="1">AVERAGE(D7:D26)</f>
        <v>8.9623361130953683</v>
      </c>
      <c r="E27" s="37">
        <f ca="1">AVERAGE(E7:E26)</f>
        <v>6.8535511453082236</v>
      </c>
      <c r="G27" s="37">
        <f ca="1">AVERAGE(G7:G26)</f>
        <v>6.7745554031903881</v>
      </c>
      <c r="I27" s="37">
        <f ca="1">AVERAGE(I7:I26)</f>
        <v>13.628106548498613</v>
      </c>
    </row>
    <row r="28" spans="1:9" x14ac:dyDescent="0.3">
      <c r="D28" s="37">
        <f ca="1">1/D27</f>
        <v>0.11157805145678974</v>
      </c>
      <c r="E28" s="37">
        <f ca="1">1/E27</f>
        <v>0.14590975959734043</v>
      </c>
      <c r="G28" s="37">
        <f ca="1">SUM(G7:G26)/H26</f>
        <v>0.67411068660194651</v>
      </c>
      <c r="I28" s="37">
        <f ca="1">SUM(I7:I26)/H26</f>
        <v>1.3560819442359946</v>
      </c>
    </row>
    <row r="32" spans="1:9" x14ac:dyDescent="0.3">
      <c r="A32" s="30" t="s">
        <v>49</v>
      </c>
      <c r="B32" s="30" t="s">
        <v>50</v>
      </c>
      <c r="C32" s="30" t="s">
        <v>51</v>
      </c>
      <c r="D32" s="30" t="s">
        <v>52</v>
      </c>
      <c r="E32" s="30" t="s">
        <v>53</v>
      </c>
      <c r="F32" s="30" t="s">
        <v>54</v>
      </c>
    </row>
    <row r="33" spans="1:13" x14ac:dyDescent="0.3">
      <c r="A33" s="30">
        <v>1115.357134628516</v>
      </c>
      <c r="B33" s="30">
        <v>2.7999999999999997E-2</v>
      </c>
      <c r="C33" s="30">
        <v>7.0169299327243486</v>
      </c>
      <c r="D33" s="30">
        <v>-3.575550768806933</v>
      </c>
      <c r="E33" s="30">
        <f>$M$33*B33+$M$34</f>
        <v>966.85939905065243</v>
      </c>
      <c r="F33" s="30">
        <f>$M$38*B33^$M$36</f>
        <v>1439.8251130780573</v>
      </c>
      <c r="L33" s="26" t="s">
        <v>55</v>
      </c>
      <c r="M33" s="26">
        <f>B58</f>
        <v>-43965.92390741915</v>
      </c>
    </row>
    <row r="34" spans="1:13" x14ac:dyDescent="0.3">
      <c r="A34" s="30">
        <v>843.81742539900222</v>
      </c>
      <c r="B34" s="30">
        <v>3.2000000000000001E-2</v>
      </c>
      <c r="C34" s="30">
        <v>6.7379361505779816</v>
      </c>
      <c r="D34" s="30">
        <v>-3.4420193761824103</v>
      </c>
      <c r="E34" s="30">
        <f t="shared" ref="E34:E39" si="7">$M$33*B34+$M$34</f>
        <v>790.99570342097559</v>
      </c>
      <c r="F34" s="30">
        <f t="shared" ref="F34:F39" si="8">$M$38*B34^$M$36</f>
        <v>747.80944063327729</v>
      </c>
      <c r="L34" s="26" t="s">
        <v>56</v>
      </c>
      <c r="M34" s="26">
        <f>B57</f>
        <v>2197.9052684583885</v>
      </c>
    </row>
    <row r="35" spans="1:13" x14ac:dyDescent="0.3">
      <c r="A35" s="30">
        <v>431.10715787506496</v>
      </c>
      <c r="B35" s="30">
        <v>3.6000000000000004E-2</v>
      </c>
      <c r="C35" s="30">
        <v>6.0663566853616295</v>
      </c>
      <c r="D35" s="30">
        <v>-3.3242363405260269</v>
      </c>
      <c r="E35" s="30">
        <f t="shared" si="7"/>
        <v>615.13200779129897</v>
      </c>
      <c r="F35" s="30">
        <f t="shared" si="8"/>
        <v>419.59236346796371</v>
      </c>
    </row>
    <row r="36" spans="1:13" x14ac:dyDescent="0.3">
      <c r="A36" s="30">
        <v>347.05336875709946</v>
      </c>
      <c r="B36" s="30">
        <v>0.04</v>
      </c>
      <c r="C36" s="30">
        <v>5.8494785685735184</v>
      </c>
      <c r="D36" s="30">
        <v>-3.2188758248682006</v>
      </c>
      <c r="E36" s="30">
        <f t="shared" si="7"/>
        <v>439.26831216162236</v>
      </c>
      <c r="F36" s="30">
        <f t="shared" si="8"/>
        <v>250.22643751032282</v>
      </c>
      <c r="L36" s="26" t="s">
        <v>57</v>
      </c>
      <c r="M36" s="26">
        <f>L58</f>
        <v>-4.9061777613519197</v>
      </c>
    </row>
    <row r="37" spans="1:13" x14ac:dyDescent="0.3">
      <c r="A37" s="30">
        <v>205.60414873451637</v>
      </c>
      <c r="B37" s="30">
        <v>4.4000000000000004E-2</v>
      </c>
      <c r="C37" s="30">
        <v>5.3259527120472505</v>
      </c>
      <c r="D37" s="30">
        <v>-3.1235656450638758</v>
      </c>
      <c r="E37" s="30">
        <f t="shared" si="7"/>
        <v>263.40461653194575</v>
      </c>
      <c r="F37" s="30">
        <f t="shared" si="8"/>
        <v>156.76652135816866</v>
      </c>
      <c r="L37" s="26" t="s">
        <v>58</v>
      </c>
      <c r="M37" s="26">
        <f>L57</f>
        <v>-10.270010730562195</v>
      </c>
    </row>
    <row r="38" spans="1:13" x14ac:dyDescent="0.3">
      <c r="A38" s="30">
        <v>60.791063018320493</v>
      </c>
      <c r="B38" s="30">
        <v>4.8000000000000001E-2</v>
      </c>
      <c r="C38" s="30">
        <v>4.1074427883378029</v>
      </c>
      <c r="D38" s="30">
        <v>-3.0365542680742461</v>
      </c>
      <c r="E38" s="30">
        <f t="shared" si="7"/>
        <v>87.540920902269136</v>
      </c>
      <c r="F38" s="30">
        <f t="shared" si="8"/>
        <v>102.29535749036145</v>
      </c>
      <c r="L38" s="26" t="s">
        <v>59</v>
      </c>
      <c r="M38" s="26">
        <f>EXP(M37)</f>
        <v>3.4657003533887135E-5</v>
      </c>
    </row>
    <row r="39" spans="1:13" x14ac:dyDescent="0.3">
      <c r="A39" s="30">
        <v>71.147886718837711</v>
      </c>
      <c r="B39" s="30">
        <v>5.2000000000000005E-2</v>
      </c>
      <c r="C39" s="30">
        <v>4.2647606223215675</v>
      </c>
      <c r="D39" s="30">
        <v>-2.9565115604007097</v>
      </c>
      <c r="E39" s="30">
        <f t="shared" si="7"/>
        <v>-88.322774727407705</v>
      </c>
      <c r="F39" s="30">
        <f t="shared" si="8"/>
        <v>69.072766664947764</v>
      </c>
    </row>
    <row r="41" spans="1:13" x14ac:dyDescent="0.3">
      <c r="A41" t="s">
        <v>60</v>
      </c>
      <c r="K41" t="s">
        <v>60</v>
      </c>
    </row>
    <row r="42" spans="1:13" ht="15" thickBot="1" x14ac:dyDescent="0.35"/>
    <row r="43" spans="1:13" x14ac:dyDescent="0.3">
      <c r="A43" s="25" t="s">
        <v>61</v>
      </c>
      <c r="B43" s="25"/>
      <c r="K43" s="25" t="s">
        <v>61</v>
      </c>
      <c r="L43" s="25"/>
    </row>
    <row r="44" spans="1:13" x14ac:dyDescent="0.3">
      <c r="A44" s="16" t="s">
        <v>62</v>
      </c>
      <c r="B44" s="16">
        <v>0.94844812555912383</v>
      </c>
      <c r="K44" s="16" t="s">
        <v>62</v>
      </c>
      <c r="L44" s="16">
        <v>0.96461446455871036</v>
      </c>
    </row>
    <row r="45" spans="1:13" x14ac:dyDescent="0.3">
      <c r="A45" s="28" t="s">
        <v>63</v>
      </c>
      <c r="B45" s="28">
        <v>0.89955384687661555</v>
      </c>
      <c r="K45" s="28" t="s">
        <v>63</v>
      </c>
      <c r="L45" s="28">
        <v>0.93048106523588758</v>
      </c>
    </row>
    <row r="46" spans="1:13" x14ac:dyDescent="0.3">
      <c r="A46" s="16" t="s">
        <v>64</v>
      </c>
      <c r="B46" s="16">
        <v>0.87946461625193861</v>
      </c>
      <c r="K46" s="16" t="s">
        <v>64</v>
      </c>
      <c r="L46" s="16">
        <v>0.91657727828306501</v>
      </c>
    </row>
    <row r="47" spans="1:13" x14ac:dyDescent="0.3">
      <c r="A47" s="16" t="s">
        <v>65</v>
      </c>
      <c r="B47" s="16">
        <v>139.06674210233368</v>
      </c>
      <c r="K47" s="16" t="s">
        <v>65</v>
      </c>
      <c r="L47" s="16">
        <v>0.32643184402881331</v>
      </c>
    </row>
    <row r="48" spans="1:13" ht="15" thickBot="1" x14ac:dyDescent="0.35">
      <c r="A48" s="17" t="s">
        <v>66</v>
      </c>
      <c r="B48" s="17">
        <v>7</v>
      </c>
      <c r="K48" s="17" t="s">
        <v>66</v>
      </c>
      <c r="L48" s="17">
        <v>7</v>
      </c>
    </row>
    <row r="50" spans="1:19" ht="15" thickBot="1" x14ac:dyDescent="0.35">
      <c r="A50" t="s">
        <v>67</v>
      </c>
      <c r="K50" t="s">
        <v>67</v>
      </c>
    </row>
    <row r="51" spans="1:19" x14ac:dyDescent="0.3">
      <c r="A51" s="18"/>
      <c r="B51" s="18" t="s">
        <v>72</v>
      </c>
      <c r="C51" s="18" t="s">
        <v>73</v>
      </c>
      <c r="D51" s="18" t="s">
        <v>74</v>
      </c>
      <c r="E51" s="18" t="s">
        <v>75</v>
      </c>
      <c r="F51" s="18" t="s">
        <v>76</v>
      </c>
      <c r="K51" s="18"/>
      <c r="L51" s="18" t="s">
        <v>72</v>
      </c>
      <c r="M51" s="18" t="s">
        <v>73</v>
      </c>
      <c r="N51" s="18" t="s">
        <v>74</v>
      </c>
      <c r="O51" s="18" t="s">
        <v>75</v>
      </c>
      <c r="P51" s="18" t="s">
        <v>76</v>
      </c>
    </row>
    <row r="52" spans="1:19" x14ac:dyDescent="0.3">
      <c r="A52" s="16" t="s">
        <v>68</v>
      </c>
      <c r="B52" s="16">
        <v>1</v>
      </c>
      <c r="C52" s="16">
        <v>865985.10433477175</v>
      </c>
      <c r="D52" s="16">
        <v>865985.10433477175</v>
      </c>
      <c r="E52" s="16">
        <v>44.777914280681131</v>
      </c>
      <c r="F52" s="16">
        <v>1.1271049361096033E-3</v>
      </c>
      <c r="K52" s="16" t="s">
        <v>68</v>
      </c>
      <c r="L52" s="16">
        <v>1</v>
      </c>
      <c r="M52" s="16">
        <v>7.1311483659321055</v>
      </c>
      <c r="N52" s="16">
        <v>7.1311483659321055</v>
      </c>
      <c r="O52" s="16">
        <v>66.922851191056225</v>
      </c>
      <c r="P52" s="16">
        <v>4.4384921531248573E-4</v>
      </c>
    </row>
    <row r="53" spans="1:19" x14ac:dyDescent="0.3">
      <c r="A53" s="16" t="s">
        <v>69</v>
      </c>
      <c r="B53" s="16">
        <v>5</v>
      </c>
      <c r="C53" s="16">
        <v>96697.793794784913</v>
      </c>
      <c r="D53" s="16">
        <v>19339.558758956984</v>
      </c>
      <c r="E53" s="16"/>
      <c r="F53" s="16"/>
      <c r="K53" s="16" t="s">
        <v>69</v>
      </c>
      <c r="L53" s="16">
        <v>5</v>
      </c>
      <c r="M53" s="16">
        <v>0.53278874398025755</v>
      </c>
      <c r="N53" s="16">
        <v>0.10655774879605151</v>
      </c>
      <c r="O53" s="16"/>
      <c r="P53" s="16"/>
    </row>
    <row r="54" spans="1:19" ht="15" thickBot="1" x14ac:dyDescent="0.35">
      <c r="A54" s="17" t="s">
        <v>70</v>
      </c>
      <c r="B54" s="17">
        <v>6</v>
      </c>
      <c r="C54" s="17">
        <v>962682.89812955668</v>
      </c>
      <c r="D54" s="17"/>
      <c r="E54" s="17"/>
      <c r="F54" s="17"/>
      <c r="K54" s="17" t="s">
        <v>70</v>
      </c>
      <c r="L54" s="17">
        <v>6</v>
      </c>
      <c r="M54" s="17">
        <v>7.6639371099123634</v>
      </c>
      <c r="N54" s="17"/>
      <c r="O54" s="17"/>
      <c r="P54" s="17"/>
    </row>
    <row r="55" spans="1:19" ht="15" thickBot="1" x14ac:dyDescent="0.35"/>
    <row r="56" spans="1:19" x14ac:dyDescent="0.3">
      <c r="A56" s="18"/>
      <c r="B56" s="18" t="s">
        <v>77</v>
      </c>
      <c r="C56" s="18" t="s">
        <v>65</v>
      </c>
      <c r="D56" s="18" t="s">
        <v>78</v>
      </c>
      <c r="E56" s="18" t="s">
        <v>79</v>
      </c>
      <c r="F56" s="18" t="s">
        <v>80</v>
      </c>
      <c r="G56" s="18" t="s">
        <v>81</v>
      </c>
      <c r="H56" s="18" t="s">
        <v>82</v>
      </c>
      <c r="I56" s="18" t="s">
        <v>83</v>
      </c>
      <c r="K56" s="18"/>
      <c r="L56" s="18" t="s">
        <v>77</v>
      </c>
      <c r="M56" s="18" t="s">
        <v>65</v>
      </c>
      <c r="N56" s="18" t="s">
        <v>78</v>
      </c>
      <c r="O56" s="18" t="s">
        <v>79</v>
      </c>
      <c r="P56" s="18" t="s">
        <v>80</v>
      </c>
      <c r="Q56" s="18" t="s">
        <v>81</v>
      </c>
      <c r="R56" s="18" t="s">
        <v>82</v>
      </c>
      <c r="S56" s="18" t="s">
        <v>83</v>
      </c>
    </row>
    <row r="57" spans="1:19" x14ac:dyDescent="0.3">
      <c r="A57" s="28" t="s">
        <v>71</v>
      </c>
      <c r="B57" s="28">
        <v>2197.9052684583885</v>
      </c>
      <c r="C57" s="16">
        <v>268.01613163946507</v>
      </c>
      <c r="D57" s="16">
        <v>8.2006454425474935</v>
      </c>
      <c r="E57" s="16">
        <v>4.3878061570425402E-4</v>
      </c>
      <c r="F57" s="16">
        <v>1508.9478688084682</v>
      </c>
      <c r="G57" s="16">
        <v>2886.8626681083088</v>
      </c>
      <c r="H57" s="16">
        <v>1508.9478688084682</v>
      </c>
      <c r="I57" s="16">
        <v>2886.8626681083088</v>
      </c>
      <c r="K57" s="28" t="s">
        <v>71</v>
      </c>
      <c r="L57" s="28">
        <v>-10.270010730562195</v>
      </c>
      <c r="M57" s="16">
        <v>1.9468098886061211</v>
      </c>
      <c r="N57" s="16">
        <v>-5.275302324417166</v>
      </c>
      <c r="O57" s="16">
        <v>3.2575201914603917E-3</v>
      </c>
      <c r="P57" s="16">
        <v>-15.274444867650248</v>
      </c>
      <c r="Q57" s="16">
        <v>-5.2655765934741421</v>
      </c>
      <c r="R57" s="16">
        <v>-15.274444867650248</v>
      </c>
      <c r="S57" s="16">
        <v>-5.2655765934741421</v>
      </c>
    </row>
    <row r="58" spans="1:19" ht="15" thickBot="1" x14ac:dyDescent="0.35">
      <c r="A58" s="28" t="s">
        <v>84</v>
      </c>
      <c r="B58" s="28">
        <v>-43965.92390741915</v>
      </c>
      <c r="C58" s="17">
        <v>6570.2859864773309</v>
      </c>
      <c r="D58" s="17">
        <v>-6.6916301661613895</v>
      </c>
      <c r="E58" s="17">
        <v>1.1271049361096044E-3</v>
      </c>
      <c r="F58" s="17">
        <v>-60855.381719193603</v>
      </c>
      <c r="G58" s="17">
        <v>-27076.466095644697</v>
      </c>
      <c r="H58" s="17">
        <v>-60855.381719193603</v>
      </c>
      <c r="I58" s="17">
        <v>-27076.466095644697</v>
      </c>
      <c r="K58" s="28" t="s">
        <v>84</v>
      </c>
      <c r="L58" s="28">
        <v>-4.9061777613519197</v>
      </c>
      <c r="M58" s="17">
        <v>0.59973039768024272</v>
      </c>
      <c r="N58" s="17">
        <v>-8.1806388009162383</v>
      </c>
      <c r="O58" s="17">
        <v>4.4384921531248492E-4</v>
      </c>
      <c r="P58" s="17">
        <v>-6.4478338279076954</v>
      </c>
      <c r="Q58" s="17">
        <v>-3.364521694796144</v>
      </c>
      <c r="R58" s="17">
        <v>-6.4478338279076954</v>
      </c>
      <c r="S58" s="17">
        <v>-3.364521694796144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4337" r:id="rId3" name="CommandButton1">
          <controlPr defaultSize="0" autoLine="0" r:id="rId4">
            <anchor moveWithCells="1">
              <from>
                <xdr:col>9</xdr:col>
                <xdr:colOff>175260</xdr:colOff>
                <xdr:row>15</xdr:row>
                <xdr:rowOff>22860</xdr:rowOff>
              </from>
              <to>
                <xdr:col>9</xdr:col>
                <xdr:colOff>449580</xdr:colOff>
                <xdr:row>19</xdr:row>
                <xdr:rowOff>38100</xdr:rowOff>
              </to>
            </anchor>
          </controlPr>
        </control>
      </mc:Choice>
      <mc:Fallback>
        <control shapeId="14337" r:id="rId3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2"/>
  <dimension ref="A1:L28"/>
  <sheetViews>
    <sheetView workbookViewId="0"/>
  </sheetViews>
  <sheetFormatPr defaultRowHeight="14.4" x14ac:dyDescent="0.3"/>
  <sheetData>
    <row r="1" spans="1:12" ht="21" x14ac:dyDescent="0.3">
      <c r="L1" s="47" t="s">
        <v>131</v>
      </c>
    </row>
    <row r="2" spans="1:12" ht="19.8" x14ac:dyDescent="0.3">
      <c r="C2" s="48" t="s">
        <v>132</v>
      </c>
      <c r="D2" s="50">
        <v>6.5000000000000002E-2</v>
      </c>
      <c r="E2" s="51" t="s">
        <v>134</v>
      </c>
    </row>
    <row r="3" spans="1:12" ht="19.8" x14ac:dyDescent="0.3">
      <c r="C3" s="49" t="s">
        <v>133</v>
      </c>
      <c r="D3" s="50">
        <v>8.5000000000000006E-2</v>
      </c>
      <c r="E3" s="51" t="s">
        <v>134</v>
      </c>
    </row>
    <row r="6" spans="1:12" ht="20.399999999999999" x14ac:dyDescent="0.3">
      <c r="A6" s="56" t="s">
        <v>19</v>
      </c>
      <c r="B6" s="56" t="s">
        <v>104</v>
      </c>
      <c r="C6" s="56" t="s">
        <v>105</v>
      </c>
      <c r="D6" s="56" t="s">
        <v>119</v>
      </c>
      <c r="E6" s="56" t="s">
        <v>120</v>
      </c>
      <c r="F6" s="56" t="s">
        <v>123</v>
      </c>
      <c r="G6" s="56" t="s">
        <v>121</v>
      </c>
      <c r="H6" s="56" t="s">
        <v>124</v>
      </c>
      <c r="I6" s="56" t="s">
        <v>122</v>
      </c>
    </row>
    <row r="7" spans="1:12" x14ac:dyDescent="0.3">
      <c r="A7" s="58">
        <v>1</v>
      </c>
      <c r="B7" s="37">
        <f ca="1">RAND()</f>
        <v>0.69161753223363687</v>
      </c>
      <c r="C7" s="37">
        <f ca="1">RAND()</f>
        <v>9.0418378536919031E-2</v>
      </c>
      <c r="D7" s="37">
        <f ca="1">(1/$D$2)*LN(1/(1-B7))</f>
        <v>18.098684429469742</v>
      </c>
      <c r="E7" s="37">
        <f ca="1">(1/$D$3)*LN(1/(1-C7))</f>
        <v>1.1149475508906417</v>
      </c>
      <c r="F7" s="37">
        <f ca="1">D7</f>
        <v>18.098684429469742</v>
      </c>
      <c r="G7" s="37">
        <v>0</v>
      </c>
      <c r="H7" s="37">
        <f ca="1">F7+G7+E7</f>
        <v>19.213631980360383</v>
      </c>
      <c r="I7" s="37">
        <f ca="1">H7-F7</f>
        <v>1.1149475508906406</v>
      </c>
    </row>
    <row r="8" spans="1:12" x14ac:dyDescent="0.3">
      <c r="A8" s="58">
        <v>2</v>
      </c>
      <c r="B8" s="37">
        <f t="shared" ref="B8:C26" ca="1" si="0">RAND()</f>
        <v>6.3196597523802356E-2</v>
      </c>
      <c r="C8" s="37">
        <f t="shared" ca="1" si="0"/>
        <v>0.20740182728613332</v>
      </c>
      <c r="D8" s="37">
        <f t="shared" ref="D8:D26" ca="1" si="1">(1/$D$2)*LN(1/(1-B8))</f>
        <v>1.0043359182365048</v>
      </c>
      <c r="E8" s="37">
        <f t="shared" ref="E8:E26" ca="1" si="2">(1/$D$3)*LN(1/(1-C8))</f>
        <v>2.7345753371927177</v>
      </c>
      <c r="F8" s="37">
        <f ca="1">F7+D8</f>
        <v>19.103020347706249</v>
      </c>
      <c r="G8" s="37">
        <f ca="1">IF(F8&gt;H7,0,H7-F8)</f>
        <v>0.11061163265413398</v>
      </c>
      <c r="H8" s="37">
        <f ca="1">F8+G8+E8</f>
        <v>21.948207317553099</v>
      </c>
      <c r="I8" s="37">
        <f ca="1">H8-F8</f>
        <v>2.8451869698468499</v>
      </c>
    </row>
    <row r="9" spans="1:12" x14ac:dyDescent="0.3">
      <c r="A9" s="58">
        <v>3</v>
      </c>
      <c r="B9" s="37">
        <f t="shared" ca="1" si="0"/>
        <v>0.79223697615438848</v>
      </c>
      <c r="C9" s="37">
        <f t="shared" ca="1" si="0"/>
        <v>0.23442749685013231</v>
      </c>
      <c r="D9" s="37">
        <f t="shared" ca="1" si="1"/>
        <v>24.174725495701612</v>
      </c>
      <c r="E9" s="37">
        <f t="shared" ca="1" si="2"/>
        <v>3.1427218225217595</v>
      </c>
      <c r="F9" s="37">
        <f t="shared" ref="F9:F26" ca="1" si="3">F8+D9</f>
        <v>43.277745843407857</v>
      </c>
      <c r="G9" s="37">
        <f t="shared" ref="G9:G26" ca="1" si="4">IF(F9&gt;H8,0,H8-F9)</f>
        <v>0</v>
      </c>
      <c r="H9" s="37">
        <f t="shared" ref="H9:H26" ca="1" si="5">F9+G9+E9</f>
        <v>46.420467665929614</v>
      </c>
      <c r="I9" s="37">
        <f t="shared" ref="I9:I26" ca="1" si="6">H9-F9</f>
        <v>3.1427218225217572</v>
      </c>
    </row>
    <row r="10" spans="1:12" x14ac:dyDescent="0.3">
      <c r="A10" s="58">
        <v>4</v>
      </c>
      <c r="B10" s="37">
        <f t="shared" ca="1" si="0"/>
        <v>0.88410752685233895</v>
      </c>
      <c r="C10" s="37">
        <f t="shared" ca="1" si="0"/>
        <v>4.3713917152880422E-2</v>
      </c>
      <c r="D10" s="37">
        <f t="shared" ca="1" si="1"/>
        <v>33.155268821360416</v>
      </c>
      <c r="E10" s="37">
        <f t="shared" ca="1" si="2"/>
        <v>0.52586071596418049</v>
      </c>
      <c r="F10" s="37">
        <f t="shared" ca="1" si="3"/>
        <v>76.43301466476828</v>
      </c>
      <c r="G10" s="37">
        <f t="shared" ca="1" si="4"/>
        <v>0</v>
      </c>
      <c r="H10" s="37">
        <f t="shared" ca="1" si="5"/>
        <v>76.958875380732465</v>
      </c>
      <c r="I10" s="37">
        <f t="shared" ca="1" si="6"/>
        <v>0.52586071596418549</v>
      </c>
    </row>
    <row r="11" spans="1:12" x14ac:dyDescent="0.3">
      <c r="A11" s="58">
        <v>5</v>
      </c>
      <c r="B11" s="37">
        <f t="shared" ca="1" si="0"/>
        <v>4.1833146550548372E-2</v>
      </c>
      <c r="C11" s="37">
        <f t="shared" ca="1" si="0"/>
        <v>2.1057095699315131E-2</v>
      </c>
      <c r="D11" s="37">
        <f t="shared" ca="1" si="1"/>
        <v>0.65743611768065224</v>
      </c>
      <c r="E11" s="37">
        <f t="shared" ca="1" si="2"/>
        <v>0.25037598330162997</v>
      </c>
      <c r="F11" s="37">
        <f t="shared" ca="1" si="3"/>
        <v>77.090450782448926</v>
      </c>
      <c r="G11" s="37">
        <f t="shared" ca="1" si="4"/>
        <v>0</v>
      </c>
      <c r="H11" s="37">
        <f t="shared" ca="1" si="5"/>
        <v>77.340826765750549</v>
      </c>
      <c r="I11" s="37">
        <f t="shared" ca="1" si="6"/>
        <v>0.25037598330162325</v>
      </c>
    </row>
    <row r="12" spans="1:12" x14ac:dyDescent="0.3">
      <c r="A12" s="58">
        <v>6</v>
      </c>
      <c r="B12" s="37">
        <f t="shared" ca="1" si="0"/>
        <v>0.66333670384741894</v>
      </c>
      <c r="C12" s="37">
        <f t="shared" ca="1" si="0"/>
        <v>0.11052269967535111</v>
      </c>
      <c r="D12" s="37">
        <f t="shared" ca="1" si="1"/>
        <v>16.748799527585128</v>
      </c>
      <c r="E12" s="37">
        <f t="shared" ca="1" si="2"/>
        <v>1.3778975504932856</v>
      </c>
      <c r="F12" s="37">
        <f t="shared" ca="1" si="3"/>
        <v>93.83925031003406</v>
      </c>
      <c r="G12" s="37">
        <f t="shared" ca="1" si="4"/>
        <v>0</v>
      </c>
      <c r="H12" s="37">
        <f t="shared" ca="1" si="5"/>
        <v>95.217147860527348</v>
      </c>
      <c r="I12" s="37">
        <f t="shared" ca="1" si="6"/>
        <v>1.3778975504932873</v>
      </c>
    </row>
    <row r="13" spans="1:12" x14ac:dyDescent="0.3">
      <c r="A13" s="58">
        <v>7</v>
      </c>
      <c r="B13" s="37">
        <f t="shared" ca="1" si="0"/>
        <v>0.66021818229033813</v>
      </c>
      <c r="C13" s="37">
        <f t="shared" ca="1" si="0"/>
        <v>0.26467284838777294</v>
      </c>
      <c r="D13" s="37">
        <f t="shared" ca="1" si="1"/>
        <v>16.60694738424986</v>
      </c>
      <c r="E13" s="37">
        <f t="shared" ca="1" si="2"/>
        <v>3.6169385242880341</v>
      </c>
      <c r="F13" s="37">
        <f t="shared" ca="1" si="3"/>
        <v>110.44619769428392</v>
      </c>
      <c r="G13" s="37">
        <f t="shared" ca="1" si="4"/>
        <v>0</v>
      </c>
      <c r="H13" s="37">
        <f t="shared" ca="1" si="5"/>
        <v>114.06313621857196</v>
      </c>
      <c r="I13" s="37">
        <f t="shared" ca="1" si="6"/>
        <v>3.616938524288031</v>
      </c>
    </row>
    <row r="14" spans="1:12" x14ac:dyDescent="0.3">
      <c r="A14" s="58">
        <v>8</v>
      </c>
      <c r="B14" s="37">
        <f t="shared" ca="1" si="0"/>
        <v>0.22723348676907384</v>
      </c>
      <c r="C14" s="37">
        <f t="shared" ca="1" si="0"/>
        <v>0.98552611432141701</v>
      </c>
      <c r="D14" s="37">
        <f t="shared" ca="1" si="1"/>
        <v>3.9658204425107049</v>
      </c>
      <c r="E14" s="37">
        <f t="shared" ca="1" si="2"/>
        <v>49.828344011384637</v>
      </c>
      <c r="F14" s="37">
        <f t="shared" ca="1" si="3"/>
        <v>114.41201813679463</v>
      </c>
      <c r="G14" s="37">
        <f t="shared" ca="1" si="4"/>
        <v>0</v>
      </c>
      <c r="H14" s="37">
        <f t="shared" ca="1" si="5"/>
        <v>164.24036214817926</v>
      </c>
      <c r="I14" s="37">
        <f t="shared" ca="1" si="6"/>
        <v>49.82834401138463</v>
      </c>
    </row>
    <row r="15" spans="1:12" x14ac:dyDescent="0.3">
      <c r="A15" s="58">
        <v>9</v>
      </c>
      <c r="B15" s="37">
        <f t="shared" ca="1" si="0"/>
        <v>0.24024535684360082</v>
      </c>
      <c r="C15" s="37">
        <f t="shared" ca="1" si="0"/>
        <v>0.92962470426711596</v>
      </c>
      <c r="D15" s="37">
        <f t="shared" ca="1" si="1"/>
        <v>4.2270728581116428</v>
      </c>
      <c r="E15" s="37">
        <f t="shared" ca="1" si="2"/>
        <v>31.222505768089931</v>
      </c>
      <c r="F15" s="37">
        <f t="shared" ca="1" si="3"/>
        <v>118.63909099490627</v>
      </c>
      <c r="G15" s="37">
        <f t="shared" ca="1" si="4"/>
        <v>45.60127115327299</v>
      </c>
      <c r="H15" s="37">
        <f t="shared" ca="1" si="5"/>
        <v>195.4628679162692</v>
      </c>
      <c r="I15" s="37">
        <f t="shared" ca="1" si="6"/>
        <v>76.823776921362935</v>
      </c>
    </row>
    <row r="16" spans="1:12" x14ac:dyDescent="0.3">
      <c r="A16" s="58">
        <v>10</v>
      </c>
      <c r="B16" s="37">
        <f t="shared" ca="1" si="0"/>
        <v>0.98052131236363504</v>
      </c>
      <c r="C16" s="37">
        <f t="shared" ca="1" si="0"/>
        <v>0.56250189412046292</v>
      </c>
      <c r="D16" s="37">
        <f t="shared" ca="1" si="1"/>
        <v>60.591297735902373</v>
      </c>
      <c r="E16" s="37">
        <f t="shared" ca="1" si="2"/>
        <v>9.7256812072004806</v>
      </c>
      <c r="F16" s="37">
        <f t="shared" ca="1" si="3"/>
        <v>179.23038873080864</v>
      </c>
      <c r="G16" s="37">
        <f t="shared" ca="1" si="4"/>
        <v>16.232479185460562</v>
      </c>
      <c r="H16" s="37">
        <f t="shared" ca="1" si="5"/>
        <v>205.18854912346967</v>
      </c>
      <c r="I16" s="37">
        <f t="shared" ca="1" si="6"/>
        <v>25.958160392661028</v>
      </c>
    </row>
    <row r="17" spans="1:9" x14ac:dyDescent="0.3">
      <c r="A17" s="58">
        <v>11</v>
      </c>
      <c r="B17" s="37">
        <f t="shared" ca="1" si="0"/>
        <v>0.25421355544133317</v>
      </c>
      <c r="C17" s="37">
        <f t="shared" ca="1" si="0"/>
        <v>2.005751045817572E-2</v>
      </c>
      <c r="D17" s="37">
        <f t="shared" ca="1" si="1"/>
        <v>4.5125536478204058</v>
      </c>
      <c r="E17" s="37">
        <f t="shared" ca="1" si="2"/>
        <v>0.23836933153525361</v>
      </c>
      <c r="F17" s="37">
        <f t="shared" ca="1" si="3"/>
        <v>183.74294237862904</v>
      </c>
      <c r="G17" s="37">
        <f t="shared" ca="1" si="4"/>
        <v>21.445606744840632</v>
      </c>
      <c r="H17" s="37">
        <f t="shared" ca="1" si="5"/>
        <v>205.42691845500494</v>
      </c>
      <c r="I17" s="37">
        <f t="shared" ca="1" si="6"/>
        <v>21.683976076375899</v>
      </c>
    </row>
    <row r="18" spans="1:9" x14ac:dyDescent="0.3">
      <c r="A18" s="58">
        <v>12</v>
      </c>
      <c r="B18" s="37">
        <f t="shared" ca="1" si="0"/>
        <v>0.43352154329860138</v>
      </c>
      <c r="C18" s="37">
        <f t="shared" ca="1" si="0"/>
        <v>8.9552731243853323E-2</v>
      </c>
      <c r="D18" s="37">
        <f t="shared" ca="1" si="1"/>
        <v>8.7433265847367352</v>
      </c>
      <c r="E18" s="37">
        <f t="shared" ca="1" si="2"/>
        <v>1.1037564246140856</v>
      </c>
      <c r="F18" s="37">
        <f t="shared" ca="1" si="3"/>
        <v>192.48626896336577</v>
      </c>
      <c r="G18" s="37">
        <f t="shared" ca="1" si="4"/>
        <v>12.940649491639164</v>
      </c>
      <c r="H18" s="37">
        <f t="shared" ca="1" si="5"/>
        <v>206.53067487961903</v>
      </c>
      <c r="I18" s="37">
        <f t="shared" ca="1" si="6"/>
        <v>14.044405916253254</v>
      </c>
    </row>
    <row r="19" spans="1:9" x14ac:dyDescent="0.3">
      <c r="A19" s="58">
        <v>13</v>
      </c>
      <c r="B19" s="37">
        <f t="shared" ca="1" si="0"/>
        <v>0.49460642170232616</v>
      </c>
      <c r="C19" s="37">
        <f t="shared" ca="1" si="0"/>
        <v>0.82400364461623943</v>
      </c>
      <c r="D19" s="37">
        <f t="shared" ca="1" si="1"/>
        <v>10.498735235179968</v>
      </c>
      <c r="E19" s="37">
        <f t="shared" ca="1" si="2"/>
        <v>20.438729320061348</v>
      </c>
      <c r="F19" s="37">
        <f t="shared" ca="1" si="3"/>
        <v>202.98500419854574</v>
      </c>
      <c r="G19" s="37">
        <f t="shared" ca="1" si="4"/>
        <v>3.5456706810732896</v>
      </c>
      <c r="H19" s="37">
        <f t="shared" ca="1" si="5"/>
        <v>226.96940419968038</v>
      </c>
      <c r="I19" s="37">
        <f t="shared" ca="1" si="6"/>
        <v>23.984400001134645</v>
      </c>
    </row>
    <row r="20" spans="1:9" x14ac:dyDescent="0.3">
      <c r="A20" s="58">
        <v>14</v>
      </c>
      <c r="B20" s="37">
        <f t="shared" ca="1" si="0"/>
        <v>5.2355131209860795E-2</v>
      </c>
      <c r="C20" s="37">
        <f t="shared" ca="1" si="0"/>
        <v>0.32415896663247568</v>
      </c>
      <c r="D20" s="37">
        <f t="shared" ca="1" si="1"/>
        <v>0.82731473680312195</v>
      </c>
      <c r="E20" s="37">
        <f t="shared" ca="1" si="2"/>
        <v>4.6093810392169221</v>
      </c>
      <c r="F20" s="37">
        <f t="shared" ca="1" si="3"/>
        <v>203.81231893534886</v>
      </c>
      <c r="G20" s="37">
        <f t="shared" ca="1" si="4"/>
        <v>23.157085264331528</v>
      </c>
      <c r="H20" s="37">
        <f t="shared" ca="1" si="5"/>
        <v>231.5787852388973</v>
      </c>
      <c r="I20" s="37">
        <f t="shared" ca="1" si="6"/>
        <v>27.766466303548441</v>
      </c>
    </row>
    <row r="21" spans="1:9" x14ac:dyDescent="0.3">
      <c r="A21" s="58">
        <v>15</v>
      </c>
      <c r="B21" s="37">
        <f t="shared" ca="1" si="0"/>
        <v>0.33948373395841625</v>
      </c>
      <c r="C21" s="37">
        <f t="shared" ca="1" si="0"/>
        <v>0.40902570996382959</v>
      </c>
      <c r="D21" s="37">
        <f t="shared" ca="1" si="1"/>
        <v>6.3805158224946892</v>
      </c>
      <c r="E21" s="37">
        <f t="shared" ca="1" si="2"/>
        <v>6.1880325294019771</v>
      </c>
      <c r="F21" s="37">
        <f t="shared" ca="1" si="3"/>
        <v>210.19283475784354</v>
      </c>
      <c r="G21" s="37">
        <f t="shared" ca="1" si="4"/>
        <v>21.385950481053754</v>
      </c>
      <c r="H21" s="37">
        <f t="shared" ca="1" si="5"/>
        <v>237.76681776829926</v>
      </c>
      <c r="I21" s="37">
        <f t="shared" ca="1" si="6"/>
        <v>27.57398301045572</v>
      </c>
    </row>
    <row r="22" spans="1:9" x14ac:dyDescent="0.3">
      <c r="A22" s="58">
        <v>16</v>
      </c>
      <c r="B22" s="37">
        <f t="shared" ca="1" si="0"/>
        <v>0.78504825181964732</v>
      </c>
      <c r="C22" s="37">
        <f t="shared" ca="1" si="0"/>
        <v>0.3592866709952337</v>
      </c>
      <c r="D22" s="37">
        <f t="shared" ca="1" si="1"/>
        <v>23.651410817078833</v>
      </c>
      <c r="E22" s="37">
        <f t="shared" ca="1" si="2"/>
        <v>5.237331138091573</v>
      </c>
      <c r="F22" s="37">
        <f t="shared" ca="1" si="3"/>
        <v>233.84424557492238</v>
      </c>
      <c r="G22" s="37">
        <f t="shared" ca="1" si="4"/>
        <v>3.9225721933768796</v>
      </c>
      <c r="H22" s="37">
        <f t="shared" ca="1" si="5"/>
        <v>243.00414890639084</v>
      </c>
      <c r="I22" s="37">
        <f t="shared" ca="1" si="6"/>
        <v>9.1599033314684561</v>
      </c>
    </row>
    <row r="23" spans="1:9" x14ac:dyDescent="0.3">
      <c r="A23" s="58">
        <v>17</v>
      </c>
      <c r="B23" s="37">
        <f t="shared" ca="1" si="0"/>
        <v>0.1320308923758462</v>
      </c>
      <c r="C23" s="37">
        <f t="shared" ca="1" si="0"/>
        <v>0.62078679390399027</v>
      </c>
      <c r="D23" s="37">
        <f t="shared" ca="1" si="1"/>
        <v>2.1784485423060009</v>
      </c>
      <c r="E23" s="37">
        <f t="shared" ca="1" si="2"/>
        <v>11.407725682413306</v>
      </c>
      <c r="F23" s="37">
        <f t="shared" ca="1" si="3"/>
        <v>236.02269411722838</v>
      </c>
      <c r="G23" s="37">
        <f t="shared" ca="1" si="4"/>
        <v>6.9814547891624557</v>
      </c>
      <c r="H23" s="37">
        <f t="shared" ca="1" si="5"/>
        <v>254.41187458880415</v>
      </c>
      <c r="I23" s="37">
        <f t="shared" ca="1" si="6"/>
        <v>18.38918047157577</v>
      </c>
    </row>
    <row r="24" spans="1:9" x14ac:dyDescent="0.3">
      <c r="A24" s="58">
        <v>18</v>
      </c>
      <c r="B24" s="37">
        <f t="shared" ca="1" si="0"/>
        <v>5.8069611558345335E-2</v>
      </c>
      <c r="C24" s="37">
        <f t="shared" ca="1" si="0"/>
        <v>0.19288955619354708</v>
      </c>
      <c r="D24" s="37">
        <f t="shared" ca="1" si="1"/>
        <v>0.92036776548710386</v>
      </c>
      <c r="E24" s="37">
        <f t="shared" ca="1" si="2"/>
        <v>2.5211148566967241</v>
      </c>
      <c r="F24" s="37">
        <f t="shared" ca="1" si="3"/>
        <v>236.94306188271548</v>
      </c>
      <c r="G24" s="37">
        <f t="shared" ca="1" si="4"/>
        <v>17.46881270608867</v>
      </c>
      <c r="H24" s="37">
        <f t="shared" ca="1" si="5"/>
        <v>256.93298944550088</v>
      </c>
      <c r="I24" s="37">
        <f t="shared" ca="1" si="6"/>
        <v>19.989927562785397</v>
      </c>
    </row>
    <row r="25" spans="1:9" x14ac:dyDescent="0.3">
      <c r="A25" s="58">
        <v>19</v>
      </c>
      <c r="B25" s="37">
        <f t="shared" ca="1" si="0"/>
        <v>0.71459589586714312</v>
      </c>
      <c r="C25" s="37">
        <f t="shared" ca="1" si="0"/>
        <v>0.9286495888937415</v>
      </c>
      <c r="D25" s="37">
        <f t="shared" ca="1" si="1"/>
        <v>19.289987596299778</v>
      </c>
      <c r="E25" s="37">
        <f t="shared" ca="1" si="2"/>
        <v>31.060613802944275</v>
      </c>
      <c r="F25" s="37">
        <f t="shared" ca="1" si="3"/>
        <v>256.23304947901528</v>
      </c>
      <c r="G25" s="37">
        <f t="shared" ca="1" si="4"/>
        <v>0.69993996648560142</v>
      </c>
      <c r="H25" s="37">
        <f t="shared" ca="1" si="5"/>
        <v>287.99360324844514</v>
      </c>
      <c r="I25" s="37">
        <f t="shared" ca="1" si="6"/>
        <v>31.760553769429862</v>
      </c>
    </row>
    <row r="26" spans="1:9" x14ac:dyDescent="0.3">
      <c r="A26" s="58">
        <v>20</v>
      </c>
      <c r="B26" s="37">
        <f t="shared" ca="1" si="0"/>
        <v>0.70472880818207151</v>
      </c>
      <c r="C26" s="37">
        <f t="shared" ca="1" si="0"/>
        <v>0.99312601539133982</v>
      </c>
      <c r="D26" s="37">
        <f t="shared" ca="1" si="1"/>
        <v>18.767093086714929</v>
      </c>
      <c r="E26" s="37">
        <f t="shared" ca="1" si="2"/>
        <v>58.588368701447308</v>
      </c>
      <c r="F26" s="37">
        <f t="shared" ca="1" si="3"/>
        <v>275.00014256573019</v>
      </c>
      <c r="G26" s="37">
        <f t="shared" ca="1" si="4"/>
        <v>12.993460682714954</v>
      </c>
      <c r="H26" s="37">
        <f t="shared" ca="1" si="5"/>
        <v>346.58197194989248</v>
      </c>
      <c r="I26" s="37">
        <f t="shared" ca="1" si="6"/>
        <v>71.58182938416229</v>
      </c>
    </row>
    <row r="27" spans="1:9" x14ac:dyDescent="0.3">
      <c r="D27" s="37">
        <f ca="1">AVERAGE(D7:D26)</f>
        <v>13.750007128286509</v>
      </c>
      <c r="E27" s="37">
        <f ca="1">AVERAGE(E7:E26)</f>
        <v>12.246663564887502</v>
      </c>
      <c r="G27" s="37">
        <f ca="1">AVERAGE(G7:G26)</f>
        <v>9.3242782486077296</v>
      </c>
      <c r="I27" s="37">
        <f ca="1">AVERAGE(I7:I26)</f>
        <v>21.570941813495235</v>
      </c>
    </row>
    <row r="28" spans="1:9" x14ac:dyDescent="0.3">
      <c r="D28" s="37">
        <f ca="1">1/D27</f>
        <v>7.272723502395867E-2</v>
      </c>
      <c r="E28" s="37">
        <f ca="1">1/E27</f>
        <v>8.165489275520782E-2</v>
      </c>
      <c r="G28" s="37">
        <f ca="1">SUM(G7:G26)/H26</f>
        <v>0.53807058665796959</v>
      </c>
      <c r="I28" s="37">
        <f ca="1">SUM(I7:I26)/H26</f>
        <v>1.2447815269868614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5361" r:id="rId3" name="CommandButton1">
          <controlPr defaultSize="0" autoLine="0" r:id="rId4">
            <anchor moveWithCells="1">
              <from>
                <xdr:col>9</xdr:col>
                <xdr:colOff>205740</xdr:colOff>
                <xdr:row>11</xdr:row>
                <xdr:rowOff>99060</xdr:rowOff>
              </from>
              <to>
                <xdr:col>9</xdr:col>
                <xdr:colOff>541020</xdr:colOff>
                <xdr:row>18</xdr:row>
                <xdr:rowOff>91440</xdr:rowOff>
              </to>
            </anchor>
          </controlPr>
        </control>
      </mc:Choice>
      <mc:Fallback>
        <control shapeId="15361" r:id="rId3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3"/>
  <dimension ref="A1:R37"/>
  <sheetViews>
    <sheetView workbookViewId="0"/>
  </sheetViews>
  <sheetFormatPr defaultRowHeight="14.4" x14ac:dyDescent="0.3"/>
  <sheetData>
    <row r="1" spans="1:18" ht="21" x14ac:dyDescent="0.35">
      <c r="D1" s="89" t="s">
        <v>118</v>
      </c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R1" s="47" t="s">
        <v>131</v>
      </c>
    </row>
    <row r="2" spans="1:18" ht="18" x14ac:dyDescent="0.35">
      <c r="D2" s="44" t="s">
        <v>114</v>
      </c>
      <c r="E2" s="87" t="s">
        <v>136</v>
      </c>
      <c r="F2" s="87"/>
      <c r="G2" s="87"/>
      <c r="H2" s="87"/>
      <c r="I2" s="87"/>
      <c r="J2" s="87"/>
      <c r="K2" s="87"/>
      <c r="L2" s="87"/>
      <c r="M2" s="87"/>
      <c r="N2" s="87"/>
      <c r="O2" s="87"/>
    </row>
    <row r="3" spans="1:18" ht="18" x14ac:dyDescent="0.35">
      <c r="D3" s="44" t="s">
        <v>115</v>
      </c>
      <c r="E3" s="87" t="s">
        <v>137</v>
      </c>
      <c r="F3" s="87"/>
      <c r="G3" s="87"/>
      <c r="H3" s="87"/>
      <c r="I3" s="87"/>
      <c r="J3" s="87"/>
      <c r="K3" s="87"/>
      <c r="L3" s="87"/>
      <c r="M3" s="87"/>
      <c r="N3" s="87"/>
      <c r="O3" s="87"/>
    </row>
    <row r="4" spans="1:18" ht="18" x14ac:dyDescent="0.35">
      <c r="D4" s="45" t="s">
        <v>116</v>
      </c>
      <c r="E4" s="88" t="s">
        <v>117</v>
      </c>
      <c r="F4" s="88"/>
      <c r="G4" s="88"/>
      <c r="H4" s="88"/>
      <c r="I4" s="88"/>
      <c r="J4" s="88"/>
      <c r="K4" s="88"/>
      <c r="L4" s="88"/>
      <c r="M4" s="88"/>
      <c r="N4" s="88"/>
      <c r="O4" s="88"/>
    </row>
    <row r="5" spans="1:18" ht="20.399999999999999" x14ac:dyDescent="0.35">
      <c r="D5" s="45" t="s">
        <v>119</v>
      </c>
      <c r="E5" s="87" t="s">
        <v>125</v>
      </c>
      <c r="F5" s="87"/>
      <c r="G5" s="87"/>
      <c r="H5" s="87"/>
      <c r="I5" s="87"/>
      <c r="J5" s="87"/>
      <c r="K5" s="87"/>
      <c r="L5" s="87"/>
      <c r="M5" s="87"/>
      <c r="N5" s="87"/>
      <c r="O5" s="87"/>
    </row>
    <row r="6" spans="1:18" ht="20.399999999999999" x14ac:dyDescent="0.35">
      <c r="D6" s="45" t="s">
        <v>120</v>
      </c>
      <c r="E6" s="87" t="s">
        <v>126</v>
      </c>
      <c r="F6" s="87"/>
      <c r="G6" s="87"/>
      <c r="H6" s="87"/>
      <c r="I6" s="87"/>
      <c r="J6" s="87"/>
      <c r="K6" s="87"/>
      <c r="L6" s="87"/>
      <c r="M6" s="87"/>
      <c r="N6" s="87"/>
      <c r="O6" s="87"/>
    </row>
    <row r="7" spans="1:18" ht="20.399999999999999" x14ac:dyDescent="0.35">
      <c r="D7" s="45" t="s">
        <v>121</v>
      </c>
      <c r="E7" s="90" t="s">
        <v>127</v>
      </c>
      <c r="F7" s="91"/>
      <c r="G7" s="91"/>
      <c r="H7" s="91"/>
      <c r="I7" s="91"/>
      <c r="J7" s="91"/>
      <c r="K7" s="91"/>
      <c r="L7" s="91"/>
      <c r="M7" s="91"/>
      <c r="N7" s="91"/>
      <c r="O7" s="92"/>
    </row>
    <row r="8" spans="1:18" ht="20.399999999999999" x14ac:dyDescent="0.35">
      <c r="D8" s="45" t="s">
        <v>122</v>
      </c>
      <c r="E8" s="87" t="s">
        <v>128</v>
      </c>
      <c r="F8" s="87"/>
      <c r="G8" s="87"/>
      <c r="H8" s="87"/>
      <c r="I8" s="87"/>
      <c r="J8" s="87"/>
      <c r="K8" s="87"/>
      <c r="L8" s="87"/>
      <c r="M8" s="87"/>
      <c r="N8" s="87"/>
      <c r="O8" s="87"/>
    </row>
    <row r="9" spans="1:18" ht="20.399999999999999" x14ac:dyDescent="0.35">
      <c r="D9" s="45" t="s">
        <v>123</v>
      </c>
      <c r="E9" s="87" t="s">
        <v>129</v>
      </c>
      <c r="F9" s="87"/>
      <c r="G9" s="87"/>
      <c r="H9" s="87"/>
      <c r="I9" s="87"/>
      <c r="J9" s="87"/>
      <c r="K9" s="87"/>
      <c r="L9" s="87"/>
      <c r="M9" s="87"/>
      <c r="N9" s="87"/>
      <c r="O9" s="87"/>
    </row>
    <row r="10" spans="1:18" ht="20.399999999999999" x14ac:dyDescent="0.35">
      <c r="D10" s="45" t="s">
        <v>124</v>
      </c>
      <c r="E10" s="87" t="s">
        <v>130</v>
      </c>
      <c r="F10" s="87"/>
      <c r="G10" s="87"/>
      <c r="H10" s="87"/>
      <c r="I10" s="87"/>
      <c r="J10" s="87"/>
      <c r="K10" s="87"/>
      <c r="L10" s="87"/>
      <c r="M10" s="87"/>
      <c r="N10" s="87"/>
      <c r="O10" s="87"/>
    </row>
    <row r="12" spans="1:18" ht="19.8" x14ac:dyDescent="0.3">
      <c r="B12" s="48" t="s">
        <v>132</v>
      </c>
      <c r="C12" s="50">
        <v>6.5000000000000002E-2</v>
      </c>
      <c r="D12" s="51" t="s">
        <v>134</v>
      </c>
      <c r="E12" s="48">
        <f>1/C12</f>
        <v>15.384615384615383</v>
      </c>
    </row>
    <row r="13" spans="1:18" ht="19.8" x14ac:dyDescent="0.3">
      <c r="B13" s="49" t="s">
        <v>133</v>
      </c>
      <c r="C13" s="50">
        <v>7.4999999999999997E-2</v>
      </c>
      <c r="D13" s="51" t="s">
        <v>134</v>
      </c>
      <c r="E13" s="48">
        <f>1/C13</f>
        <v>13.333333333333334</v>
      </c>
    </row>
    <row r="15" spans="1:18" ht="20.399999999999999" x14ac:dyDescent="0.3">
      <c r="A15" s="56" t="s">
        <v>19</v>
      </c>
      <c r="B15" s="56" t="s">
        <v>104</v>
      </c>
      <c r="C15" s="56" t="s">
        <v>105</v>
      </c>
      <c r="D15" s="56" t="s">
        <v>119</v>
      </c>
      <c r="E15" s="56" t="s">
        <v>120</v>
      </c>
      <c r="F15" s="56" t="s">
        <v>123</v>
      </c>
      <c r="G15" s="56" t="s">
        <v>121</v>
      </c>
      <c r="H15" s="56" t="s">
        <v>124</v>
      </c>
      <c r="I15" s="56" t="s">
        <v>122</v>
      </c>
    </row>
    <row r="16" spans="1:18" x14ac:dyDescent="0.3">
      <c r="A16" s="58">
        <v>1</v>
      </c>
      <c r="B16" s="37">
        <f ca="1">RAND()</f>
        <v>0.70843312730050989</v>
      </c>
      <c r="C16" s="37">
        <f ca="1">RAND()</f>
        <v>4.6638238778831664E-2</v>
      </c>
      <c r="D16" s="37">
        <f ca="1">(1/$C$12)*LN(1/(1-B16))</f>
        <v>18.961321393602439</v>
      </c>
      <c r="E16" s="37">
        <f ca="1">(1/$C$13)*LN(1/(1-C16))</f>
        <v>0.63681126424234336</v>
      </c>
      <c r="F16" s="37">
        <f ca="1">D16</f>
        <v>18.961321393602439</v>
      </c>
      <c r="G16" s="37">
        <v>0</v>
      </c>
      <c r="H16" s="37">
        <f ca="1">F16+G16+E16</f>
        <v>19.598132657844783</v>
      </c>
      <c r="I16" s="37">
        <f ca="1">H16-F16</f>
        <v>0.63681126424234336</v>
      </c>
    </row>
    <row r="17" spans="1:9" x14ac:dyDescent="0.3">
      <c r="A17" s="58">
        <v>2</v>
      </c>
      <c r="B17" s="37">
        <f t="shared" ref="B17:C35" ca="1" si="0">RAND()</f>
        <v>0.31075491099282548</v>
      </c>
      <c r="C17" s="37">
        <f t="shared" ca="1" si="0"/>
        <v>0.34778809534253341</v>
      </c>
      <c r="D17" s="37">
        <f ca="1">(1/$C$12)*LN(1/(1-B17))</f>
        <v>5.7255131419880447</v>
      </c>
      <c r="E17" s="37">
        <f ca="1">(1/$C$13)*LN(1/(1-C17))</f>
        <v>5.6984768362068188</v>
      </c>
      <c r="F17" s="37">
        <f ca="1">F16+D17</f>
        <v>24.686834535590485</v>
      </c>
      <c r="G17" s="37">
        <f ca="1">IF(F17&gt;H16,0,H16-F17)</f>
        <v>0</v>
      </c>
      <c r="H17" s="37">
        <f ca="1">F17+G17+E17</f>
        <v>30.385311371797304</v>
      </c>
      <c r="I17" s="37">
        <f ca="1">H17-F17</f>
        <v>5.6984768362068188</v>
      </c>
    </row>
    <row r="18" spans="1:9" x14ac:dyDescent="0.3">
      <c r="A18" s="58">
        <v>3</v>
      </c>
      <c r="B18" s="37">
        <f t="shared" ca="1" si="0"/>
        <v>0.6592879499828741</v>
      </c>
      <c r="C18" s="37">
        <f t="shared" ca="1" si="0"/>
        <v>0.38882774043342561</v>
      </c>
      <c r="D18" s="37">
        <f t="shared" ref="D18:D35" ca="1" si="1">(1/$C$12)*LN(1/(1-B18))</f>
        <v>16.564885946632867</v>
      </c>
      <c r="E18" s="37">
        <f t="shared" ref="E18:E35" ca="1" si="2">(1/$C$13)*LN(1/(1-C18))</f>
        <v>6.5650190532617749</v>
      </c>
      <c r="F18" s="37">
        <f t="shared" ref="F18:F35" ca="1" si="3">F17+D18</f>
        <v>41.251720482223348</v>
      </c>
      <c r="G18" s="37">
        <f t="shared" ref="G18:G35" ca="1" si="4">IF(F18&gt;H17,0,H17-F18)</f>
        <v>0</v>
      </c>
      <c r="H18" s="37">
        <f t="shared" ref="H18:H35" ca="1" si="5">F18+G18+E18</f>
        <v>47.816739535485127</v>
      </c>
      <c r="I18" s="37">
        <f t="shared" ref="I18:I35" ca="1" si="6">H18-F18</f>
        <v>6.5650190532617785</v>
      </c>
    </row>
    <row r="19" spans="1:9" x14ac:dyDescent="0.3">
      <c r="A19" s="58">
        <v>4</v>
      </c>
      <c r="B19" s="37">
        <f t="shared" ca="1" si="0"/>
        <v>0.33692773618935945</v>
      </c>
      <c r="C19" s="37">
        <f t="shared" ca="1" si="0"/>
        <v>0.60928292468088086</v>
      </c>
      <c r="D19" s="37">
        <f t="shared" ca="1" si="1"/>
        <v>6.3210969160971624</v>
      </c>
      <c r="E19" s="37">
        <f t="shared" ca="1" si="2"/>
        <v>12.5302876460057</v>
      </c>
      <c r="F19" s="37">
        <f t="shared" ca="1" si="3"/>
        <v>47.57281739832051</v>
      </c>
      <c r="G19" s="37">
        <f t="shared" ca="1" si="4"/>
        <v>0.24392213716461697</v>
      </c>
      <c r="H19" s="37">
        <f t="shared" ca="1" si="5"/>
        <v>60.34702718149083</v>
      </c>
      <c r="I19" s="37">
        <f t="shared" ca="1" si="6"/>
        <v>12.774209783170321</v>
      </c>
    </row>
    <row r="20" spans="1:9" x14ac:dyDescent="0.3">
      <c r="A20" s="58">
        <v>5</v>
      </c>
      <c r="B20" s="37">
        <f t="shared" ca="1" si="0"/>
        <v>0.86906136536819933</v>
      </c>
      <c r="C20" s="37">
        <f t="shared" ca="1" si="0"/>
        <v>0.90211068529882321</v>
      </c>
      <c r="D20" s="37">
        <f t="shared" ca="1" si="1"/>
        <v>31.277330822422954</v>
      </c>
      <c r="E20" s="37">
        <f t="shared" ca="1" si="2"/>
        <v>30.985571739151599</v>
      </c>
      <c r="F20" s="37">
        <f t="shared" ca="1" si="3"/>
        <v>78.850148220743463</v>
      </c>
      <c r="G20" s="37">
        <f t="shared" ca="1" si="4"/>
        <v>0</v>
      </c>
      <c r="H20" s="37">
        <f t="shared" ca="1" si="5"/>
        <v>109.83571995989506</v>
      </c>
      <c r="I20" s="37">
        <f t="shared" ca="1" si="6"/>
        <v>30.985571739151595</v>
      </c>
    </row>
    <row r="21" spans="1:9" x14ac:dyDescent="0.3">
      <c r="A21" s="58">
        <v>6</v>
      </c>
      <c r="B21" s="37">
        <f t="shared" ca="1" si="0"/>
        <v>0.55752267584217796</v>
      </c>
      <c r="C21" s="37">
        <f t="shared" ca="1" si="0"/>
        <v>0.54804158892884114</v>
      </c>
      <c r="D21" s="37">
        <f t="shared" ca="1" si="1"/>
        <v>12.544093241358381</v>
      </c>
      <c r="E21" s="37">
        <f t="shared" ca="1" si="2"/>
        <v>10.588868190502463</v>
      </c>
      <c r="F21" s="37">
        <f t="shared" ca="1" si="3"/>
        <v>91.394241462101846</v>
      </c>
      <c r="G21" s="37">
        <f t="shared" ca="1" si="4"/>
        <v>18.441478497793213</v>
      </c>
      <c r="H21" s="37">
        <f t="shared" ca="1" si="5"/>
        <v>120.42458815039753</v>
      </c>
      <c r="I21" s="37">
        <f t="shared" ca="1" si="6"/>
        <v>29.03034668829568</v>
      </c>
    </row>
    <row r="22" spans="1:9" x14ac:dyDescent="0.3">
      <c r="A22" s="58">
        <v>7</v>
      </c>
      <c r="B22" s="37">
        <f t="shared" ca="1" si="0"/>
        <v>0.50874498168841775</v>
      </c>
      <c r="C22" s="37">
        <f t="shared" ca="1" si="0"/>
        <v>0.79493547709056811</v>
      </c>
      <c r="D22" s="37">
        <f t="shared" ca="1" si="1"/>
        <v>10.935260007050905</v>
      </c>
      <c r="E22" s="37">
        <f t="shared" ca="1" si="2"/>
        <v>21.125741379548813</v>
      </c>
      <c r="F22" s="37">
        <f t="shared" ca="1" si="3"/>
        <v>102.32950146915275</v>
      </c>
      <c r="G22" s="37">
        <f t="shared" ca="1" si="4"/>
        <v>18.09508668124478</v>
      </c>
      <c r="H22" s="37">
        <f t="shared" ca="1" si="5"/>
        <v>141.55032952994634</v>
      </c>
      <c r="I22" s="37">
        <f t="shared" ca="1" si="6"/>
        <v>39.220828060793593</v>
      </c>
    </row>
    <row r="23" spans="1:9" x14ac:dyDescent="0.3">
      <c r="A23" s="58">
        <v>8</v>
      </c>
      <c r="B23" s="37">
        <f t="shared" ca="1" si="0"/>
        <v>0.8825086758232209</v>
      </c>
      <c r="C23" s="37">
        <f t="shared" ca="1" si="0"/>
        <v>0.65409408501315369</v>
      </c>
      <c r="D23" s="37">
        <f t="shared" ca="1" si="1"/>
        <v>32.944473614113271</v>
      </c>
      <c r="E23" s="37">
        <f t="shared" ca="1" si="2"/>
        <v>14.154512838736515</v>
      </c>
      <c r="F23" s="37">
        <f t="shared" ca="1" si="3"/>
        <v>135.27397508326601</v>
      </c>
      <c r="G23" s="37">
        <f t="shared" ca="1" si="4"/>
        <v>6.2763544466803296</v>
      </c>
      <c r="H23" s="37">
        <f t="shared" ca="1" si="5"/>
        <v>155.70484236868285</v>
      </c>
      <c r="I23" s="37">
        <f t="shared" ca="1" si="6"/>
        <v>20.430867285416838</v>
      </c>
    </row>
    <row r="24" spans="1:9" x14ac:dyDescent="0.3">
      <c r="A24" s="58">
        <v>9</v>
      </c>
      <c r="B24" s="37">
        <f t="shared" ca="1" si="0"/>
        <v>0.43080879504054048</v>
      </c>
      <c r="C24" s="37">
        <f t="shared" ca="1" si="0"/>
        <v>0.75134101526956687</v>
      </c>
      <c r="D24" s="37">
        <f t="shared" ca="1" si="1"/>
        <v>8.6698286841220416</v>
      </c>
      <c r="E24" s="37">
        <f t="shared" ca="1" si="2"/>
        <v>18.555638139048398</v>
      </c>
      <c r="F24" s="37">
        <f t="shared" ca="1" si="3"/>
        <v>143.94380376738806</v>
      </c>
      <c r="G24" s="37">
        <f t="shared" ca="1" si="4"/>
        <v>11.761038601294786</v>
      </c>
      <c r="H24" s="37">
        <f t="shared" ca="1" si="5"/>
        <v>174.26048050773124</v>
      </c>
      <c r="I24" s="37">
        <f t="shared" ca="1" si="6"/>
        <v>30.316676740343183</v>
      </c>
    </row>
    <row r="25" spans="1:9" x14ac:dyDescent="0.3">
      <c r="A25" s="58">
        <v>10</v>
      </c>
      <c r="B25" s="37">
        <f t="shared" ca="1" si="0"/>
        <v>8.4603807886507454E-2</v>
      </c>
      <c r="C25" s="37">
        <f t="shared" ca="1" si="0"/>
        <v>0.62526108195642238</v>
      </c>
      <c r="D25" s="37">
        <f t="shared" ca="1" si="1"/>
        <v>1.3599740088823253</v>
      </c>
      <c r="E25" s="37">
        <f t="shared" ca="1" si="2"/>
        <v>13.087009520464935</v>
      </c>
      <c r="F25" s="37">
        <f t="shared" ca="1" si="3"/>
        <v>145.30377777627038</v>
      </c>
      <c r="G25" s="37">
        <f t="shared" ca="1" si="4"/>
        <v>28.956702731460865</v>
      </c>
      <c r="H25" s="37">
        <f t="shared" ca="1" si="5"/>
        <v>187.34749002819618</v>
      </c>
      <c r="I25" s="37">
        <f t="shared" ca="1" si="6"/>
        <v>42.043712251925797</v>
      </c>
    </row>
    <row r="26" spans="1:9" x14ac:dyDescent="0.3">
      <c r="A26" s="58">
        <v>11</v>
      </c>
      <c r="B26" s="37">
        <f t="shared" ca="1" si="0"/>
        <v>0.14840927779367596</v>
      </c>
      <c r="C26" s="37">
        <f t="shared" ca="1" si="0"/>
        <v>5.8988463271970271E-2</v>
      </c>
      <c r="D26" s="37">
        <f t="shared" ca="1" si="1"/>
        <v>2.4715267779410031</v>
      </c>
      <c r="E26" s="37">
        <f t="shared" ca="1" si="2"/>
        <v>0.81066505866155014</v>
      </c>
      <c r="F26" s="37">
        <f t="shared" ca="1" si="3"/>
        <v>147.77530455421137</v>
      </c>
      <c r="G26" s="37">
        <f t="shared" ca="1" si="4"/>
        <v>39.572185473984803</v>
      </c>
      <c r="H26" s="37">
        <f t="shared" ca="1" si="5"/>
        <v>188.15815508685773</v>
      </c>
      <c r="I26" s="37">
        <f t="shared" ca="1" si="6"/>
        <v>40.382850532646358</v>
      </c>
    </row>
    <row r="27" spans="1:9" x14ac:dyDescent="0.3">
      <c r="A27" s="58">
        <v>12</v>
      </c>
      <c r="B27" s="37">
        <f t="shared" ca="1" si="0"/>
        <v>0.42076978254760466</v>
      </c>
      <c r="C27" s="37">
        <f t="shared" ca="1" si="0"/>
        <v>0.43647168476140319</v>
      </c>
      <c r="D27" s="37">
        <f t="shared" ca="1" si="1"/>
        <v>8.4008502808556074</v>
      </c>
      <c r="E27" s="37">
        <f t="shared" ca="1" si="2"/>
        <v>7.6471693052548524</v>
      </c>
      <c r="F27" s="37">
        <f t="shared" ca="1" si="3"/>
        <v>156.176154835067</v>
      </c>
      <c r="G27" s="37">
        <f t="shared" ca="1" si="4"/>
        <v>31.982000251790737</v>
      </c>
      <c r="H27" s="37">
        <f t="shared" ca="1" si="5"/>
        <v>195.8053243921126</v>
      </c>
      <c r="I27" s="37">
        <f t="shared" ca="1" si="6"/>
        <v>39.6291695570456</v>
      </c>
    </row>
    <row r="28" spans="1:9" x14ac:dyDescent="0.3">
      <c r="A28" s="58">
        <v>13</v>
      </c>
      <c r="B28" s="37">
        <f t="shared" ca="1" si="0"/>
        <v>0.68006883072006041</v>
      </c>
      <c r="C28" s="37">
        <f t="shared" ca="1" si="0"/>
        <v>0.11317659453973805</v>
      </c>
      <c r="D28" s="37">
        <f t="shared" ca="1" si="1"/>
        <v>17.533067728077171</v>
      </c>
      <c r="E28" s="37">
        <f t="shared" ca="1" si="2"/>
        <v>1.6014587789538346</v>
      </c>
      <c r="F28" s="37">
        <f t="shared" ca="1" si="3"/>
        <v>173.70922256314418</v>
      </c>
      <c r="G28" s="37">
        <f t="shared" ca="1" si="4"/>
        <v>22.096101828968415</v>
      </c>
      <c r="H28" s="37">
        <f t="shared" ca="1" si="5"/>
        <v>197.40678317106642</v>
      </c>
      <c r="I28" s="37">
        <f t="shared" ca="1" si="6"/>
        <v>23.697560607922242</v>
      </c>
    </row>
    <row r="29" spans="1:9" x14ac:dyDescent="0.3">
      <c r="A29" s="58">
        <v>14</v>
      </c>
      <c r="B29" s="37">
        <f t="shared" ca="1" si="0"/>
        <v>0.64146619178542919</v>
      </c>
      <c r="C29" s="37">
        <f t="shared" ca="1" si="0"/>
        <v>0.90745596524147398</v>
      </c>
      <c r="D29" s="37">
        <f t="shared" ca="1" si="1"/>
        <v>15.780497211472476</v>
      </c>
      <c r="E29" s="37">
        <f t="shared" ca="1" si="2"/>
        <v>31.734275950623637</v>
      </c>
      <c r="F29" s="37">
        <f t="shared" ca="1" si="3"/>
        <v>189.48971977461665</v>
      </c>
      <c r="G29" s="37">
        <f t="shared" ca="1" si="4"/>
        <v>7.9170633964497767</v>
      </c>
      <c r="H29" s="37">
        <f t="shared" ca="1" si="5"/>
        <v>229.14105912169006</v>
      </c>
      <c r="I29" s="37">
        <f t="shared" ca="1" si="6"/>
        <v>39.651339347073417</v>
      </c>
    </row>
    <row r="30" spans="1:9" x14ac:dyDescent="0.3">
      <c r="A30" s="58">
        <v>15</v>
      </c>
      <c r="B30" s="37">
        <f t="shared" ca="1" si="0"/>
        <v>0.10343612711490546</v>
      </c>
      <c r="C30" s="37">
        <f t="shared" ca="1" si="0"/>
        <v>0.3625945769384683</v>
      </c>
      <c r="D30" s="37">
        <f t="shared" ca="1" si="1"/>
        <v>1.6797806389402645</v>
      </c>
      <c r="E30" s="37">
        <f t="shared" ca="1" si="2"/>
        <v>6.0046582524973893</v>
      </c>
      <c r="F30" s="37">
        <f t="shared" ca="1" si="3"/>
        <v>191.1695004135569</v>
      </c>
      <c r="G30" s="37">
        <f t="shared" ca="1" si="4"/>
        <v>37.971558708133159</v>
      </c>
      <c r="H30" s="37">
        <f t="shared" ca="1" si="5"/>
        <v>235.14571737418746</v>
      </c>
      <c r="I30" s="37">
        <f t="shared" ca="1" si="6"/>
        <v>43.976216960630552</v>
      </c>
    </row>
    <row r="31" spans="1:9" x14ac:dyDescent="0.3">
      <c r="A31" s="58">
        <v>16</v>
      </c>
      <c r="B31" s="37">
        <f t="shared" ca="1" si="0"/>
        <v>0.18058865955921977</v>
      </c>
      <c r="C31" s="37">
        <f t="shared" ca="1" si="0"/>
        <v>0.78222660982894432</v>
      </c>
      <c r="D31" s="37">
        <f t="shared" ca="1" si="1"/>
        <v>3.064139600500428</v>
      </c>
      <c r="E31" s="37">
        <f t="shared" ca="1" si="2"/>
        <v>20.324003352939659</v>
      </c>
      <c r="F31" s="37">
        <f t="shared" ca="1" si="3"/>
        <v>194.23364001405733</v>
      </c>
      <c r="G31" s="37">
        <f t="shared" ca="1" si="4"/>
        <v>40.912077360130127</v>
      </c>
      <c r="H31" s="37">
        <f t="shared" ca="1" si="5"/>
        <v>255.46972072712711</v>
      </c>
      <c r="I31" s="37">
        <f t="shared" ca="1" si="6"/>
        <v>61.236080713069782</v>
      </c>
    </row>
    <row r="32" spans="1:9" x14ac:dyDescent="0.3">
      <c r="A32" s="58">
        <v>17</v>
      </c>
      <c r="B32" s="37">
        <f t="shared" ca="1" si="0"/>
        <v>0.42242664492146098</v>
      </c>
      <c r="C32" s="37">
        <f t="shared" ca="1" si="0"/>
        <v>0.71425175541491626</v>
      </c>
      <c r="D32" s="37">
        <f t="shared" ca="1" si="1"/>
        <v>8.4449203518731046</v>
      </c>
      <c r="E32" s="37">
        <f t="shared" ca="1" si="2"/>
        <v>16.701921593471937</v>
      </c>
      <c r="F32" s="37">
        <f t="shared" ca="1" si="3"/>
        <v>202.67856036593042</v>
      </c>
      <c r="G32" s="37">
        <f t="shared" ca="1" si="4"/>
        <v>52.791160361196688</v>
      </c>
      <c r="H32" s="37">
        <f t="shared" ca="1" si="5"/>
        <v>272.17164232059906</v>
      </c>
      <c r="I32" s="37">
        <f t="shared" ca="1" si="6"/>
        <v>69.493081954668639</v>
      </c>
    </row>
    <row r="33" spans="1:9" x14ac:dyDescent="0.3">
      <c r="A33" s="58">
        <v>18</v>
      </c>
      <c r="B33" s="37">
        <f t="shared" ca="1" si="0"/>
        <v>1.6734297504184981E-2</v>
      </c>
      <c r="C33" s="37">
        <f t="shared" ca="1" si="0"/>
        <v>0.74430532769139579</v>
      </c>
      <c r="D33" s="37">
        <f t="shared" ca="1" si="1"/>
        <v>0.25962919699285975</v>
      </c>
      <c r="E33" s="37">
        <f t="shared" ca="1" si="2"/>
        <v>18.183616434845689</v>
      </c>
      <c r="F33" s="37">
        <f t="shared" ca="1" si="3"/>
        <v>202.93818956292327</v>
      </c>
      <c r="G33" s="37">
        <f t="shared" ca="1" si="4"/>
        <v>69.233452757675792</v>
      </c>
      <c r="H33" s="37">
        <f t="shared" ca="1" si="5"/>
        <v>290.35525875544477</v>
      </c>
      <c r="I33" s="37">
        <f t="shared" ca="1" si="6"/>
        <v>87.417069192521495</v>
      </c>
    </row>
    <row r="34" spans="1:9" x14ac:dyDescent="0.3">
      <c r="A34" s="58">
        <v>19</v>
      </c>
      <c r="B34" s="37">
        <f t="shared" ca="1" si="0"/>
        <v>0.79486517852852756</v>
      </c>
      <c r="C34" s="37">
        <f t="shared" ca="1" si="0"/>
        <v>0.42733492621172642</v>
      </c>
      <c r="D34" s="37">
        <f t="shared" ca="1" si="1"/>
        <v>24.370582312254662</v>
      </c>
      <c r="E34" s="37">
        <f t="shared" ca="1" si="2"/>
        <v>7.4327232882732819</v>
      </c>
      <c r="F34" s="37">
        <f t="shared" ca="1" si="3"/>
        <v>227.30877187517794</v>
      </c>
      <c r="G34" s="37">
        <f t="shared" ca="1" si="4"/>
        <v>63.046486880266826</v>
      </c>
      <c r="H34" s="37">
        <f t="shared" ca="1" si="5"/>
        <v>297.78798204371805</v>
      </c>
      <c r="I34" s="37">
        <f t="shared" ca="1" si="6"/>
        <v>70.479210168540106</v>
      </c>
    </row>
    <row r="35" spans="1:9" x14ac:dyDescent="0.3">
      <c r="A35" s="58">
        <v>20</v>
      </c>
      <c r="B35" s="37">
        <f t="shared" ca="1" si="0"/>
        <v>0.86634588483660568</v>
      </c>
      <c r="C35" s="37">
        <f t="shared" ca="1" si="0"/>
        <v>0.74572637188410285</v>
      </c>
      <c r="D35" s="37">
        <f t="shared" ca="1" si="1"/>
        <v>30.961539173437568</v>
      </c>
      <c r="E35" s="37">
        <f t="shared" ca="1" si="2"/>
        <v>18.257924210162713</v>
      </c>
      <c r="F35" s="37">
        <f t="shared" ca="1" si="3"/>
        <v>258.2703110486155</v>
      </c>
      <c r="G35" s="37">
        <f t="shared" ca="1" si="4"/>
        <v>39.517670995102549</v>
      </c>
      <c r="H35" s="37">
        <f t="shared" ca="1" si="5"/>
        <v>316.04590625388073</v>
      </c>
      <c r="I35" s="37">
        <f t="shared" ca="1" si="6"/>
        <v>57.775595205265233</v>
      </c>
    </row>
    <row r="36" spans="1:9" x14ac:dyDescent="0.3">
      <c r="D36" s="37">
        <f ca="1">AVERAGE(D16:D35)</f>
        <v>12.913515552430775</v>
      </c>
      <c r="E36" s="37">
        <f ca="1">AVERAGE(E16:E35)</f>
        <v>13.131317641642699</v>
      </c>
      <c r="G36" s="37">
        <f ca="1">AVERAGE(G16:G35)</f>
        <v>24.44071705546687</v>
      </c>
      <c r="I36" s="37">
        <f ca="1">AVERAGE(AVERAGE(I16:I35))</f>
        <v>37.572034697109565</v>
      </c>
    </row>
    <row r="37" spans="1:9" x14ac:dyDescent="0.3">
      <c r="D37" s="37">
        <f ca="1">1/D36</f>
        <v>7.7438246458902127E-2</v>
      </c>
      <c r="E37" s="37">
        <f ca="1">1/E36</f>
        <v>7.6153819996612485E-2</v>
      </c>
      <c r="G37" s="37">
        <f ca="1">SUM(G16:G35)/H35</f>
        <v>1.5466561389871989</v>
      </c>
      <c r="I37" s="37">
        <f ca="1">SUM(I16:I35)/H35</f>
        <v>2.3776314740130076</v>
      </c>
    </row>
  </sheetData>
  <mergeCells count="10">
    <mergeCell ref="E7:O7"/>
    <mergeCell ref="E8:O8"/>
    <mergeCell ref="E9:O9"/>
    <mergeCell ref="E10:O10"/>
    <mergeCell ref="D1:O1"/>
    <mergeCell ref="E2:O2"/>
    <mergeCell ref="E3:O3"/>
    <mergeCell ref="E4:O4"/>
    <mergeCell ref="E5:O5"/>
    <mergeCell ref="E6:O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6385" r:id="rId3" name="CommandButton1">
          <controlPr defaultSize="0" autoLine="0" r:id="rId4">
            <anchor moveWithCells="1">
              <from>
                <xdr:col>9</xdr:col>
                <xdr:colOff>251460</xdr:colOff>
                <xdr:row>24</xdr:row>
                <xdr:rowOff>0</xdr:rowOff>
              </from>
              <to>
                <xdr:col>9</xdr:col>
                <xdr:colOff>556260</xdr:colOff>
                <xdr:row>29</xdr:row>
                <xdr:rowOff>45720</xdr:rowOff>
              </to>
            </anchor>
          </controlPr>
        </control>
      </mc:Choice>
      <mc:Fallback>
        <control shapeId="16385" r:id="rId3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4"/>
  <dimension ref="A1:P37"/>
  <sheetViews>
    <sheetView topLeftCell="A10" workbookViewId="0">
      <selection activeCell="A7" sqref="A7"/>
    </sheetView>
  </sheetViews>
  <sheetFormatPr defaultRowHeight="14.4" x14ac:dyDescent="0.3"/>
  <sheetData>
    <row r="1" spans="1:16" ht="21" x14ac:dyDescent="0.35">
      <c r="C1" s="89" t="s">
        <v>118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P1" s="47" t="s">
        <v>131</v>
      </c>
    </row>
    <row r="2" spans="1:16" ht="18" x14ac:dyDescent="0.35">
      <c r="C2" s="44" t="s">
        <v>114</v>
      </c>
      <c r="D2" s="87" t="s">
        <v>143</v>
      </c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16" ht="18" x14ac:dyDescent="0.35">
      <c r="C3" s="44" t="s">
        <v>115</v>
      </c>
      <c r="D3" s="87" t="s">
        <v>137</v>
      </c>
      <c r="E3" s="87"/>
      <c r="F3" s="87"/>
      <c r="G3" s="87"/>
      <c r="H3" s="87"/>
      <c r="I3" s="87"/>
      <c r="J3" s="87"/>
      <c r="K3" s="87"/>
      <c r="L3" s="87"/>
      <c r="M3" s="87"/>
      <c r="N3" s="87"/>
    </row>
    <row r="4" spans="1:16" ht="18" x14ac:dyDescent="0.35">
      <c r="C4" s="45" t="s">
        <v>116</v>
      </c>
      <c r="D4" s="88" t="s">
        <v>117</v>
      </c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6" ht="20.399999999999999" x14ac:dyDescent="0.35">
      <c r="C5" s="45" t="s">
        <v>119</v>
      </c>
      <c r="D5" s="87" t="s">
        <v>125</v>
      </c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1:16" ht="20.399999999999999" x14ac:dyDescent="0.35">
      <c r="C6" s="45" t="s">
        <v>120</v>
      </c>
      <c r="D6" s="87" t="s">
        <v>126</v>
      </c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1:16" ht="20.399999999999999" x14ac:dyDescent="0.35">
      <c r="C7" s="45" t="s">
        <v>121</v>
      </c>
      <c r="D7" s="90" t="s">
        <v>127</v>
      </c>
      <c r="E7" s="91"/>
      <c r="F7" s="91"/>
      <c r="G7" s="91"/>
      <c r="H7" s="91"/>
      <c r="I7" s="91"/>
      <c r="J7" s="91"/>
      <c r="K7" s="91"/>
      <c r="L7" s="91"/>
      <c r="M7" s="91"/>
      <c r="N7" s="92"/>
    </row>
    <row r="8" spans="1:16" ht="20.399999999999999" x14ac:dyDescent="0.35">
      <c r="C8" s="45" t="s">
        <v>122</v>
      </c>
      <c r="D8" s="87" t="s">
        <v>128</v>
      </c>
      <c r="E8" s="87"/>
      <c r="F8" s="87"/>
      <c r="G8" s="87"/>
      <c r="H8" s="87"/>
      <c r="I8" s="87"/>
      <c r="J8" s="87"/>
      <c r="K8" s="87"/>
      <c r="L8" s="87"/>
      <c r="M8" s="87"/>
      <c r="N8" s="87"/>
    </row>
    <row r="9" spans="1:16" ht="20.399999999999999" x14ac:dyDescent="0.35">
      <c r="C9" s="45" t="s">
        <v>123</v>
      </c>
      <c r="D9" s="87" t="s">
        <v>129</v>
      </c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1:16" ht="20.399999999999999" x14ac:dyDescent="0.35">
      <c r="C10" s="45" t="s">
        <v>124</v>
      </c>
      <c r="D10" s="87" t="s">
        <v>130</v>
      </c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2" spans="1:16" ht="20.399999999999999" x14ac:dyDescent="0.3">
      <c r="C12" s="48" t="s">
        <v>132</v>
      </c>
      <c r="D12" s="50">
        <v>5.5E-2</v>
      </c>
      <c r="E12" s="51" t="s">
        <v>134</v>
      </c>
      <c r="F12" s="48">
        <f>1/D12</f>
        <v>18.181818181818183</v>
      </c>
      <c r="I12" s="60" t="s">
        <v>115</v>
      </c>
      <c r="K12" s="56" t="s">
        <v>122</v>
      </c>
      <c r="M12" s="61" t="s">
        <v>144</v>
      </c>
    </row>
    <row r="13" spans="1:16" ht="19.8" x14ac:dyDescent="0.3">
      <c r="C13" s="49" t="s">
        <v>133</v>
      </c>
      <c r="D13" s="50">
        <v>8.5000000000000006E-2</v>
      </c>
      <c r="E13" s="51" t="s">
        <v>134</v>
      </c>
      <c r="F13" s="48">
        <f>1/D13</f>
        <v>11.76470588235294</v>
      </c>
    </row>
    <row r="15" spans="1:16" ht="20.399999999999999" x14ac:dyDescent="0.3">
      <c r="A15" s="56" t="s">
        <v>19</v>
      </c>
      <c r="B15" s="56" t="s">
        <v>104</v>
      </c>
      <c r="C15" s="56" t="s">
        <v>105</v>
      </c>
      <c r="D15" s="56" t="s">
        <v>119</v>
      </c>
      <c r="E15" s="56" t="s">
        <v>120</v>
      </c>
      <c r="F15" s="56" t="s">
        <v>123</v>
      </c>
      <c r="G15" s="56" t="s">
        <v>121</v>
      </c>
      <c r="H15" s="56" t="s">
        <v>124</v>
      </c>
      <c r="I15" s="56" t="s">
        <v>122</v>
      </c>
    </row>
    <row r="16" spans="1:16" ht="15.6" x14ac:dyDescent="0.3">
      <c r="A16" s="59">
        <v>1</v>
      </c>
      <c r="B16" s="37">
        <f ca="1">RAND()</f>
        <v>0.34911578868136006</v>
      </c>
      <c r="C16" s="37">
        <f ca="1">RAND()</f>
        <v>0.21135201704028606</v>
      </c>
      <c r="D16" s="37">
        <f ca="1">(1/$D$12)*LN(1/(1-B16))</f>
        <v>7.8077002798330755</v>
      </c>
      <c r="E16" s="37">
        <f ca="1">(1/$D$13)*LN(1/(1-C16))</f>
        <v>2.7933554545651198</v>
      </c>
      <c r="F16" s="37">
        <f ca="1">D16</f>
        <v>7.8077002798330755</v>
      </c>
      <c r="G16" s="37">
        <v>0</v>
      </c>
      <c r="H16" s="37">
        <f ca="1">F16+G16+E16</f>
        <v>10.601055734398194</v>
      </c>
      <c r="I16" s="37">
        <f ca="1">H16-F16</f>
        <v>2.7933554545651189</v>
      </c>
    </row>
    <row r="17" spans="1:9" ht="15.6" x14ac:dyDescent="0.3">
      <c r="A17" s="59">
        <v>2</v>
      </c>
      <c r="B17" s="37">
        <f t="shared" ref="B17:C35" ca="1" si="0">RAND()</f>
        <v>0.48353290683207606</v>
      </c>
      <c r="C17" s="37">
        <f t="shared" ca="1" si="0"/>
        <v>0.18780014123835298</v>
      </c>
      <c r="D17" s="37">
        <f ca="1">(1/$D$12)*LN(1/(1-B17))</f>
        <v>12.013521884487535</v>
      </c>
      <c r="E17" s="37">
        <f ca="1">(1/$D$13)*LN(1/(1-C17))</f>
        <v>2.4471627955997834</v>
      </c>
      <c r="F17" s="37">
        <f ca="1">F16+D17</f>
        <v>19.821222164320609</v>
      </c>
      <c r="G17" s="37">
        <f ca="1">IF(F17&gt;H16,0,H16-F17)</f>
        <v>0</v>
      </c>
      <c r="H17" s="37">
        <f ca="1">F17+G17+E17</f>
        <v>22.268384959920393</v>
      </c>
      <c r="I17" s="37">
        <f ca="1">H17-F17</f>
        <v>2.4471627955997839</v>
      </c>
    </row>
    <row r="18" spans="1:9" ht="15.6" x14ac:dyDescent="0.3">
      <c r="A18" s="59">
        <v>3</v>
      </c>
      <c r="B18" s="37">
        <f t="shared" ca="1" si="0"/>
        <v>0.11010688317102002</v>
      </c>
      <c r="C18" s="37">
        <f t="shared" ca="1" si="0"/>
        <v>0.73579557639475235</v>
      </c>
      <c r="D18" s="37">
        <f t="shared" ref="D18:D35" ca="1" si="1">(1/$D$12)*LN(1/(1-B18))</f>
        <v>2.1209803076060294</v>
      </c>
      <c r="E18" s="37">
        <f t="shared" ref="E18:E35" ca="1" si="2">(1/$D$13)*LN(1/(1-C18))</f>
        <v>15.659201689858689</v>
      </c>
      <c r="F18" s="37">
        <f t="shared" ref="F18:F35" ca="1" si="3">F17+D18</f>
        <v>21.942202471926638</v>
      </c>
      <c r="G18" s="37">
        <f t="shared" ref="G18:G35" ca="1" si="4">IF(F18&gt;H17,0,H17-F18)</f>
        <v>0.32618248799375493</v>
      </c>
      <c r="H18" s="37">
        <f t="shared" ref="H18:H35" ca="1" si="5">F18+G18+E18</f>
        <v>37.92758664977908</v>
      </c>
      <c r="I18" s="37">
        <f t="shared" ref="I18:I35" ca="1" si="6">H18-F18</f>
        <v>15.985384177852442</v>
      </c>
    </row>
    <row r="19" spans="1:9" ht="15.6" x14ac:dyDescent="0.3">
      <c r="A19" s="59">
        <v>4</v>
      </c>
      <c r="B19" s="37">
        <f t="shared" ca="1" si="0"/>
        <v>0.45173621539468056</v>
      </c>
      <c r="C19" s="37">
        <f t="shared" ca="1" si="0"/>
        <v>0.62013030662661395</v>
      </c>
      <c r="D19" s="37">
        <f t="shared" ca="1" si="1"/>
        <v>10.927249983295601</v>
      </c>
      <c r="E19" s="37">
        <f t="shared" ca="1" si="2"/>
        <v>11.387376438174467</v>
      </c>
      <c r="F19" s="37">
        <f t="shared" ca="1" si="3"/>
        <v>32.869452455222238</v>
      </c>
      <c r="G19" s="37">
        <f t="shared" ca="1" si="4"/>
        <v>5.0581341945568425</v>
      </c>
      <c r="H19" s="37">
        <f t="shared" ca="1" si="5"/>
        <v>49.314963087953544</v>
      </c>
      <c r="I19" s="37">
        <f t="shared" ca="1" si="6"/>
        <v>16.445510632731306</v>
      </c>
    </row>
    <row r="20" spans="1:9" ht="15.6" x14ac:dyDescent="0.3">
      <c r="A20" s="59">
        <v>5</v>
      </c>
      <c r="B20" s="37">
        <f t="shared" ca="1" si="0"/>
        <v>0.30568733523941427</v>
      </c>
      <c r="C20" s="37">
        <f t="shared" ca="1" si="0"/>
        <v>0.71689933402695172</v>
      </c>
      <c r="D20" s="37">
        <f t="shared" ca="1" si="1"/>
        <v>6.6333253516344293</v>
      </c>
      <c r="E20" s="37">
        <f t="shared" ca="1" si="2"/>
        <v>14.846502758078149</v>
      </c>
      <c r="F20" s="37">
        <f t="shared" ca="1" si="3"/>
        <v>39.50277780685667</v>
      </c>
      <c r="G20" s="37">
        <f t="shared" ca="1" si="4"/>
        <v>9.8121852810968733</v>
      </c>
      <c r="H20" s="37">
        <f t="shared" ca="1" si="5"/>
        <v>64.161465846031689</v>
      </c>
      <c r="I20" s="37">
        <f t="shared" ca="1" si="6"/>
        <v>24.658688039175019</v>
      </c>
    </row>
    <row r="21" spans="1:9" ht="15.6" x14ac:dyDescent="0.3">
      <c r="A21" s="59">
        <v>6</v>
      </c>
      <c r="B21" s="37">
        <f t="shared" ca="1" si="0"/>
        <v>0.16228597940865597</v>
      </c>
      <c r="C21" s="37">
        <f t="shared" ca="1" si="0"/>
        <v>0.85484727262259452</v>
      </c>
      <c r="D21" s="37">
        <f t="shared" ca="1" si="1"/>
        <v>3.2196091082680525</v>
      </c>
      <c r="E21" s="37">
        <f t="shared" ca="1" si="2"/>
        <v>22.705515277960888</v>
      </c>
      <c r="F21" s="37">
        <f t="shared" ca="1" si="3"/>
        <v>42.722386915124723</v>
      </c>
      <c r="G21" s="37">
        <f t="shared" ca="1" si="4"/>
        <v>21.439078930906966</v>
      </c>
      <c r="H21" s="37">
        <f t="shared" ca="1" si="5"/>
        <v>86.866981123992574</v>
      </c>
      <c r="I21" s="37">
        <f t="shared" ca="1" si="6"/>
        <v>44.144594208867851</v>
      </c>
    </row>
    <row r="22" spans="1:9" ht="15.6" x14ac:dyDescent="0.3">
      <c r="A22" s="59">
        <v>7</v>
      </c>
      <c r="B22" s="37">
        <f t="shared" ca="1" si="0"/>
        <v>0.82917352641550757</v>
      </c>
      <c r="C22" s="37">
        <f t="shared" ca="1" si="0"/>
        <v>0.57272739979541587</v>
      </c>
      <c r="D22" s="37">
        <f t="shared" ca="1" si="1"/>
        <v>32.129218401295702</v>
      </c>
      <c r="E22" s="37">
        <f t="shared" ca="1" si="2"/>
        <v>10.003918370305039</v>
      </c>
      <c r="F22" s="37">
        <f t="shared" ca="1" si="3"/>
        <v>74.851605316420432</v>
      </c>
      <c r="G22" s="37">
        <f t="shared" ca="1" si="4"/>
        <v>12.015375807572141</v>
      </c>
      <c r="H22" s="37">
        <f t="shared" ca="1" si="5"/>
        <v>96.870899494297618</v>
      </c>
      <c r="I22" s="37">
        <f t="shared" ca="1" si="6"/>
        <v>22.019294177877185</v>
      </c>
    </row>
    <row r="23" spans="1:9" ht="15.6" x14ac:dyDescent="0.3">
      <c r="A23" s="59">
        <v>8</v>
      </c>
      <c r="B23" s="37">
        <f t="shared" ca="1" si="0"/>
        <v>0.71720759153890323</v>
      </c>
      <c r="C23" s="37">
        <f t="shared" ca="1" si="0"/>
        <v>0.89115506678534762</v>
      </c>
      <c r="D23" s="37">
        <f t="shared" ca="1" si="1"/>
        <v>22.964403445763669</v>
      </c>
      <c r="E23" s="37">
        <f t="shared" ca="1" si="2"/>
        <v>26.092129890724255</v>
      </c>
      <c r="F23" s="37">
        <f t="shared" ca="1" si="3"/>
        <v>97.816008762184097</v>
      </c>
      <c r="G23" s="37">
        <f t="shared" ca="1" si="4"/>
        <v>0</v>
      </c>
      <c r="H23" s="37">
        <f t="shared" ca="1" si="5"/>
        <v>123.90813865290835</v>
      </c>
      <c r="I23" s="37">
        <f t="shared" ca="1" si="6"/>
        <v>26.092129890724252</v>
      </c>
    </row>
    <row r="24" spans="1:9" ht="15.6" x14ac:dyDescent="0.3">
      <c r="A24" s="59">
        <v>9</v>
      </c>
      <c r="B24" s="37">
        <f t="shared" ca="1" si="0"/>
        <v>4.2438770974829176E-2</v>
      </c>
      <c r="C24" s="37">
        <f t="shared" ca="1" si="0"/>
        <v>6.7231469588746151E-2</v>
      </c>
      <c r="D24" s="37">
        <f t="shared" ca="1" si="1"/>
        <v>0.78846569471386585</v>
      </c>
      <c r="E24" s="37">
        <f t="shared" ca="1" si="2"/>
        <v>0.81880236058387157</v>
      </c>
      <c r="F24" s="37">
        <f t="shared" ca="1" si="3"/>
        <v>98.604474456897961</v>
      </c>
      <c r="G24" s="37">
        <f t="shared" ca="1" si="4"/>
        <v>25.303664196010388</v>
      </c>
      <c r="H24" s="37">
        <f t="shared" ca="1" si="5"/>
        <v>124.72694101349222</v>
      </c>
      <c r="I24" s="37">
        <f t="shared" ca="1" si="6"/>
        <v>26.122466556594262</v>
      </c>
    </row>
    <row r="25" spans="1:9" ht="15.6" x14ac:dyDescent="0.3">
      <c r="A25" s="59">
        <v>10</v>
      </c>
      <c r="B25" s="37">
        <f t="shared" ca="1" si="0"/>
        <v>0.5212380399901051</v>
      </c>
      <c r="C25" s="37">
        <f t="shared" ca="1" si="0"/>
        <v>0.69803435413856185</v>
      </c>
      <c r="D25" s="37">
        <f t="shared" ca="1" si="1"/>
        <v>13.391850128280256</v>
      </c>
      <c r="E25" s="37">
        <f t="shared" ca="1" si="2"/>
        <v>14.087553217689505</v>
      </c>
      <c r="F25" s="37">
        <f t="shared" ca="1" si="3"/>
        <v>111.99632458517821</v>
      </c>
      <c r="G25" s="37">
        <f t="shared" ca="1" si="4"/>
        <v>12.730616428314008</v>
      </c>
      <c r="H25" s="37">
        <f t="shared" ca="1" si="5"/>
        <v>138.81449423118173</v>
      </c>
      <c r="I25" s="37">
        <f t="shared" ca="1" si="6"/>
        <v>26.818169646003511</v>
      </c>
    </row>
    <row r="26" spans="1:9" ht="15.6" x14ac:dyDescent="0.3">
      <c r="A26" s="59">
        <v>11</v>
      </c>
      <c r="B26" s="37">
        <f t="shared" ca="1" si="0"/>
        <v>0.33301489594305766</v>
      </c>
      <c r="C26" s="37">
        <f t="shared" ca="1" si="0"/>
        <v>0.57728860049623465</v>
      </c>
      <c r="D26" s="37">
        <f t="shared" ca="1" si="1"/>
        <v>7.3634102920746418</v>
      </c>
      <c r="E26" s="37">
        <f t="shared" ca="1" si="2"/>
        <v>10.130183570177566</v>
      </c>
      <c r="F26" s="37">
        <f t="shared" ca="1" si="3"/>
        <v>119.35973487725286</v>
      </c>
      <c r="G26" s="37">
        <f t="shared" ca="1" si="4"/>
        <v>19.454759353928864</v>
      </c>
      <c r="H26" s="37">
        <f t="shared" ca="1" si="5"/>
        <v>148.94467780135929</v>
      </c>
      <c r="I26" s="37">
        <f t="shared" ca="1" si="6"/>
        <v>29.584942924106429</v>
      </c>
    </row>
    <row r="27" spans="1:9" ht="15.6" x14ac:dyDescent="0.3">
      <c r="A27" s="59">
        <v>12</v>
      </c>
      <c r="B27" s="37">
        <f t="shared" ca="1" si="0"/>
        <v>0.84230633283671374</v>
      </c>
      <c r="C27" s="37">
        <f t="shared" ca="1" si="0"/>
        <v>0.2522122971920433</v>
      </c>
      <c r="D27" s="37">
        <f t="shared" ca="1" si="1"/>
        <v>33.583653514780131</v>
      </c>
      <c r="E27" s="37">
        <f t="shared" ca="1" si="2"/>
        <v>3.4192489537361626</v>
      </c>
      <c r="F27" s="37">
        <f t="shared" ca="1" si="3"/>
        <v>152.943388392033</v>
      </c>
      <c r="G27" s="37">
        <f t="shared" ca="1" si="4"/>
        <v>0</v>
      </c>
      <c r="H27" s="37">
        <f t="shared" ca="1" si="5"/>
        <v>156.36263734576917</v>
      </c>
      <c r="I27" s="37">
        <f t="shared" ca="1" si="6"/>
        <v>3.4192489537361723</v>
      </c>
    </row>
    <row r="28" spans="1:9" ht="15.6" x14ac:dyDescent="0.3">
      <c r="A28" s="59">
        <v>13</v>
      </c>
      <c r="B28" s="37">
        <f t="shared" ca="1" si="0"/>
        <v>0.6107955148921318</v>
      </c>
      <c r="C28" s="37">
        <f t="shared" ca="1" si="0"/>
        <v>0.96048003946314164</v>
      </c>
      <c r="D28" s="37">
        <f t="shared" ca="1" si="1"/>
        <v>17.15728008766002</v>
      </c>
      <c r="E28" s="37">
        <f t="shared" ca="1" si="2"/>
        <v>38.011169466638172</v>
      </c>
      <c r="F28" s="37">
        <f t="shared" ca="1" si="3"/>
        <v>170.10066847969301</v>
      </c>
      <c r="G28" s="37">
        <f t="shared" ca="1" si="4"/>
        <v>0</v>
      </c>
      <c r="H28" s="37">
        <f t="shared" ca="1" si="5"/>
        <v>208.11183794633118</v>
      </c>
      <c r="I28" s="37">
        <f t="shared" ca="1" si="6"/>
        <v>38.011169466638165</v>
      </c>
    </row>
    <row r="29" spans="1:9" ht="15.6" x14ac:dyDescent="0.3">
      <c r="A29" s="59">
        <v>14</v>
      </c>
      <c r="B29" s="37">
        <f t="shared" ca="1" si="0"/>
        <v>0.40653342839241502</v>
      </c>
      <c r="C29" s="37">
        <f t="shared" ca="1" si="0"/>
        <v>0.50543321330370261</v>
      </c>
      <c r="D29" s="37">
        <f t="shared" ca="1" si="1"/>
        <v>9.4868071033545665</v>
      </c>
      <c r="E29" s="37">
        <f t="shared" ca="1" si="2"/>
        <v>8.2832126823172239</v>
      </c>
      <c r="F29" s="37">
        <f t="shared" ca="1" si="3"/>
        <v>179.58747558304759</v>
      </c>
      <c r="G29" s="37">
        <f t="shared" ca="1" si="4"/>
        <v>28.524362363283586</v>
      </c>
      <c r="H29" s="37">
        <f t="shared" ca="1" si="5"/>
        <v>216.39505062864839</v>
      </c>
      <c r="I29" s="37">
        <f t="shared" ca="1" si="6"/>
        <v>36.8075750456008</v>
      </c>
    </row>
    <row r="30" spans="1:9" ht="15.6" x14ac:dyDescent="0.3">
      <c r="A30" s="59">
        <v>15</v>
      </c>
      <c r="B30" s="37">
        <f t="shared" ca="1" si="0"/>
        <v>0.97062840776811254</v>
      </c>
      <c r="C30" s="37">
        <f t="shared" ca="1" si="0"/>
        <v>0.48305678018075515</v>
      </c>
      <c r="D30" s="37">
        <f t="shared" ca="1" si="1"/>
        <v>64.140496770447797</v>
      </c>
      <c r="E30" s="37">
        <f t="shared" ca="1" si="2"/>
        <v>7.7626145502757558</v>
      </c>
      <c r="F30" s="37">
        <f t="shared" ca="1" si="3"/>
        <v>243.72797235349537</v>
      </c>
      <c r="G30" s="37">
        <f t="shared" ca="1" si="4"/>
        <v>0</v>
      </c>
      <c r="H30" s="37">
        <f t="shared" ca="1" si="5"/>
        <v>251.49058690377112</v>
      </c>
      <c r="I30" s="37">
        <f t="shared" ca="1" si="6"/>
        <v>7.7626145502757424</v>
      </c>
    </row>
    <row r="31" spans="1:9" ht="15.6" x14ac:dyDescent="0.3">
      <c r="A31" s="59">
        <v>16</v>
      </c>
      <c r="B31" s="37">
        <f t="shared" ca="1" si="0"/>
        <v>0.46920213600198468</v>
      </c>
      <c r="C31" s="37">
        <f t="shared" ca="1" si="0"/>
        <v>0.71404595746916044</v>
      </c>
      <c r="D31" s="37">
        <f t="shared" ca="1" si="1"/>
        <v>11.515890920917537</v>
      </c>
      <c r="E31" s="37">
        <f t="shared" ca="1" si="2"/>
        <v>14.728519665011627</v>
      </c>
      <c r="F31" s="37">
        <f t="shared" ca="1" si="3"/>
        <v>255.24386327441292</v>
      </c>
      <c r="G31" s="37">
        <f t="shared" ca="1" si="4"/>
        <v>0</v>
      </c>
      <c r="H31" s="37">
        <f t="shared" ca="1" si="5"/>
        <v>269.97238293942456</v>
      </c>
      <c r="I31" s="37">
        <f t="shared" ca="1" si="6"/>
        <v>14.728519665011646</v>
      </c>
    </row>
    <row r="32" spans="1:9" ht="15.6" x14ac:dyDescent="0.3">
      <c r="A32" s="59">
        <v>17</v>
      </c>
      <c r="B32" s="37">
        <f t="shared" ca="1" si="0"/>
        <v>0.51434309677570211</v>
      </c>
      <c r="C32" s="37">
        <f t="shared" ca="1" si="0"/>
        <v>0.78158904518935945</v>
      </c>
      <c r="D32" s="37">
        <f t="shared" ca="1" si="1"/>
        <v>13.131870269688907</v>
      </c>
      <c r="E32" s="37">
        <f t="shared" ca="1" si="2"/>
        <v>17.898551493881733</v>
      </c>
      <c r="F32" s="37">
        <f t="shared" ca="1" si="3"/>
        <v>268.37573354410182</v>
      </c>
      <c r="G32" s="37">
        <f t="shared" ca="1" si="4"/>
        <v>1.5966493953227427</v>
      </c>
      <c r="H32" s="37">
        <f t="shared" ca="1" si="5"/>
        <v>287.87093443330627</v>
      </c>
      <c r="I32" s="37">
        <f t="shared" ca="1" si="6"/>
        <v>19.495200889204455</v>
      </c>
    </row>
    <row r="33" spans="1:9" ht="15.6" x14ac:dyDescent="0.3">
      <c r="A33" s="59">
        <v>18</v>
      </c>
      <c r="B33" s="37">
        <f t="shared" ca="1" si="0"/>
        <v>0.80359562248371996</v>
      </c>
      <c r="C33" s="37">
        <f t="shared" ca="1" si="0"/>
        <v>0.77145171080635366</v>
      </c>
      <c r="D33" s="37">
        <f t="shared" ca="1" si="1"/>
        <v>29.592356264195143</v>
      </c>
      <c r="E33" s="37">
        <f t="shared" ca="1" si="2"/>
        <v>17.364797173081893</v>
      </c>
      <c r="F33" s="37">
        <f t="shared" ca="1" si="3"/>
        <v>297.96808980829695</v>
      </c>
      <c r="G33" s="37">
        <f t="shared" ca="1" si="4"/>
        <v>0</v>
      </c>
      <c r="H33" s="37">
        <f t="shared" ca="1" si="5"/>
        <v>315.33288698137886</v>
      </c>
      <c r="I33" s="37">
        <f t="shared" ca="1" si="6"/>
        <v>17.364797173081911</v>
      </c>
    </row>
    <row r="34" spans="1:9" ht="15.6" x14ac:dyDescent="0.3">
      <c r="A34" s="59">
        <v>19</v>
      </c>
      <c r="B34" s="37">
        <f t="shared" ca="1" si="0"/>
        <v>0.39952533258393119</v>
      </c>
      <c r="C34" s="37">
        <f t="shared" ca="1" si="0"/>
        <v>0.46999705822499727</v>
      </c>
      <c r="D34" s="37">
        <f t="shared" ca="1" si="1"/>
        <v>9.2733604394602835</v>
      </c>
      <c r="E34" s="37">
        <f t="shared" ca="1" si="2"/>
        <v>7.4690908462647103</v>
      </c>
      <c r="F34" s="37">
        <f t="shared" ca="1" si="3"/>
        <v>307.24145024775726</v>
      </c>
      <c r="G34" s="37">
        <f t="shared" ca="1" si="4"/>
        <v>8.091436733621606</v>
      </c>
      <c r="H34" s="37">
        <f t="shared" ca="1" si="5"/>
        <v>322.80197782764355</v>
      </c>
      <c r="I34" s="37">
        <f t="shared" ca="1" si="6"/>
        <v>15.560527579886298</v>
      </c>
    </row>
    <row r="35" spans="1:9" ht="15.6" x14ac:dyDescent="0.3">
      <c r="A35" s="59">
        <v>20</v>
      </c>
      <c r="B35" s="37">
        <f t="shared" ca="1" si="0"/>
        <v>0.43604178746896061</v>
      </c>
      <c r="C35" s="37">
        <f t="shared" ca="1" si="0"/>
        <v>0.28239951585070555</v>
      </c>
      <c r="D35" s="37">
        <f t="shared" ca="1" si="1"/>
        <v>10.414093117927152</v>
      </c>
      <c r="E35" s="37">
        <f t="shared" ca="1" si="2"/>
        <v>3.9040269830502852</v>
      </c>
      <c r="F35" s="37">
        <f t="shared" ca="1" si="3"/>
        <v>317.65554336568442</v>
      </c>
      <c r="G35" s="37">
        <f t="shared" ca="1" si="4"/>
        <v>5.1464344619591316</v>
      </c>
      <c r="H35" s="37">
        <f t="shared" ca="1" si="5"/>
        <v>326.70600481069386</v>
      </c>
      <c r="I35" s="37">
        <f t="shared" ca="1" si="6"/>
        <v>9.0504614450094323</v>
      </c>
    </row>
    <row r="36" spans="1:9" x14ac:dyDescent="0.3">
      <c r="D36" s="37">
        <f ca="1">AVERAGE(D16:D35)</f>
        <v>15.882777168284221</v>
      </c>
      <c r="E36" s="37">
        <f ca="1">AVERAGE(E16:E35)</f>
        <v>12.490646681898742</v>
      </c>
      <c r="G36" s="37">
        <f ca="1">AVERAGE(G16:G35)</f>
        <v>7.4749439817283445</v>
      </c>
      <c r="I36" s="37">
        <f ca="1">AVERAGE(I16:I35)</f>
        <v>19.96559066362709</v>
      </c>
    </row>
    <row r="37" spans="1:9" x14ac:dyDescent="0.3">
      <c r="D37" s="37">
        <f ca="1">1/D36</f>
        <v>6.296128122963697E-2</v>
      </c>
      <c r="E37" s="37">
        <f ca="1">1/E36</f>
        <v>8.0059906061483999E-2</v>
      </c>
      <c r="G37" s="37">
        <f ca="1">SUM(G16:G35)/H35</f>
        <v>0.45759452667909284</v>
      </c>
      <c r="I37" s="37">
        <f ca="1">SUM(SUM(I16:I35))/H35</f>
        <v>1.2222359166735197</v>
      </c>
    </row>
  </sheetData>
  <mergeCells count="10">
    <mergeCell ref="D7:N7"/>
    <mergeCell ref="D8:N8"/>
    <mergeCell ref="D9:N9"/>
    <mergeCell ref="D10:N10"/>
    <mergeCell ref="C1:N1"/>
    <mergeCell ref="D2:N2"/>
    <mergeCell ref="D3:N3"/>
    <mergeCell ref="D4:N4"/>
    <mergeCell ref="D5:N5"/>
    <mergeCell ref="D6:N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CommandButton1">
          <controlPr defaultSize="0" autoLine="0" r:id="rId4">
            <anchor moveWithCells="1">
              <from>
                <xdr:col>9</xdr:col>
                <xdr:colOff>160020</xdr:colOff>
                <xdr:row>22</xdr:row>
                <xdr:rowOff>53340</xdr:rowOff>
              </from>
              <to>
                <xdr:col>9</xdr:col>
                <xdr:colOff>419100</xdr:colOff>
                <xdr:row>27</xdr:row>
                <xdr:rowOff>137160</xdr:rowOff>
              </to>
            </anchor>
          </controlPr>
        </control>
      </mc:Choice>
      <mc:Fallback>
        <control shapeId="18433" r:id="rId3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5"/>
  <dimension ref="A1:P37"/>
  <sheetViews>
    <sheetView workbookViewId="0"/>
  </sheetViews>
  <sheetFormatPr defaultRowHeight="14.4" x14ac:dyDescent="0.3"/>
  <sheetData>
    <row r="1" spans="1:16" ht="21" x14ac:dyDescent="0.35">
      <c r="C1" s="89" t="s">
        <v>118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P1" s="47" t="s">
        <v>131</v>
      </c>
    </row>
    <row r="2" spans="1:16" ht="18" x14ac:dyDescent="0.35">
      <c r="C2" s="44" t="s">
        <v>114</v>
      </c>
      <c r="D2" s="87" t="s">
        <v>143</v>
      </c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16" ht="18" x14ac:dyDescent="0.35">
      <c r="C3" s="44" t="s">
        <v>115</v>
      </c>
      <c r="D3" s="87" t="s">
        <v>137</v>
      </c>
      <c r="E3" s="87"/>
      <c r="F3" s="87"/>
      <c r="G3" s="87"/>
      <c r="H3" s="87"/>
      <c r="I3" s="87"/>
      <c r="J3" s="87"/>
      <c r="K3" s="87"/>
      <c r="L3" s="87"/>
      <c r="M3" s="87"/>
      <c r="N3" s="87"/>
    </row>
    <row r="4" spans="1:16" ht="18" x14ac:dyDescent="0.35">
      <c r="C4" s="45" t="s">
        <v>116</v>
      </c>
      <c r="D4" s="88" t="s">
        <v>117</v>
      </c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6" ht="20.399999999999999" x14ac:dyDescent="0.35">
      <c r="C5" s="45" t="s">
        <v>119</v>
      </c>
      <c r="D5" s="87" t="s">
        <v>125</v>
      </c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1:16" ht="20.399999999999999" x14ac:dyDescent="0.35">
      <c r="C6" s="45" t="s">
        <v>120</v>
      </c>
      <c r="D6" s="87" t="s">
        <v>126</v>
      </c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1:16" ht="20.399999999999999" x14ac:dyDescent="0.35">
      <c r="C7" s="45" t="s">
        <v>121</v>
      </c>
      <c r="D7" s="90" t="s">
        <v>127</v>
      </c>
      <c r="E7" s="91"/>
      <c r="F7" s="91"/>
      <c r="G7" s="91"/>
      <c r="H7" s="91"/>
      <c r="I7" s="91"/>
      <c r="J7" s="91"/>
      <c r="K7" s="91"/>
      <c r="L7" s="91"/>
      <c r="M7" s="91"/>
      <c r="N7" s="92"/>
    </row>
    <row r="8" spans="1:16" ht="20.399999999999999" x14ac:dyDescent="0.35">
      <c r="C8" s="45" t="s">
        <v>122</v>
      </c>
      <c r="D8" s="87" t="s">
        <v>128</v>
      </c>
      <c r="E8" s="87"/>
      <c r="F8" s="87"/>
      <c r="G8" s="87"/>
      <c r="H8" s="87"/>
      <c r="I8" s="87"/>
      <c r="J8" s="87"/>
      <c r="K8" s="87"/>
      <c r="L8" s="87"/>
      <c r="M8" s="87"/>
      <c r="N8" s="87"/>
    </row>
    <row r="9" spans="1:16" ht="20.399999999999999" x14ac:dyDescent="0.35">
      <c r="C9" s="45" t="s">
        <v>123</v>
      </c>
      <c r="D9" s="87" t="s">
        <v>129</v>
      </c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1:16" ht="20.399999999999999" x14ac:dyDescent="0.35">
      <c r="C10" s="45" t="s">
        <v>124</v>
      </c>
      <c r="D10" s="87" t="s">
        <v>130</v>
      </c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2" spans="1:16" ht="20.399999999999999" x14ac:dyDescent="0.3">
      <c r="C12" s="48" t="s">
        <v>132</v>
      </c>
      <c r="D12" s="50">
        <v>5.5E-2</v>
      </c>
      <c r="E12" s="51" t="s">
        <v>134</v>
      </c>
      <c r="F12" s="48">
        <f>1/D12</f>
        <v>18.181818181818183</v>
      </c>
      <c r="I12" s="60" t="s">
        <v>115</v>
      </c>
      <c r="K12" s="56" t="s">
        <v>122</v>
      </c>
      <c r="M12" s="61" t="s">
        <v>144</v>
      </c>
    </row>
    <row r="13" spans="1:16" ht="19.8" x14ac:dyDescent="0.3">
      <c r="C13" s="49" t="s">
        <v>133</v>
      </c>
      <c r="D13" s="50">
        <v>8.5000000000000006E-2</v>
      </c>
      <c r="E13" s="51" t="s">
        <v>134</v>
      </c>
      <c r="F13" s="48">
        <f>1/D13</f>
        <v>11.76470588235294</v>
      </c>
    </row>
    <row r="15" spans="1:16" ht="20.399999999999999" x14ac:dyDescent="0.3">
      <c r="A15" s="56" t="s">
        <v>19</v>
      </c>
      <c r="B15" s="56" t="s">
        <v>104</v>
      </c>
      <c r="C15" s="56" t="s">
        <v>105</v>
      </c>
      <c r="D15" s="56" t="s">
        <v>119</v>
      </c>
      <c r="E15" s="56" t="s">
        <v>120</v>
      </c>
      <c r="F15" s="56" t="s">
        <v>123</v>
      </c>
      <c r="G15" s="56" t="s">
        <v>121</v>
      </c>
      <c r="H15" s="56" t="s">
        <v>124</v>
      </c>
      <c r="I15" s="56" t="s">
        <v>122</v>
      </c>
    </row>
    <row r="16" spans="1:16" ht="15.6" x14ac:dyDescent="0.3">
      <c r="A16" s="59">
        <v>1</v>
      </c>
      <c r="B16" s="37">
        <f ca="1">RAND()</f>
        <v>0.28156982771375438</v>
      </c>
      <c r="C16" s="37">
        <f ca="1">RAND()</f>
        <v>0.38874356362605356</v>
      </c>
      <c r="D16" s="37">
        <f ca="1">(1/$D$12)*LN(1/(1-B16))</f>
        <v>6.0124866107496269</v>
      </c>
      <c r="E16" s="37">
        <f ca="1">(1/$D$13)*LN(1/(1-C16))</f>
        <v>5.7910436281572553</v>
      </c>
      <c r="F16" s="37">
        <f ca="1">D16</f>
        <v>6.0124866107496269</v>
      </c>
      <c r="G16" s="37">
        <v>0</v>
      </c>
      <c r="H16" s="37">
        <f ca="1">F16+G16+E16</f>
        <v>11.803530238906882</v>
      </c>
      <c r="I16" s="37">
        <f ca="1">H16-F16</f>
        <v>5.7910436281572553</v>
      </c>
    </row>
    <row r="17" spans="1:9" ht="15.6" x14ac:dyDescent="0.3">
      <c r="A17" s="59">
        <v>2</v>
      </c>
      <c r="B17" s="37">
        <f t="shared" ref="B17:C35" ca="1" si="0">RAND()</f>
        <v>0.58136878919288171</v>
      </c>
      <c r="C17" s="37">
        <f t="shared" ca="1" si="0"/>
        <v>0.38984258874355115</v>
      </c>
      <c r="D17" s="37">
        <f t="shared" ref="D17:D35" ca="1" si="1">(1/$D$12)*LN(1/(1-B17))</f>
        <v>15.832089304925681</v>
      </c>
      <c r="E17" s="37">
        <f t="shared" ref="E17:E35" ca="1" si="2">(1/$D$13)*LN(1/(1-C17))</f>
        <v>5.8122153395787581</v>
      </c>
      <c r="F17" s="37">
        <f ca="1">F16+D17</f>
        <v>21.844575915675307</v>
      </c>
      <c r="G17" s="37">
        <f ca="1">IF(F17&gt;H16,0,H16-F17)</f>
        <v>0</v>
      </c>
      <c r="H17" s="37">
        <f ca="1">F17+G17+E17</f>
        <v>27.656791255254063</v>
      </c>
      <c r="I17" s="37">
        <f ca="1">H17-F17</f>
        <v>5.8122153395787564</v>
      </c>
    </row>
    <row r="18" spans="1:9" ht="15.6" x14ac:dyDescent="0.3">
      <c r="A18" s="59">
        <v>3</v>
      </c>
      <c r="B18" s="37">
        <f t="shared" ca="1" si="0"/>
        <v>0.49308540823174452</v>
      </c>
      <c r="C18" s="37">
        <f t="shared" ca="1" si="0"/>
        <v>6.7297989157858007E-2</v>
      </c>
      <c r="D18" s="37">
        <f t="shared" ca="1" si="1"/>
        <v>12.352959047861512</v>
      </c>
      <c r="E18" s="37">
        <f t="shared" ca="1" si="2"/>
        <v>0.81964138017603116</v>
      </c>
      <c r="F18" s="37">
        <f t="shared" ref="F18:F35" ca="1" si="3">F17+D18</f>
        <v>34.197534963536818</v>
      </c>
      <c r="G18" s="37">
        <f t="shared" ref="G18:G35" ca="1" si="4">IF(F18&gt;H17,0,H17-F18)</f>
        <v>0</v>
      </c>
      <c r="H18" s="37">
        <f t="shared" ref="H18:H35" ca="1" si="5">F18+G18+E18</f>
        <v>35.017176343712848</v>
      </c>
      <c r="I18" s="37">
        <f t="shared" ref="I18:I35" ca="1" si="6">H18-F18</f>
        <v>0.81964138017603005</v>
      </c>
    </row>
    <row r="19" spans="1:9" ht="15.6" x14ac:dyDescent="0.3">
      <c r="A19" s="59">
        <v>4</v>
      </c>
      <c r="B19" s="37">
        <f t="shared" ca="1" si="0"/>
        <v>9.2298683864852737E-2</v>
      </c>
      <c r="C19" s="37">
        <f t="shared" ca="1" si="0"/>
        <v>0.88271837861820324</v>
      </c>
      <c r="D19" s="37">
        <f t="shared" ca="1" si="1"/>
        <v>1.7607254815180915</v>
      </c>
      <c r="E19" s="37">
        <f t="shared" ca="1" si="2"/>
        <v>25.213849600711338</v>
      </c>
      <c r="F19" s="37">
        <f t="shared" ca="1" si="3"/>
        <v>35.958260445054911</v>
      </c>
      <c r="G19" s="37">
        <f t="shared" ca="1" si="4"/>
        <v>0</v>
      </c>
      <c r="H19" s="37">
        <f t="shared" ca="1" si="5"/>
        <v>61.172110045766246</v>
      </c>
      <c r="I19" s="37">
        <f t="shared" ca="1" si="6"/>
        <v>25.213849600711335</v>
      </c>
    </row>
    <row r="20" spans="1:9" ht="15.6" x14ac:dyDescent="0.3">
      <c r="A20" s="59">
        <v>5</v>
      </c>
      <c r="B20" s="37">
        <f t="shared" ca="1" si="0"/>
        <v>0.86805914075823443</v>
      </c>
      <c r="C20" s="37">
        <f t="shared" ca="1" si="0"/>
        <v>1.6843472709074492E-2</v>
      </c>
      <c r="D20" s="37">
        <f t="shared" ca="1" si="1"/>
        <v>36.825481688020645</v>
      </c>
      <c r="E20" s="37">
        <f t="shared" ca="1" si="2"/>
        <v>0.19984632044500517</v>
      </c>
      <c r="F20" s="37">
        <f t="shared" ca="1" si="3"/>
        <v>72.783742133075549</v>
      </c>
      <c r="G20" s="37">
        <f t="shared" ca="1" si="4"/>
        <v>0</v>
      </c>
      <c r="H20" s="37">
        <f t="shared" ca="1" si="5"/>
        <v>72.983588453520554</v>
      </c>
      <c r="I20" s="37">
        <f t="shared" ca="1" si="6"/>
        <v>0.19984632044500472</v>
      </c>
    </row>
    <row r="21" spans="1:9" ht="15.6" x14ac:dyDescent="0.3">
      <c r="A21" s="59">
        <v>6</v>
      </c>
      <c r="B21" s="37">
        <f t="shared" ca="1" si="0"/>
        <v>0.91103413795484467</v>
      </c>
      <c r="C21" s="37">
        <f t="shared" ca="1" si="0"/>
        <v>0.25650757542644875</v>
      </c>
      <c r="D21" s="37">
        <f t="shared" ca="1" si="1"/>
        <v>43.990955551983639</v>
      </c>
      <c r="E21" s="37">
        <f t="shared" ca="1" si="2"/>
        <v>3.4870200235998956</v>
      </c>
      <c r="F21" s="37">
        <f t="shared" ca="1" si="3"/>
        <v>116.77469768505918</v>
      </c>
      <c r="G21" s="37">
        <f t="shared" ca="1" si="4"/>
        <v>0</v>
      </c>
      <c r="H21" s="37">
        <f t="shared" ca="1" si="5"/>
        <v>120.26171770865908</v>
      </c>
      <c r="I21" s="37">
        <f t="shared" ca="1" si="6"/>
        <v>3.4870200235998965</v>
      </c>
    </row>
    <row r="22" spans="1:9" ht="15.6" x14ac:dyDescent="0.3">
      <c r="A22" s="59">
        <v>7</v>
      </c>
      <c r="B22" s="37">
        <f t="shared" ca="1" si="0"/>
        <v>0.70898417605098307</v>
      </c>
      <c r="C22" s="37">
        <f t="shared" ca="1" si="0"/>
        <v>0.44942681229690873</v>
      </c>
      <c r="D22" s="37">
        <f t="shared" ca="1" si="1"/>
        <v>22.443229735588947</v>
      </c>
      <c r="E22" s="37">
        <f t="shared" ca="1" si="2"/>
        <v>7.0211221643132244</v>
      </c>
      <c r="F22" s="37">
        <f t="shared" ca="1" si="3"/>
        <v>139.21792742064812</v>
      </c>
      <c r="G22" s="37">
        <f t="shared" ca="1" si="4"/>
        <v>0</v>
      </c>
      <c r="H22" s="37">
        <f t="shared" ca="1" si="5"/>
        <v>146.23904958496135</v>
      </c>
      <c r="I22" s="37">
        <f t="shared" ca="1" si="6"/>
        <v>7.0211221643132262</v>
      </c>
    </row>
    <row r="23" spans="1:9" ht="15.6" x14ac:dyDescent="0.3">
      <c r="A23" s="59">
        <v>8</v>
      </c>
      <c r="B23" s="37">
        <f t="shared" ca="1" si="0"/>
        <v>0.97981089988108583</v>
      </c>
      <c r="C23" s="37">
        <f t="shared" ca="1" si="0"/>
        <v>0.92548426117421501</v>
      </c>
      <c r="D23" s="37">
        <f t="shared" ca="1" si="1"/>
        <v>70.956589423344852</v>
      </c>
      <c r="E23" s="37">
        <f t="shared" ca="1" si="2"/>
        <v>30.549940194143989</v>
      </c>
      <c r="F23" s="37">
        <f t="shared" ca="1" si="3"/>
        <v>210.17451684399299</v>
      </c>
      <c r="G23" s="37">
        <f t="shared" ca="1" si="4"/>
        <v>0</v>
      </c>
      <c r="H23" s="37">
        <f t="shared" ca="1" si="5"/>
        <v>240.72445703813699</v>
      </c>
      <c r="I23" s="37">
        <f t="shared" ca="1" si="6"/>
        <v>30.549940194144</v>
      </c>
    </row>
    <row r="24" spans="1:9" ht="15.6" x14ac:dyDescent="0.3">
      <c r="A24" s="59">
        <v>9</v>
      </c>
      <c r="B24" s="37">
        <f t="shared" ca="1" si="0"/>
        <v>0.18023343431468386</v>
      </c>
      <c r="C24" s="37">
        <f t="shared" ca="1" si="0"/>
        <v>0.25234847481499156</v>
      </c>
      <c r="D24" s="37">
        <f t="shared" ca="1" si="1"/>
        <v>3.6133755499137732</v>
      </c>
      <c r="E24" s="37">
        <f t="shared" ca="1" si="2"/>
        <v>3.4213915880287278</v>
      </c>
      <c r="F24" s="37">
        <f t="shared" ca="1" si="3"/>
        <v>213.78789239390676</v>
      </c>
      <c r="G24" s="37">
        <f t="shared" ca="1" si="4"/>
        <v>26.936564644230231</v>
      </c>
      <c r="H24" s="37">
        <f t="shared" ca="1" si="5"/>
        <v>244.14584862616573</v>
      </c>
      <c r="I24" s="37">
        <f t="shared" ca="1" si="6"/>
        <v>30.357956232258971</v>
      </c>
    </row>
    <row r="25" spans="1:9" ht="15.6" x14ac:dyDescent="0.3">
      <c r="A25" s="59">
        <v>10</v>
      </c>
      <c r="B25" s="37">
        <f t="shared" ca="1" si="0"/>
        <v>0.87197592793888046</v>
      </c>
      <c r="C25" s="37">
        <f t="shared" ca="1" si="0"/>
        <v>0.11540446037459018</v>
      </c>
      <c r="D25" s="37">
        <f t="shared" ca="1" si="1"/>
        <v>37.373399450302699</v>
      </c>
      <c r="E25" s="37">
        <f t="shared" ca="1" si="2"/>
        <v>1.4426441860105208</v>
      </c>
      <c r="F25" s="37">
        <f t="shared" ca="1" si="3"/>
        <v>251.16129184420947</v>
      </c>
      <c r="G25" s="37">
        <f t="shared" ca="1" si="4"/>
        <v>0</v>
      </c>
      <c r="H25" s="37">
        <f t="shared" ca="1" si="5"/>
        <v>252.60393603021998</v>
      </c>
      <c r="I25" s="37">
        <f t="shared" ca="1" si="6"/>
        <v>1.4426441860105115</v>
      </c>
    </row>
    <row r="26" spans="1:9" ht="15.6" x14ac:dyDescent="0.3">
      <c r="A26" s="59">
        <v>11</v>
      </c>
      <c r="B26" s="37">
        <f t="shared" ca="1" si="0"/>
        <v>0.6381572492422366</v>
      </c>
      <c r="C26" s="37">
        <f t="shared" ca="1" si="0"/>
        <v>0.69209537738590188</v>
      </c>
      <c r="D26" s="37">
        <f t="shared" ca="1" si="1"/>
        <v>18.482646394600589</v>
      </c>
      <c r="E26" s="37">
        <f t="shared" ca="1" si="2"/>
        <v>13.858414244736258</v>
      </c>
      <c r="F26" s="37">
        <f t="shared" ca="1" si="3"/>
        <v>269.64393823881005</v>
      </c>
      <c r="G26" s="37">
        <f t="shared" ca="1" si="4"/>
        <v>0</v>
      </c>
      <c r="H26" s="37">
        <f t="shared" ca="1" si="5"/>
        <v>283.5023524835463</v>
      </c>
      <c r="I26" s="37">
        <f t="shared" ca="1" si="6"/>
        <v>13.858414244736252</v>
      </c>
    </row>
    <row r="27" spans="1:9" ht="15.6" x14ac:dyDescent="0.3">
      <c r="A27" s="59">
        <v>12</v>
      </c>
      <c r="B27" s="37">
        <f t="shared" ca="1" si="0"/>
        <v>0.47832250340366766</v>
      </c>
      <c r="C27" s="37">
        <f t="shared" ca="1" si="0"/>
        <v>0.74419159949635116</v>
      </c>
      <c r="D27" s="37">
        <f t="shared" ca="1" si="1"/>
        <v>11.831012811689524</v>
      </c>
      <c r="E27" s="37">
        <f t="shared" ca="1" si="2"/>
        <v>16.039135885328172</v>
      </c>
      <c r="F27" s="37">
        <f t="shared" ca="1" si="3"/>
        <v>281.47495105049956</v>
      </c>
      <c r="G27" s="37">
        <f t="shared" ca="1" si="4"/>
        <v>2.027401433046748</v>
      </c>
      <c r="H27" s="37">
        <f t="shared" ca="1" si="5"/>
        <v>299.54148836887447</v>
      </c>
      <c r="I27" s="37">
        <f t="shared" ca="1" si="6"/>
        <v>18.066537318374913</v>
      </c>
    </row>
    <row r="28" spans="1:9" ht="15.6" x14ac:dyDescent="0.3">
      <c r="A28" s="59">
        <v>13</v>
      </c>
      <c r="B28" s="37">
        <f t="shared" ca="1" si="0"/>
        <v>0.9926558358925841</v>
      </c>
      <c r="C28" s="37">
        <f t="shared" ca="1" si="0"/>
        <v>0.61885963453324466</v>
      </c>
      <c r="D28" s="37">
        <f t="shared" ca="1" si="1"/>
        <v>89.342714184228726</v>
      </c>
      <c r="E28" s="37">
        <f t="shared" ca="1" si="2"/>
        <v>11.348088922404488</v>
      </c>
      <c r="F28" s="37">
        <f t="shared" ca="1" si="3"/>
        <v>370.81766523472828</v>
      </c>
      <c r="G28" s="37">
        <f t="shared" ca="1" si="4"/>
        <v>0</v>
      </c>
      <c r="H28" s="37">
        <f t="shared" ca="1" si="5"/>
        <v>382.16575415713277</v>
      </c>
      <c r="I28" s="37">
        <f t="shared" ca="1" si="6"/>
        <v>11.348088922404486</v>
      </c>
    </row>
    <row r="29" spans="1:9" ht="15.6" x14ac:dyDescent="0.3">
      <c r="A29" s="59">
        <v>14</v>
      </c>
      <c r="B29" s="37">
        <f t="shared" ca="1" si="0"/>
        <v>0.9680610656406391</v>
      </c>
      <c r="C29" s="37">
        <f t="shared" ca="1" si="0"/>
        <v>0.9415198675092934</v>
      </c>
      <c r="D29" s="37">
        <f t="shared" ca="1" si="1"/>
        <v>62.616900010527338</v>
      </c>
      <c r="E29" s="37">
        <f t="shared" ca="1" si="2"/>
        <v>33.400802329061435</v>
      </c>
      <c r="F29" s="37">
        <f t="shared" ca="1" si="3"/>
        <v>433.43456524525561</v>
      </c>
      <c r="G29" s="37">
        <f t="shared" ca="1" si="4"/>
        <v>0</v>
      </c>
      <c r="H29" s="37">
        <f t="shared" ca="1" si="5"/>
        <v>466.83536757431705</v>
      </c>
      <c r="I29" s="37">
        <f t="shared" ca="1" si="6"/>
        <v>33.400802329061435</v>
      </c>
    </row>
    <row r="30" spans="1:9" ht="15.6" x14ac:dyDescent="0.3">
      <c r="A30" s="59">
        <v>15</v>
      </c>
      <c r="B30" s="37">
        <f t="shared" ca="1" si="0"/>
        <v>0.39441270147270868</v>
      </c>
      <c r="C30" s="37">
        <f t="shared" ca="1" si="0"/>
        <v>4.212332785619477E-2</v>
      </c>
      <c r="D30" s="37">
        <f t="shared" ca="1" si="1"/>
        <v>9.119210008155866</v>
      </c>
      <c r="E30" s="37">
        <f t="shared" ca="1" si="2"/>
        <v>0.50630875308814005</v>
      </c>
      <c r="F30" s="37">
        <f t="shared" ca="1" si="3"/>
        <v>442.55377525341146</v>
      </c>
      <c r="G30" s="37">
        <f t="shared" ca="1" si="4"/>
        <v>24.281592320905588</v>
      </c>
      <c r="H30" s="37">
        <f t="shared" ca="1" si="5"/>
        <v>467.3416763274052</v>
      </c>
      <c r="I30" s="37">
        <f t="shared" ca="1" si="6"/>
        <v>24.787901073993737</v>
      </c>
    </row>
    <row r="31" spans="1:9" ht="15.6" x14ac:dyDescent="0.3">
      <c r="A31" s="59">
        <v>16</v>
      </c>
      <c r="B31" s="37">
        <f t="shared" ca="1" si="0"/>
        <v>3.036487827693457E-2</v>
      </c>
      <c r="C31" s="37">
        <f t="shared" ca="1" si="0"/>
        <v>0.22675503817458709</v>
      </c>
      <c r="D31" s="37">
        <f t="shared" ca="1" si="1"/>
        <v>0.56064438952580664</v>
      </c>
      <c r="E31" s="37">
        <f t="shared" ca="1" si="2"/>
        <v>3.0254045061320753</v>
      </c>
      <c r="F31" s="37">
        <f t="shared" ca="1" si="3"/>
        <v>443.11441964293726</v>
      </c>
      <c r="G31" s="37">
        <f t="shared" ca="1" si="4"/>
        <v>24.227256684467932</v>
      </c>
      <c r="H31" s="37">
        <f t="shared" ca="1" si="5"/>
        <v>470.36708083353727</v>
      </c>
      <c r="I31" s="37">
        <f t="shared" ca="1" si="6"/>
        <v>27.252661190600008</v>
      </c>
    </row>
    <row r="32" spans="1:9" ht="15.6" x14ac:dyDescent="0.3">
      <c r="A32" s="59">
        <v>17</v>
      </c>
      <c r="B32" s="37">
        <f t="shared" ca="1" si="0"/>
        <v>0.79968269603329145</v>
      </c>
      <c r="C32" s="37">
        <f t="shared" ca="1" si="0"/>
        <v>0.55815973292092325</v>
      </c>
      <c r="D32" s="37">
        <f t="shared" ca="1" si="1"/>
        <v>29.233684541702122</v>
      </c>
      <c r="E32" s="37">
        <f t="shared" ca="1" si="2"/>
        <v>9.6094923402267067</v>
      </c>
      <c r="F32" s="37">
        <f t="shared" ca="1" si="3"/>
        <v>472.3481041846394</v>
      </c>
      <c r="G32" s="37">
        <f t="shared" ca="1" si="4"/>
        <v>0</v>
      </c>
      <c r="H32" s="37">
        <f t="shared" ca="1" si="5"/>
        <v>481.95759652486612</v>
      </c>
      <c r="I32" s="37">
        <f t="shared" ca="1" si="6"/>
        <v>9.6094923402267227</v>
      </c>
    </row>
    <row r="33" spans="1:9" ht="15.6" x14ac:dyDescent="0.3">
      <c r="A33" s="59">
        <v>18</v>
      </c>
      <c r="B33" s="37">
        <f t="shared" ca="1" si="0"/>
        <v>0.68998182991072921</v>
      </c>
      <c r="C33" s="37">
        <f t="shared" ca="1" si="0"/>
        <v>0.71140651480215045</v>
      </c>
      <c r="D33" s="37">
        <f t="shared" ca="1" si="1"/>
        <v>21.293170364171544</v>
      </c>
      <c r="E33" s="37">
        <f t="shared" ca="1" si="2"/>
        <v>14.620425961284518</v>
      </c>
      <c r="F33" s="37">
        <f t="shared" ca="1" si="3"/>
        <v>493.64127454881094</v>
      </c>
      <c r="G33" s="37">
        <f t="shared" ca="1" si="4"/>
        <v>0</v>
      </c>
      <c r="H33" s="37">
        <f t="shared" ca="1" si="5"/>
        <v>508.26170051009547</v>
      </c>
      <c r="I33" s="37">
        <f t="shared" ca="1" si="6"/>
        <v>14.620425961284525</v>
      </c>
    </row>
    <row r="34" spans="1:9" ht="15.6" x14ac:dyDescent="0.3">
      <c r="A34" s="59">
        <v>19</v>
      </c>
      <c r="B34" s="37">
        <f t="shared" ca="1" si="0"/>
        <v>8.5801500762304861E-2</v>
      </c>
      <c r="C34" s="37">
        <f t="shared" ca="1" si="0"/>
        <v>0.12400339010272232</v>
      </c>
      <c r="D34" s="37">
        <f t="shared" ca="1" si="1"/>
        <v>1.6310464490638659</v>
      </c>
      <c r="E34" s="37">
        <f t="shared" ca="1" si="2"/>
        <v>1.5575653886295369</v>
      </c>
      <c r="F34" s="37">
        <f t="shared" ca="1" si="3"/>
        <v>495.27232099787483</v>
      </c>
      <c r="G34" s="37">
        <f t="shared" ca="1" si="4"/>
        <v>12.989379512220637</v>
      </c>
      <c r="H34" s="37">
        <f t="shared" ca="1" si="5"/>
        <v>509.81926589872501</v>
      </c>
      <c r="I34" s="37">
        <f t="shared" ca="1" si="6"/>
        <v>14.546944900850178</v>
      </c>
    </row>
    <row r="35" spans="1:9" ht="15.6" x14ac:dyDescent="0.3">
      <c r="A35" s="59">
        <v>20</v>
      </c>
      <c r="B35" s="37">
        <f t="shared" ca="1" si="0"/>
        <v>0.6372520715777088</v>
      </c>
      <c r="C35" s="37">
        <f t="shared" ca="1" si="0"/>
        <v>0.36516091259492001</v>
      </c>
      <c r="D35" s="37">
        <f t="shared" ca="1" si="1"/>
        <v>18.437219963505814</v>
      </c>
      <c r="E35" s="37">
        <f t="shared" ca="1" si="2"/>
        <v>5.3456907983926634</v>
      </c>
      <c r="F35" s="37">
        <f t="shared" ca="1" si="3"/>
        <v>513.70954096138064</v>
      </c>
      <c r="G35" s="37">
        <f t="shared" ca="1" si="4"/>
        <v>0</v>
      </c>
      <c r="H35" s="37">
        <f t="shared" ca="1" si="5"/>
        <v>519.05523175977328</v>
      </c>
      <c r="I35" s="37">
        <f t="shared" ca="1" si="6"/>
        <v>5.3456907983926385</v>
      </c>
    </row>
    <row r="36" spans="1:9" x14ac:dyDescent="0.3">
      <c r="D36" s="37">
        <f ca="1">AVERAGE(D16:D35)</f>
        <v>25.685477048069032</v>
      </c>
      <c r="E36" s="37">
        <f ca="1">AVERAGE(E16:E35)</f>
        <v>9.6535021777224372</v>
      </c>
      <c r="G36" s="37">
        <f ca="1">AVERAGE(G16:G35)</f>
        <v>4.523109729743557</v>
      </c>
      <c r="I36" s="53">
        <f ca="1">AVERAGE(I16:I35)</f>
        <v>14.176611907465993</v>
      </c>
    </row>
    <row r="37" spans="1:9" x14ac:dyDescent="0.3">
      <c r="D37" s="37">
        <f ca="1">1/D36</f>
        <v>3.8932506417091346E-2</v>
      </c>
      <c r="E37" s="37">
        <f ca="1">1/E36</f>
        <v>0.10358934836185341</v>
      </c>
      <c r="G37" s="37">
        <f ca="1">SUM(G16:G35)/H35</f>
        <v>0.17428240591694572</v>
      </c>
      <c r="I37" s="37">
        <f ca="1">SUM(SUM(I16:I35))/H35</f>
        <v>0.54624675911280085</v>
      </c>
    </row>
  </sheetData>
  <mergeCells count="10">
    <mergeCell ref="D7:N7"/>
    <mergeCell ref="D8:N8"/>
    <mergeCell ref="D9:N9"/>
    <mergeCell ref="D10:N10"/>
    <mergeCell ref="C1:N1"/>
    <mergeCell ref="D2:N2"/>
    <mergeCell ref="D3:N3"/>
    <mergeCell ref="D4:N4"/>
    <mergeCell ref="D5:N5"/>
    <mergeCell ref="D6:N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CommandButton1">
          <controlPr defaultSize="0" autoLine="0" r:id="rId4">
            <anchor moveWithCells="1">
              <from>
                <xdr:col>9</xdr:col>
                <xdr:colOff>121920</xdr:colOff>
                <xdr:row>21</xdr:row>
                <xdr:rowOff>106680</xdr:rowOff>
              </from>
              <to>
                <xdr:col>9</xdr:col>
                <xdr:colOff>388620</xdr:colOff>
                <xdr:row>26</xdr:row>
                <xdr:rowOff>182880</xdr:rowOff>
              </to>
            </anchor>
          </controlPr>
        </control>
      </mc:Choice>
      <mc:Fallback>
        <control shapeId="19457" r:id="rId3" name="CommandButton1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6"/>
  <dimension ref="A1:P37"/>
  <sheetViews>
    <sheetView topLeftCell="A7" workbookViewId="0">
      <selection activeCell="A7" sqref="A7"/>
    </sheetView>
  </sheetViews>
  <sheetFormatPr defaultRowHeight="14.4" x14ac:dyDescent="0.3"/>
  <sheetData>
    <row r="1" spans="1:16" ht="21" x14ac:dyDescent="0.35">
      <c r="C1" s="89" t="s">
        <v>118</v>
      </c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P1" s="47" t="s">
        <v>131</v>
      </c>
    </row>
    <row r="2" spans="1:16" ht="18" x14ac:dyDescent="0.35">
      <c r="C2" s="44" t="s">
        <v>114</v>
      </c>
      <c r="D2" s="87" t="s">
        <v>143</v>
      </c>
      <c r="E2" s="87"/>
      <c r="F2" s="87"/>
      <c r="G2" s="87"/>
      <c r="H2" s="87"/>
      <c r="I2" s="87"/>
      <c r="J2" s="87"/>
      <c r="K2" s="87"/>
      <c r="L2" s="87"/>
      <c r="M2" s="87"/>
      <c r="N2" s="87"/>
    </row>
    <row r="3" spans="1:16" ht="18" x14ac:dyDescent="0.35">
      <c r="C3" s="44" t="s">
        <v>115</v>
      </c>
      <c r="D3" s="87" t="s">
        <v>137</v>
      </c>
      <c r="E3" s="87"/>
      <c r="F3" s="87"/>
      <c r="G3" s="87"/>
      <c r="H3" s="87"/>
      <c r="I3" s="87"/>
      <c r="J3" s="87"/>
      <c r="K3" s="87"/>
      <c r="L3" s="87"/>
      <c r="M3" s="87"/>
      <c r="N3" s="87"/>
    </row>
    <row r="4" spans="1:16" ht="18" x14ac:dyDescent="0.35">
      <c r="C4" s="45" t="s">
        <v>116</v>
      </c>
      <c r="D4" s="88" t="s">
        <v>117</v>
      </c>
      <c r="E4" s="88"/>
      <c r="F4" s="88"/>
      <c r="G4" s="88"/>
      <c r="H4" s="88"/>
      <c r="I4" s="88"/>
      <c r="J4" s="88"/>
      <c r="K4" s="88"/>
      <c r="L4" s="88"/>
      <c r="M4" s="88"/>
      <c r="N4" s="88"/>
    </row>
    <row r="5" spans="1:16" ht="20.399999999999999" x14ac:dyDescent="0.35">
      <c r="C5" s="45" t="s">
        <v>119</v>
      </c>
      <c r="D5" s="87" t="s">
        <v>125</v>
      </c>
      <c r="E5" s="87"/>
      <c r="F5" s="87"/>
      <c r="G5" s="87"/>
      <c r="H5" s="87"/>
      <c r="I5" s="87"/>
      <c r="J5" s="87"/>
      <c r="K5" s="87"/>
      <c r="L5" s="87"/>
      <c r="M5" s="87"/>
      <c r="N5" s="87"/>
    </row>
    <row r="6" spans="1:16" ht="20.399999999999999" x14ac:dyDescent="0.35">
      <c r="C6" s="45" t="s">
        <v>120</v>
      </c>
      <c r="D6" s="87" t="s">
        <v>126</v>
      </c>
      <c r="E6" s="87"/>
      <c r="F6" s="87"/>
      <c r="G6" s="87"/>
      <c r="H6" s="87"/>
      <c r="I6" s="87"/>
      <c r="J6" s="87"/>
      <c r="K6" s="87"/>
      <c r="L6" s="87"/>
      <c r="M6" s="87"/>
      <c r="N6" s="87"/>
    </row>
    <row r="7" spans="1:16" ht="20.399999999999999" x14ac:dyDescent="0.35">
      <c r="C7" s="45" t="s">
        <v>121</v>
      </c>
      <c r="D7" s="90" t="s">
        <v>127</v>
      </c>
      <c r="E7" s="91"/>
      <c r="F7" s="91"/>
      <c r="G7" s="91"/>
      <c r="H7" s="91"/>
      <c r="I7" s="91"/>
      <c r="J7" s="91"/>
      <c r="K7" s="91"/>
      <c r="L7" s="91"/>
      <c r="M7" s="91"/>
      <c r="N7" s="92"/>
    </row>
    <row r="8" spans="1:16" ht="20.399999999999999" x14ac:dyDescent="0.35">
      <c r="C8" s="45" t="s">
        <v>122</v>
      </c>
      <c r="D8" s="87" t="s">
        <v>128</v>
      </c>
      <c r="E8" s="87"/>
      <c r="F8" s="87"/>
      <c r="G8" s="87"/>
      <c r="H8" s="87"/>
      <c r="I8" s="87"/>
      <c r="J8" s="87"/>
      <c r="K8" s="87"/>
      <c r="L8" s="87"/>
      <c r="M8" s="87"/>
      <c r="N8" s="87"/>
    </row>
    <row r="9" spans="1:16" ht="20.399999999999999" x14ac:dyDescent="0.35">
      <c r="C9" s="45" t="s">
        <v>123</v>
      </c>
      <c r="D9" s="87" t="s">
        <v>129</v>
      </c>
      <c r="E9" s="87"/>
      <c r="F9" s="87"/>
      <c r="G9" s="87"/>
      <c r="H9" s="87"/>
      <c r="I9" s="87"/>
      <c r="J9" s="87"/>
      <c r="K9" s="87"/>
      <c r="L9" s="87"/>
      <c r="M9" s="87"/>
      <c r="N9" s="87"/>
    </row>
    <row r="10" spans="1:16" ht="20.399999999999999" x14ac:dyDescent="0.35">
      <c r="C10" s="45" t="s">
        <v>124</v>
      </c>
      <c r="D10" s="87" t="s">
        <v>130</v>
      </c>
      <c r="E10" s="87"/>
      <c r="F10" s="87"/>
      <c r="G10" s="87"/>
      <c r="H10" s="87"/>
      <c r="I10" s="87"/>
      <c r="J10" s="87"/>
      <c r="K10" s="87"/>
      <c r="L10" s="87"/>
      <c r="M10" s="87"/>
      <c r="N10" s="87"/>
    </row>
    <row r="12" spans="1:16" ht="20.399999999999999" x14ac:dyDescent="0.3">
      <c r="B12">
        <f>1/D12</f>
        <v>18.181818181818183</v>
      </c>
      <c r="C12" s="48" t="s">
        <v>132</v>
      </c>
      <c r="D12" s="50">
        <v>5.5E-2</v>
      </c>
      <c r="E12" s="51" t="s">
        <v>134</v>
      </c>
      <c r="F12" s="48">
        <f>1/D12</f>
        <v>18.181818181818183</v>
      </c>
      <c r="J12" s="60" t="s">
        <v>115</v>
      </c>
      <c r="L12" s="56" t="s">
        <v>122</v>
      </c>
      <c r="N12" s="61" t="s">
        <v>144</v>
      </c>
    </row>
    <row r="13" spans="1:16" ht="19.8" x14ac:dyDescent="0.3">
      <c r="B13">
        <f>1/D13</f>
        <v>11.76470588235294</v>
      </c>
      <c r="C13" s="49" t="s">
        <v>133</v>
      </c>
      <c r="D13" s="50">
        <v>8.5000000000000006E-2</v>
      </c>
      <c r="E13" s="51" t="s">
        <v>134</v>
      </c>
      <c r="F13" s="48">
        <f>1/D13</f>
        <v>11.76470588235294</v>
      </c>
    </row>
    <row r="15" spans="1:16" ht="20.399999999999999" x14ac:dyDescent="0.3">
      <c r="A15" s="56" t="s">
        <v>19</v>
      </c>
      <c r="B15" s="56" t="s">
        <v>104</v>
      </c>
      <c r="C15" s="56" t="s">
        <v>105</v>
      </c>
      <c r="D15" s="56" t="s">
        <v>119</v>
      </c>
      <c r="E15" s="56" t="s">
        <v>120</v>
      </c>
      <c r="F15" s="56" t="s">
        <v>123</v>
      </c>
      <c r="G15" s="56" t="s">
        <v>121</v>
      </c>
      <c r="H15" s="56" t="s">
        <v>124</v>
      </c>
      <c r="I15" s="56" t="s">
        <v>122</v>
      </c>
    </row>
    <row r="16" spans="1:16" ht="15.6" x14ac:dyDescent="0.3">
      <c r="A16" s="59">
        <v>1</v>
      </c>
      <c r="B16" s="37">
        <f ca="1">RAND()</f>
        <v>0.6065909884988202</v>
      </c>
      <c r="C16" s="37">
        <f ca="1">RAND()</f>
        <v>0.65263544861743972</v>
      </c>
      <c r="D16" s="65">
        <f ca="1">(1/$D$12)*LN(1/(1-B16))</f>
        <v>16.961917574105588</v>
      </c>
      <c r="E16" s="65">
        <f ca="1">(1/$D$13)*LN(1/(1-C16))</f>
        <v>12.439770237122429</v>
      </c>
      <c r="F16" s="64">
        <f ca="1">D16</f>
        <v>16.961917574105588</v>
      </c>
      <c r="G16" s="64">
        <v>0</v>
      </c>
      <c r="H16" s="64">
        <f ca="1">F16+G16+E16</f>
        <v>29.401687811228015</v>
      </c>
      <c r="I16" s="64">
        <f ca="1">H16-F16</f>
        <v>12.439770237122428</v>
      </c>
    </row>
    <row r="17" spans="1:9" ht="15.6" x14ac:dyDescent="0.3">
      <c r="A17" s="59">
        <v>2</v>
      </c>
      <c r="B17" s="37">
        <f t="shared" ref="B17:C35" ca="1" si="0">RAND()</f>
        <v>0.15632795267409338</v>
      </c>
      <c r="C17" s="37">
        <f t="shared" ca="1" si="0"/>
        <v>0.78856812026599366</v>
      </c>
      <c r="D17" s="65">
        <f ca="1">(1/$D$12)*LN(1/(1-B17))</f>
        <v>3.0907532621444638</v>
      </c>
      <c r="E17" s="65">
        <f ca="1">(1/$D$13)*LN(1/(1-C17))</f>
        <v>18.280616635425151</v>
      </c>
      <c r="F17" s="64">
        <f ca="1">F16+D17</f>
        <v>20.052670836250051</v>
      </c>
      <c r="G17" s="64">
        <f ca="1">IF(F17&gt;H16,0,H16-F17)</f>
        <v>9.3490169749779639</v>
      </c>
      <c r="H17" s="64">
        <f ca="1">F17+G17+E17</f>
        <v>47.682304446653163</v>
      </c>
      <c r="I17" s="64">
        <f ca="1">H17-F17</f>
        <v>27.629633610403111</v>
      </c>
    </row>
    <row r="18" spans="1:9" ht="15.6" x14ac:dyDescent="0.3">
      <c r="A18" s="59">
        <v>3</v>
      </c>
      <c r="B18" s="37">
        <f t="shared" ca="1" si="0"/>
        <v>0.72311679064765499</v>
      </c>
      <c r="C18" s="37">
        <f t="shared" ca="1" si="0"/>
        <v>0.26905401509533888</v>
      </c>
      <c r="D18" s="65">
        <f t="shared" ref="D18:D34" ca="1" si="1">(1/$D$12)*LN(1/(1-B18))</f>
        <v>23.348354338022684</v>
      </c>
      <c r="E18" s="65">
        <f t="shared" ref="E18:E34" ca="1" si="2">(1/$D$13)*LN(1/(1-C18))</f>
        <v>3.6872436943740974</v>
      </c>
      <c r="F18" s="64">
        <f t="shared" ref="F18:F34" ca="1" si="3">F17+D18</f>
        <v>43.401025174272732</v>
      </c>
      <c r="G18" s="64">
        <f t="shared" ref="G18:G35" ca="1" si="4">IF(F18&gt;H17,0,H17-F18)</f>
        <v>4.2812792723804307</v>
      </c>
      <c r="H18" s="64">
        <f t="shared" ref="H18:H34" ca="1" si="5">F18+G18+E18</f>
        <v>51.369548141027259</v>
      </c>
      <c r="I18" s="64">
        <f t="shared" ref="I18:I34" ca="1" si="6">H18-F18</f>
        <v>7.9685229667545272</v>
      </c>
    </row>
    <row r="19" spans="1:9" ht="15.6" x14ac:dyDescent="0.3">
      <c r="A19" s="59">
        <v>4</v>
      </c>
      <c r="B19" s="37">
        <f t="shared" ca="1" si="0"/>
        <v>0.83989444630957899</v>
      </c>
      <c r="C19" s="37">
        <f t="shared" ca="1" si="0"/>
        <v>0.76072878222060791</v>
      </c>
      <c r="D19" s="65">
        <f t="shared" ca="1" si="1"/>
        <v>33.307672194482457</v>
      </c>
      <c r="E19" s="65">
        <f t="shared" ca="1" si="2"/>
        <v>16.825383153270035</v>
      </c>
      <c r="F19" s="64">
        <f t="shared" ca="1" si="3"/>
        <v>76.708697368755196</v>
      </c>
      <c r="G19" s="64">
        <f t="shared" ca="1" si="4"/>
        <v>0</v>
      </c>
      <c r="H19" s="64">
        <f t="shared" ca="1" si="5"/>
        <v>93.534080522025235</v>
      </c>
      <c r="I19" s="64">
        <f t="shared" ca="1" si="6"/>
        <v>16.825383153270039</v>
      </c>
    </row>
    <row r="20" spans="1:9" ht="15.6" x14ac:dyDescent="0.3">
      <c r="A20" s="59">
        <v>5</v>
      </c>
      <c r="B20" s="37">
        <f t="shared" ca="1" si="0"/>
        <v>8.6496752067242166E-2</v>
      </c>
      <c r="C20" s="37">
        <f t="shared" ca="1" si="0"/>
        <v>0.57025693590071236</v>
      </c>
      <c r="D20" s="65">
        <f t="shared" ca="1" si="1"/>
        <v>1.6448790488809117</v>
      </c>
      <c r="E20" s="65">
        <f t="shared" ca="1" si="2"/>
        <v>9.9360914615816416</v>
      </c>
      <c r="F20" s="64">
        <f t="shared" ca="1" si="3"/>
        <v>78.353576417636106</v>
      </c>
      <c r="G20" s="64">
        <f t="shared" ca="1" si="4"/>
        <v>15.180504104389129</v>
      </c>
      <c r="H20" s="64">
        <f t="shared" ca="1" si="5"/>
        <v>103.47017198360687</v>
      </c>
      <c r="I20" s="64">
        <f t="shared" ca="1" si="6"/>
        <v>25.116595565970769</v>
      </c>
    </row>
    <row r="21" spans="1:9" ht="15.6" x14ac:dyDescent="0.3">
      <c r="A21" s="59">
        <v>6</v>
      </c>
      <c r="B21" s="37">
        <f t="shared" ca="1" si="0"/>
        <v>0.21912188051342807</v>
      </c>
      <c r="C21" s="37">
        <f t="shared" ca="1" si="0"/>
        <v>0.60098545861711716</v>
      </c>
      <c r="D21" s="65">
        <f t="shared" ca="1" si="1"/>
        <v>4.4970217875643179</v>
      </c>
      <c r="E21" s="65">
        <f t="shared" ca="1" si="2"/>
        <v>10.808910802208612</v>
      </c>
      <c r="F21" s="64">
        <f t="shared" ca="1" si="3"/>
        <v>82.850598205200427</v>
      </c>
      <c r="G21" s="64">
        <f t="shared" ca="1" si="4"/>
        <v>20.619573778406448</v>
      </c>
      <c r="H21" s="64">
        <f t="shared" ca="1" si="5"/>
        <v>114.27908278581549</v>
      </c>
      <c r="I21" s="64">
        <f t="shared" ca="1" si="6"/>
        <v>31.428484580615063</v>
      </c>
    </row>
    <row r="22" spans="1:9" ht="15.6" x14ac:dyDescent="0.3">
      <c r="A22" s="59">
        <v>7</v>
      </c>
      <c r="B22" s="37">
        <f t="shared" ca="1" si="0"/>
        <v>0.27453761170579294</v>
      </c>
      <c r="C22" s="37">
        <f t="shared" ca="1" si="0"/>
        <v>0.45949405128951748</v>
      </c>
      <c r="D22" s="65">
        <f t="shared" ca="1" si="1"/>
        <v>5.8353827356950276</v>
      </c>
      <c r="E22" s="65">
        <f t="shared" ca="1" si="2"/>
        <v>7.2382310120423625</v>
      </c>
      <c r="F22" s="64">
        <f t="shared" ca="1" si="3"/>
        <v>88.685980940895462</v>
      </c>
      <c r="G22" s="64">
        <f t="shared" ca="1" si="4"/>
        <v>25.593101844920028</v>
      </c>
      <c r="H22" s="64">
        <f t="shared" ca="1" si="5"/>
        <v>121.51731379785785</v>
      </c>
      <c r="I22" s="64">
        <f t="shared" ca="1" si="6"/>
        <v>32.831332856962391</v>
      </c>
    </row>
    <row r="23" spans="1:9" ht="15.6" x14ac:dyDescent="0.3">
      <c r="A23" s="59">
        <v>8</v>
      </c>
      <c r="B23" s="37">
        <f t="shared" ca="1" si="0"/>
        <v>5.0819152399325218E-2</v>
      </c>
      <c r="C23" s="37">
        <f t="shared" ca="1" si="0"/>
        <v>0.72328484594107612</v>
      </c>
      <c r="D23" s="65">
        <f t="shared" ca="1" si="1"/>
        <v>0.94828967338076975</v>
      </c>
      <c r="E23" s="65">
        <f t="shared" ca="1" si="2"/>
        <v>15.11490148918133</v>
      </c>
      <c r="F23" s="64">
        <f t="shared" ca="1" si="3"/>
        <v>89.634270614276232</v>
      </c>
      <c r="G23" s="64">
        <f t="shared" ca="1" si="4"/>
        <v>31.88304318358162</v>
      </c>
      <c r="H23" s="64">
        <f t="shared" ca="1" si="5"/>
        <v>136.63221528703917</v>
      </c>
      <c r="I23" s="64">
        <f t="shared" ca="1" si="6"/>
        <v>46.997944672762941</v>
      </c>
    </row>
    <row r="24" spans="1:9" ht="15.6" x14ac:dyDescent="0.3">
      <c r="A24" s="59">
        <v>9</v>
      </c>
      <c r="B24" s="37">
        <f t="shared" ca="1" si="0"/>
        <v>0.67779221750493679</v>
      </c>
      <c r="C24" s="37">
        <f t="shared" ca="1" si="0"/>
        <v>0.6029679880059533</v>
      </c>
      <c r="D24" s="65">
        <f t="shared" ca="1" si="1"/>
        <v>20.591975532623216</v>
      </c>
      <c r="E24" s="65">
        <f t="shared" ca="1" si="2"/>
        <v>10.867510197647569</v>
      </c>
      <c r="F24" s="64">
        <f t="shared" ca="1" si="3"/>
        <v>110.22624614689946</v>
      </c>
      <c r="G24" s="64">
        <f t="shared" ca="1" si="4"/>
        <v>26.405969140139717</v>
      </c>
      <c r="H24" s="64">
        <f t="shared" ca="1" si="5"/>
        <v>147.49972548468673</v>
      </c>
      <c r="I24" s="64">
        <f t="shared" ca="1" si="6"/>
        <v>37.273479337787279</v>
      </c>
    </row>
    <row r="25" spans="1:9" ht="15.6" x14ac:dyDescent="0.3">
      <c r="A25" s="59">
        <v>10</v>
      </c>
      <c r="B25" s="37">
        <f t="shared" ca="1" si="0"/>
        <v>0.65670658726199471</v>
      </c>
      <c r="C25" s="37">
        <f t="shared" ca="1" si="0"/>
        <v>0.71816217808223137</v>
      </c>
      <c r="D25" s="65">
        <f t="shared" ca="1" si="1"/>
        <v>19.439450304827041</v>
      </c>
      <c r="E25" s="65">
        <f t="shared" ca="1" si="2"/>
        <v>14.899099683054105</v>
      </c>
      <c r="F25" s="64">
        <f t="shared" ca="1" si="3"/>
        <v>129.66569645172649</v>
      </c>
      <c r="G25" s="64">
        <f t="shared" ca="1" si="4"/>
        <v>17.834029032960245</v>
      </c>
      <c r="H25" s="64">
        <f t="shared" ca="1" si="5"/>
        <v>162.39882516774085</v>
      </c>
      <c r="I25" s="64">
        <f t="shared" ca="1" si="6"/>
        <v>32.733128716014363</v>
      </c>
    </row>
    <row r="26" spans="1:9" ht="15.6" x14ac:dyDescent="0.3">
      <c r="A26" s="59">
        <v>11</v>
      </c>
      <c r="B26" s="37">
        <f t="shared" ca="1" si="0"/>
        <v>0.80964864501788181</v>
      </c>
      <c r="C26" s="37">
        <f t="shared" ca="1" si="0"/>
        <v>0.503765705316913</v>
      </c>
      <c r="D26" s="65">
        <f t="shared" ca="1" si="1"/>
        <v>30.161521414671352</v>
      </c>
      <c r="E26" s="65">
        <f t="shared" ca="1" si="2"/>
        <v>8.2436128879449928</v>
      </c>
      <c r="F26" s="64">
        <f t="shared" ca="1" si="3"/>
        <v>159.82721786639783</v>
      </c>
      <c r="G26" s="64">
        <f t="shared" ca="1" si="4"/>
        <v>2.5716073013430218</v>
      </c>
      <c r="H26" s="64">
        <f t="shared" ca="1" si="5"/>
        <v>170.64243805568586</v>
      </c>
      <c r="I26" s="64">
        <f t="shared" ca="1" si="6"/>
        <v>10.815220189288027</v>
      </c>
    </row>
    <row r="27" spans="1:9" ht="15.6" x14ac:dyDescent="0.3">
      <c r="A27" s="59">
        <v>12</v>
      </c>
      <c r="B27" s="37">
        <f t="shared" ca="1" si="0"/>
        <v>0.83659705626937764</v>
      </c>
      <c r="C27" s="37">
        <f t="shared" ca="1" si="0"/>
        <v>0.71837085157708624</v>
      </c>
      <c r="D27" s="65">
        <f t="shared" ca="1" si="1"/>
        <v>32.937019658749577</v>
      </c>
      <c r="E27" s="65">
        <f t="shared" ca="1" si="2"/>
        <v>14.907813529770483</v>
      </c>
      <c r="F27" s="64">
        <f t="shared" ca="1" si="3"/>
        <v>192.76423752514739</v>
      </c>
      <c r="G27" s="64">
        <f t="shared" ca="1" si="4"/>
        <v>0</v>
      </c>
      <c r="H27" s="64">
        <f t="shared" ca="1" si="5"/>
        <v>207.67205105491789</v>
      </c>
      <c r="I27" s="64">
        <f t="shared" ca="1" si="6"/>
        <v>14.907813529770493</v>
      </c>
    </row>
    <row r="28" spans="1:9" ht="15.6" x14ac:dyDescent="0.3">
      <c r="A28" s="59">
        <v>13</v>
      </c>
      <c r="B28" s="37">
        <f t="shared" ca="1" si="0"/>
        <v>0.20607336055893544</v>
      </c>
      <c r="C28" s="37">
        <f t="shared" ca="1" si="0"/>
        <v>0.34521367803199954</v>
      </c>
      <c r="D28" s="65">
        <f t="shared" ca="1" si="1"/>
        <v>4.1957130119019963</v>
      </c>
      <c r="E28" s="65">
        <f t="shared" ca="1" si="2"/>
        <v>4.9817214420378342</v>
      </c>
      <c r="F28" s="64">
        <f t="shared" ca="1" si="3"/>
        <v>196.95995053704939</v>
      </c>
      <c r="G28" s="64">
        <f t="shared" ca="1" si="4"/>
        <v>10.712100517868492</v>
      </c>
      <c r="H28" s="64">
        <f t="shared" ca="1" si="5"/>
        <v>212.65377249695572</v>
      </c>
      <c r="I28" s="64">
        <f t="shared" ca="1" si="6"/>
        <v>15.69382195990633</v>
      </c>
    </row>
    <row r="29" spans="1:9" ht="15.6" x14ac:dyDescent="0.3">
      <c r="A29" s="59">
        <v>14</v>
      </c>
      <c r="B29" s="37">
        <f t="shared" ca="1" si="0"/>
        <v>0.11216413959730953</v>
      </c>
      <c r="C29" s="37">
        <f t="shared" ca="1" si="0"/>
        <v>0.51356522351207001</v>
      </c>
      <c r="D29" s="65">
        <f t="shared" ca="1" si="1"/>
        <v>2.163061726621752</v>
      </c>
      <c r="E29" s="65">
        <f t="shared" ca="1" si="2"/>
        <v>8.4782641549687945</v>
      </c>
      <c r="F29" s="64">
        <f t="shared" ca="1" si="3"/>
        <v>199.12301226367114</v>
      </c>
      <c r="G29" s="64">
        <f t="shared" ca="1" si="4"/>
        <v>13.530760233284582</v>
      </c>
      <c r="H29" s="64">
        <f t="shared" ca="1" si="5"/>
        <v>221.13203665192452</v>
      </c>
      <c r="I29" s="64">
        <f t="shared" ca="1" si="6"/>
        <v>22.00902438825338</v>
      </c>
    </row>
    <row r="30" spans="1:9" ht="15.6" x14ac:dyDescent="0.3">
      <c r="A30" s="59">
        <v>15</v>
      </c>
      <c r="B30" s="37">
        <f t="shared" ca="1" si="0"/>
        <v>0.77329507392962671</v>
      </c>
      <c r="C30" s="37">
        <f t="shared" ca="1" si="0"/>
        <v>0.18410683432556296</v>
      </c>
      <c r="D30" s="65">
        <f t="shared" ca="1" si="1"/>
        <v>26.983745313396977</v>
      </c>
      <c r="E30" s="65">
        <f t="shared" ca="1" si="2"/>
        <v>2.3937865530348472</v>
      </c>
      <c r="F30" s="64">
        <f t="shared" ca="1" si="3"/>
        <v>226.10675757706812</v>
      </c>
      <c r="G30" s="64">
        <f t="shared" ca="1" si="4"/>
        <v>0</v>
      </c>
      <c r="H30" s="64">
        <f t="shared" ca="1" si="5"/>
        <v>228.50054413010298</v>
      </c>
      <c r="I30" s="64">
        <f t="shared" ca="1" si="6"/>
        <v>2.3937865530348574</v>
      </c>
    </row>
    <row r="31" spans="1:9" ht="15.6" x14ac:dyDescent="0.3">
      <c r="A31" s="59">
        <v>16</v>
      </c>
      <c r="B31" s="37">
        <f t="shared" ca="1" si="0"/>
        <v>0.69207585419360118</v>
      </c>
      <c r="C31" s="37">
        <f t="shared" ca="1" si="0"/>
        <v>0.557892860608448</v>
      </c>
      <c r="D31" s="65">
        <f t="shared" ca="1" si="1"/>
        <v>21.416396476177809</v>
      </c>
      <c r="E31" s="65">
        <f t="shared" ca="1" si="2"/>
        <v>9.6023885819333383</v>
      </c>
      <c r="F31" s="64">
        <f t="shared" ca="1" si="3"/>
        <v>247.52315405324595</v>
      </c>
      <c r="G31" s="64">
        <f t="shared" ca="1" si="4"/>
        <v>0</v>
      </c>
      <c r="H31" s="64">
        <f t="shared" ca="1" si="5"/>
        <v>257.12554263517927</v>
      </c>
      <c r="I31" s="64">
        <f t="shared" ca="1" si="6"/>
        <v>9.6023885819333259</v>
      </c>
    </row>
    <row r="32" spans="1:9" ht="15.6" x14ac:dyDescent="0.3">
      <c r="A32" s="59">
        <v>17</v>
      </c>
      <c r="B32" s="37">
        <f t="shared" ca="1" si="0"/>
        <v>0.65753360489925838</v>
      </c>
      <c r="C32" s="37">
        <f t="shared" ca="1" si="0"/>
        <v>6.9948385683998859E-3</v>
      </c>
      <c r="D32" s="65">
        <f t="shared" ca="1" si="1"/>
        <v>19.483304410686912</v>
      </c>
      <c r="E32" s="65">
        <f t="shared" ca="1" si="2"/>
        <v>8.2581378048927664E-2</v>
      </c>
      <c r="F32" s="64">
        <f t="shared" ca="1" si="3"/>
        <v>267.00645846393286</v>
      </c>
      <c r="G32" s="64">
        <f t="shared" ca="1" si="4"/>
        <v>0</v>
      </c>
      <c r="H32" s="64">
        <f t="shared" ca="1" si="5"/>
        <v>267.08903984198179</v>
      </c>
      <c r="I32" s="64">
        <f t="shared" ca="1" si="6"/>
        <v>8.25813780489284E-2</v>
      </c>
    </row>
    <row r="33" spans="1:9" ht="15.6" x14ac:dyDescent="0.3">
      <c r="A33" s="59">
        <v>18</v>
      </c>
      <c r="B33" s="37">
        <f t="shared" ca="1" si="0"/>
        <v>0.78563688664183218</v>
      </c>
      <c r="C33" s="37">
        <f t="shared" ca="1" si="0"/>
        <v>0.99842384092631198</v>
      </c>
      <c r="D33" s="65">
        <f t="shared" ca="1" si="1"/>
        <v>28.001525645293686</v>
      </c>
      <c r="E33" s="65">
        <f t="shared" ca="1" si="2"/>
        <v>75.914874794809649</v>
      </c>
      <c r="F33" s="64">
        <f t="shared" ca="1" si="3"/>
        <v>295.00798410922653</v>
      </c>
      <c r="G33" s="64">
        <f t="shared" ca="1" si="4"/>
        <v>0</v>
      </c>
      <c r="H33" s="64">
        <f t="shared" ca="1" si="5"/>
        <v>370.92285890403616</v>
      </c>
      <c r="I33" s="64">
        <f t="shared" ca="1" si="6"/>
        <v>75.914874794809634</v>
      </c>
    </row>
    <row r="34" spans="1:9" ht="15.6" x14ac:dyDescent="0.3">
      <c r="A34" s="59">
        <v>19</v>
      </c>
      <c r="B34" s="37">
        <f t="shared" ca="1" si="0"/>
        <v>0.12456522920962476</v>
      </c>
      <c r="C34" s="37">
        <f t="shared" ca="1" si="0"/>
        <v>0.97453871128071001</v>
      </c>
      <c r="D34" s="65">
        <f t="shared" ca="1" si="1"/>
        <v>2.4188115477395664</v>
      </c>
      <c r="E34" s="65">
        <f t="shared" ca="1" si="2"/>
        <v>43.183483173207783</v>
      </c>
      <c r="F34" s="64">
        <f t="shared" ca="1" si="3"/>
        <v>297.42679565696608</v>
      </c>
      <c r="G34" s="64">
        <f t="shared" ca="1" si="4"/>
        <v>73.496063247070083</v>
      </c>
      <c r="H34" s="64">
        <f t="shared" ca="1" si="5"/>
        <v>414.10634207724394</v>
      </c>
      <c r="I34" s="64">
        <f t="shared" ca="1" si="6"/>
        <v>116.67954642027786</v>
      </c>
    </row>
    <row r="35" spans="1:9" ht="15.6" x14ac:dyDescent="0.3">
      <c r="A35" s="59">
        <v>20</v>
      </c>
      <c r="B35" s="37">
        <f t="shared" ca="1" si="0"/>
        <v>0.7179752905766531</v>
      </c>
      <c r="C35" s="37">
        <f t="shared" ca="1" si="0"/>
        <v>0.32450990937492274</v>
      </c>
      <c r="D35" s="65">
        <f t="shared" ref="D35" ca="1" si="7">(1/$D$12)*LN(1/(1-B35))</f>
        <v>23.013828905709214</v>
      </c>
      <c r="E35" s="65">
        <f t="shared" ref="E35" ca="1" si="8">(1/$D$13)*LN(1/(1-C35))</f>
        <v>4.6154916632763427</v>
      </c>
      <c r="F35" s="64">
        <f t="shared" ref="F35" ca="1" si="9">F34+D35</f>
        <v>320.44062456267528</v>
      </c>
      <c r="G35" s="64">
        <f t="shared" ca="1" si="4"/>
        <v>93.665717514568655</v>
      </c>
      <c r="H35" s="64">
        <f t="shared" ref="H35" ca="1" si="10">F35+G35+E35</f>
        <v>418.72183374052025</v>
      </c>
      <c r="I35" s="64">
        <f t="shared" ref="I35" ca="1" si="11">H35-F35</f>
        <v>98.281209177844971</v>
      </c>
    </row>
    <row r="36" spans="1:9" x14ac:dyDescent="0.3">
      <c r="D36" s="65">
        <f ca="1">AVERAGE(D16:D35)</f>
        <v>16.022031228133763</v>
      </c>
      <c r="E36" s="65">
        <f ca="1">AVERAGE(E16:E35)</f>
        <v>14.625088826247014</v>
      </c>
      <c r="G36" s="65">
        <f ca="1">AVERAGE(G16:G35)</f>
        <v>17.25613830729452</v>
      </c>
      <c r="I36" s="65">
        <f ca="1">AVERAGE(I16:I35)</f>
        <v>31.881227133541536</v>
      </c>
    </row>
    <row r="37" spans="1:9" x14ac:dyDescent="0.3">
      <c r="D37" s="65">
        <f ca="1">1/D36</f>
        <v>6.2414058851917455E-2</v>
      </c>
      <c r="E37" s="65">
        <f ca="1">1/E36</f>
        <v>6.8375653090417016E-2</v>
      </c>
      <c r="G37" s="65">
        <f ca="1">SUM(G16:G35)/H35</f>
        <v>0.82422920979029046</v>
      </c>
      <c r="I37" s="65">
        <f ca="1">SUM(SUM(I16:I35))/H35</f>
        <v>1.5227879018746449</v>
      </c>
    </row>
  </sheetData>
  <mergeCells count="10">
    <mergeCell ref="D7:N7"/>
    <mergeCell ref="D8:N8"/>
    <mergeCell ref="D9:N9"/>
    <mergeCell ref="D10:N10"/>
    <mergeCell ref="C1:N1"/>
    <mergeCell ref="D2:N2"/>
    <mergeCell ref="D3:N3"/>
    <mergeCell ref="D4:N4"/>
    <mergeCell ref="D5:N5"/>
    <mergeCell ref="D6:N6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ommandButton1">
          <controlPr defaultSize="0" autoLine="0" r:id="rId4">
            <anchor moveWithCells="1">
              <from>
                <xdr:col>9</xdr:col>
                <xdr:colOff>99060</xdr:colOff>
                <xdr:row>21</xdr:row>
                <xdr:rowOff>22860</xdr:rowOff>
              </from>
              <to>
                <xdr:col>9</xdr:col>
                <xdr:colOff>411480</xdr:colOff>
                <xdr:row>26</xdr:row>
                <xdr:rowOff>7620</xdr:rowOff>
              </to>
            </anchor>
          </controlPr>
        </control>
      </mc:Choice>
      <mc:Fallback>
        <control shapeId="20481" r:id="rId3" name="CommandButton1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7"/>
  <dimension ref="A1:O33"/>
  <sheetViews>
    <sheetView workbookViewId="0"/>
  </sheetViews>
  <sheetFormatPr defaultRowHeight="14.4" x14ac:dyDescent="0.3"/>
  <sheetData>
    <row r="1" spans="1:15" ht="20.399999999999999" x14ac:dyDescent="0.35">
      <c r="B1" s="66" t="s">
        <v>172</v>
      </c>
    </row>
    <row r="2" spans="1:15" x14ac:dyDescent="0.3">
      <c r="B2" s="67" t="s">
        <v>173</v>
      </c>
      <c r="C2" s="30">
        <v>0.04</v>
      </c>
      <c r="D2" s="30" t="s">
        <v>19</v>
      </c>
      <c r="E2" s="30">
        <v>1</v>
      </c>
      <c r="F2" s="30">
        <v>2</v>
      </c>
      <c r="G2" s="30">
        <v>3</v>
      </c>
    </row>
    <row r="3" spans="1:15" x14ac:dyDescent="0.3">
      <c r="D3" s="30" t="s">
        <v>167</v>
      </c>
      <c r="E3" s="37">
        <v>0.5</v>
      </c>
      <c r="F3" s="37">
        <v>0.3</v>
      </c>
      <c r="G3" s="37">
        <v>0.2</v>
      </c>
    </row>
    <row r="5" spans="1:15" x14ac:dyDescent="0.3">
      <c r="A5" s="30" t="s">
        <v>19</v>
      </c>
      <c r="B5" s="30" t="s">
        <v>165</v>
      </c>
      <c r="C5" s="30" t="s">
        <v>166</v>
      </c>
      <c r="D5" s="30" t="s">
        <v>171</v>
      </c>
      <c r="E5" s="30" t="s">
        <v>168</v>
      </c>
      <c r="F5" s="30" t="s">
        <v>169</v>
      </c>
      <c r="G5" s="30" t="s">
        <v>170</v>
      </c>
      <c r="I5" s="30" t="s">
        <v>19</v>
      </c>
      <c r="J5" s="30" t="s">
        <v>165</v>
      </c>
      <c r="K5" s="30" t="s">
        <v>166</v>
      </c>
      <c r="L5" s="30" t="s">
        <v>171</v>
      </c>
      <c r="M5" s="30" t="s">
        <v>168</v>
      </c>
      <c r="N5" s="30" t="s">
        <v>169</v>
      </c>
      <c r="O5" s="30" t="s">
        <v>170</v>
      </c>
    </row>
    <row r="6" spans="1:15" x14ac:dyDescent="0.3">
      <c r="A6" s="30">
        <v>1</v>
      </c>
      <c r="B6" s="37">
        <f t="shared" ref="B6:B30" ca="1" si="0">(1/$C$2)*LN(1/(1-RAND()))</f>
        <v>0.29619085716704713</v>
      </c>
      <c r="C6" s="37">
        <f ca="1">B6</f>
        <v>0.29619085716704713</v>
      </c>
      <c r="D6" s="37">
        <f ca="1">RAND()</f>
        <v>0.96013711410153391</v>
      </c>
      <c r="E6" s="37" t="str">
        <f ca="1">IF(D6&lt;0.5,C6,"")</f>
        <v/>
      </c>
      <c r="F6" s="37" t="str">
        <f ca="1">IF(D6&gt;0.5,IF(D6&lt;0.8,C6,""),"")</f>
        <v/>
      </c>
      <c r="G6" s="37">
        <f ca="1">IF(D6&gt;0.8,C6,"")</f>
        <v>0.29619085716704713</v>
      </c>
      <c r="I6" s="30">
        <v>1</v>
      </c>
      <c r="J6" s="30">
        <v>38.013883247846209</v>
      </c>
      <c r="K6" s="30">
        <v>38.013883247846209</v>
      </c>
      <c r="L6" s="30">
        <v>0.73222680207797142</v>
      </c>
      <c r="M6" s="30"/>
      <c r="N6" s="30">
        <v>38.013883247846209</v>
      </c>
      <c r="O6" s="30"/>
    </row>
    <row r="7" spans="1:15" x14ac:dyDescent="0.3">
      <c r="A7" s="30">
        <v>2</v>
      </c>
      <c r="B7" s="37">
        <f t="shared" ca="1" si="0"/>
        <v>14.671837455328749</v>
      </c>
      <c r="C7" s="37">
        <f ca="1">C6+B7</f>
        <v>14.968028312495797</v>
      </c>
      <c r="D7" s="37">
        <f t="shared" ref="D7:D30" ca="1" si="1">RAND()</f>
        <v>0.64440950830113997</v>
      </c>
      <c r="E7" s="37" t="str">
        <f t="shared" ref="E7:E30" ca="1" si="2">IF(D7&lt;0.5,C7,"")</f>
        <v/>
      </c>
      <c r="F7" s="37">
        <f t="shared" ref="F7:F30" ca="1" si="3">IF(D7&gt;0.5,IF(D7&lt;0.8,C7,""),"")</f>
        <v>14.968028312495797</v>
      </c>
      <c r="G7" s="37" t="str">
        <f t="shared" ref="G7:G30" ca="1" si="4">IF(D7&gt;0.8,C7,"")</f>
        <v/>
      </c>
      <c r="I7" s="30">
        <v>2</v>
      </c>
      <c r="J7" s="30">
        <v>8.1942015118894407</v>
      </c>
      <c r="K7" s="30">
        <v>46.208084759735648</v>
      </c>
      <c r="L7" s="30">
        <v>0.75947679075570174</v>
      </c>
      <c r="M7" s="30"/>
      <c r="N7" s="30">
        <v>46.208084759735648</v>
      </c>
      <c r="O7" s="30"/>
    </row>
    <row r="8" spans="1:15" x14ac:dyDescent="0.3">
      <c r="A8" s="30">
        <v>3</v>
      </c>
      <c r="B8" s="37">
        <f t="shared" ca="1" si="0"/>
        <v>3.3021468035003338</v>
      </c>
      <c r="C8" s="37">
        <f t="shared" ref="C8:C30" ca="1" si="5">C7+B8</f>
        <v>18.270175115996132</v>
      </c>
      <c r="D8" s="37">
        <f t="shared" ca="1" si="1"/>
        <v>0.98148371602576701</v>
      </c>
      <c r="E8" s="37" t="str">
        <f t="shared" ca="1" si="2"/>
        <v/>
      </c>
      <c r="F8" s="37" t="str">
        <f t="shared" ca="1" si="3"/>
        <v/>
      </c>
      <c r="G8" s="37">
        <f t="shared" ca="1" si="4"/>
        <v>18.270175115996132</v>
      </c>
      <c r="I8" s="30">
        <v>3</v>
      </c>
      <c r="J8" s="30">
        <v>1.2893760163762928</v>
      </c>
      <c r="K8" s="30">
        <v>47.497460776111943</v>
      </c>
      <c r="L8" s="30">
        <v>0.67239672637623649</v>
      </c>
      <c r="M8" s="30"/>
      <c r="N8" s="30">
        <v>47.497460776111943</v>
      </c>
      <c r="O8" s="30"/>
    </row>
    <row r="9" spans="1:15" x14ac:dyDescent="0.3">
      <c r="A9" s="30">
        <v>4</v>
      </c>
      <c r="B9" s="37">
        <f t="shared" ca="1" si="0"/>
        <v>12.073490653474698</v>
      </c>
      <c r="C9" s="37">
        <f t="shared" ca="1" si="5"/>
        <v>30.343665769470832</v>
      </c>
      <c r="D9" s="37">
        <f t="shared" ca="1" si="1"/>
        <v>0.83516242868363366</v>
      </c>
      <c r="E9" s="37" t="str">
        <f t="shared" ca="1" si="2"/>
        <v/>
      </c>
      <c r="F9" s="37" t="str">
        <f t="shared" ca="1" si="3"/>
        <v/>
      </c>
      <c r="G9" s="37">
        <f t="shared" ca="1" si="4"/>
        <v>30.343665769470832</v>
      </c>
      <c r="I9" s="30">
        <v>4</v>
      </c>
      <c r="J9" s="30">
        <v>23.16853208502231</v>
      </c>
      <c r="K9" s="30">
        <v>70.665992861134256</v>
      </c>
      <c r="L9" s="30">
        <v>0.54096450481419611</v>
      </c>
      <c r="M9" s="30"/>
      <c r="N9" s="30">
        <v>70.665992861134256</v>
      </c>
      <c r="O9" s="30"/>
    </row>
    <row r="10" spans="1:15" x14ac:dyDescent="0.3">
      <c r="A10" s="30">
        <v>5</v>
      </c>
      <c r="B10" s="37">
        <f t="shared" ca="1" si="0"/>
        <v>5.530976138864526</v>
      </c>
      <c r="C10" s="37">
        <f t="shared" ca="1" si="5"/>
        <v>35.874641908335356</v>
      </c>
      <c r="D10" s="37">
        <f t="shared" ca="1" si="1"/>
        <v>0.64548613636811591</v>
      </c>
      <c r="E10" s="37" t="str">
        <f t="shared" ca="1" si="2"/>
        <v/>
      </c>
      <c r="F10" s="37">
        <f t="shared" ca="1" si="3"/>
        <v>35.874641908335356</v>
      </c>
      <c r="G10" s="37" t="str">
        <f t="shared" ca="1" si="4"/>
        <v/>
      </c>
      <c r="I10" s="30">
        <v>5</v>
      </c>
      <c r="J10" s="30">
        <v>11.856365055455198</v>
      </c>
      <c r="K10" s="30">
        <v>82.522357916589456</v>
      </c>
      <c r="L10" s="30">
        <v>0.25606738687005559</v>
      </c>
      <c r="M10" s="30">
        <v>82.522357916589456</v>
      </c>
      <c r="N10" s="30"/>
      <c r="O10" s="30"/>
    </row>
    <row r="11" spans="1:15" x14ac:dyDescent="0.3">
      <c r="A11" s="30">
        <v>6</v>
      </c>
      <c r="B11" s="37">
        <f t="shared" ca="1" si="0"/>
        <v>27.287588325248958</v>
      </c>
      <c r="C11" s="37">
        <f t="shared" ca="1" si="5"/>
        <v>63.16223023358431</v>
      </c>
      <c r="D11" s="37">
        <f t="shared" ca="1" si="1"/>
        <v>0.87152458380091735</v>
      </c>
      <c r="E11" s="37" t="str">
        <f t="shared" ca="1" si="2"/>
        <v/>
      </c>
      <c r="F11" s="37" t="str">
        <f t="shared" ca="1" si="3"/>
        <v/>
      </c>
      <c r="G11" s="37">
        <f t="shared" ca="1" si="4"/>
        <v>63.16223023358431</v>
      </c>
      <c r="I11" s="30">
        <v>6</v>
      </c>
      <c r="J11" s="30">
        <v>26.112575507219677</v>
      </c>
      <c r="K11" s="30">
        <v>108.63493342380913</v>
      </c>
      <c r="L11" s="30">
        <v>0.36792905703055001</v>
      </c>
      <c r="M11" s="30">
        <v>108.63493342380913</v>
      </c>
      <c r="N11" s="30"/>
      <c r="O11" s="30"/>
    </row>
    <row r="12" spans="1:15" x14ac:dyDescent="0.3">
      <c r="A12" s="30">
        <v>7</v>
      </c>
      <c r="B12" s="37">
        <f t="shared" ca="1" si="0"/>
        <v>31.096832067763607</v>
      </c>
      <c r="C12" s="37">
        <f t="shared" ca="1" si="5"/>
        <v>94.25906230134791</v>
      </c>
      <c r="D12" s="37">
        <f t="shared" ca="1" si="1"/>
        <v>0.94274354448324638</v>
      </c>
      <c r="E12" s="37" t="str">
        <f t="shared" ca="1" si="2"/>
        <v/>
      </c>
      <c r="F12" s="37" t="str">
        <f t="shared" ca="1" si="3"/>
        <v/>
      </c>
      <c r="G12" s="37">
        <f t="shared" ca="1" si="4"/>
        <v>94.25906230134791</v>
      </c>
      <c r="I12" s="30">
        <v>7</v>
      </c>
      <c r="J12" s="30">
        <v>9.4227751292823072</v>
      </c>
      <c r="K12" s="30">
        <v>118.05770855309143</v>
      </c>
      <c r="L12" s="30">
        <v>0.59422489506556697</v>
      </c>
      <c r="M12" s="30"/>
      <c r="N12" s="30">
        <v>118.05770855309143</v>
      </c>
      <c r="O12" s="30"/>
    </row>
    <row r="13" spans="1:15" x14ac:dyDescent="0.3">
      <c r="A13" s="30">
        <v>8</v>
      </c>
      <c r="B13" s="37">
        <f t="shared" ca="1" si="0"/>
        <v>7.8992918222118389</v>
      </c>
      <c r="C13" s="37">
        <f t="shared" ca="1" si="5"/>
        <v>102.15835412355975</v>
      </c>
      <c r="D13" s="37">
        <f t="shared" ca="1" si="1"/>
        <v>0.54200149983732326</v>
      </c>
      <c r="E13" s="37" t="str">
        <f t="shared" ca="1" si="2"/>
        <v/>
      </c>
      <c r="F13" s="37">
        <f t="shared" ca="1" si="3"/>
        <v>102.15835412355975</v>
      </c>
      <c r="G13" s="37" t="str">
        <f t="shared" ca="1" si="4"/>
        <v/>
      </c>
      <c r="I13" s="30">
        <v>8</v>
      </c>
      <c r="J13" s="30">
        <v>67.336543540689547</v>
      </c>
      <c r="K13" s="30">
        <v>185.39425209378098</v>
      </c>
      <c r="L13" s="30">
        <v>0.50304642484738527</v>
      </c>
      <c r="M13" s="30"/>
      <c r="N13" s="30">
        <v>185.39425209378098</v>
      </c>
      <c r="O13" s="30"/>
    </row>
    <row r="14" spans="1:15" x14ac:dyDescent="0.3">
      <c r="A14" s="30">
        <v>9</v>
      </c>
      <c r="B14" s="37">
        <f t="shared" ca="1" si="0"/>
        <v>0.63253176672683431</v>
      </c>
      <c r="C14" s="37">
        <f t="shared" ca="1" si="5"/>
        <v>102.79088589028657</v>
      </c>
      <c r="D14" s="37">
        <f t="shared" ca="1" si="1"/>
        <v>0.2278375064383179</v>
      </c>
      <c r="E14" s="37">
        <f t="shared" ca="1" si="2"/>
        <v>102.79088589028657</v>
      </c>
      <c r="F14" s="37" t="str">
        <f t="shared" ca="1" si="3"/>
        <v/>
      </c>
      <c r="G14" s="37" t="str">
        <f t="shared" ca="1" si="4"/>
        <v/>
      </c>
      <c r="I14" s="30">
        <v>9</v>
      </c>
      <c r="J14" s="30">
        <v>3.2894766567325395</v>
      </c>
      <c r="K14" s="30">
        <v>188.68372875051352</v>
      </c>
      <c r="L14" s="30">
        <v>0.35478497555231669</v>
      </c>
      <c r="M14" s="30">
        <v>188.68372875051352</v>
      </c>
      <c r="N14" s="30"/>
      <c r="O14" s="30"/>
    </row>
    <row r="15" spans="1:15" x14ac:dyDescent="0.3">
      <c r="A15" s="30">
        <v>10</v>
      </c>
      <c r="B15" s="37">
        <f t="shared" ca="1" si="0"/>
        <v>22.844938005361211</v>
      </c>
      <c r="C15" s="37">
        <f t="shared" ca="1" si="5"/>
        <v>125.63582389564779</v>
      </c>
      <c r="D15" s="37">
        <f t="shared" ca="1" si="1"/>
        <v>0.13212196455373171</v>
      </c>
      <c r="E15" s="37">
        <f t="shared" ca="1" si="2"/>
        <v>125.63582389564779</v>
      </c>
      <c r="F15" s="37" t="str">
        <f t="shared" ca="1" si="3"/>
        <v/>
      </c>
      <c r="G15" s="37" t="str">
        <f t="shared" ca="1" si="4"/>
        <v/>
      </c>
      <c r="I15" s="30">
        <v>10</v>
      </c>
      <c r="J15" s="30">
        <v>6.8736290206147634</v>
      </c>
      <c r="K15" s="30">
        <v>195.5573577711283</v>
      </c>
      <c r="L15" s="30">
        <v>0.45458563799251728</v>
      </c>
      <c r="M15" s="30">
        <v>195.5573577711283</v>
      </c>
      <c r="N15" s="30"/>
      <c r="O15" s="30"/>
    </row>
    <row r="16" spans="1:15" x14ac:dyDescent="0.3">
      <c r="A16" s="30">
        <v>11</v>
      </c>
      <c r="B16" s="37">
        <f t="shared" ca="1" si="0"/>
        <v>4.2896588589969582</v>
      </c>
      <c r="C16" s="37">
        <f t="shared" ca="1" si="5"/>
        <v>129.92548275464475</v>
      </c>
      <c r="D16" s="37">
        <f t="shared" ca="1" si="1"/>
        <v>0.7597699152828169</v>
      </c>
      <c r="E16" s="37" t="str">
        <f t="shared" ca="1" si="2"/>
        <v/>
      </c>
      <c r="F16" s="37">
        <f t="shared" ca="1" si="3"/>
        <v>129.92548275464475</v>
      </c>
      <c r="G16" s="37" t="str">
        <f t="shared" ca="1" si="4"/>
        <v/>
      </c>
      <c r="I16" s="30">
        <v>11</v>
      </c>
      <c r="J16" s="30">
        <v>126.52644355724827</v>
      </c>
      <c r="K16" s="30">
        <v>322.08380132837658</v>
      </c>
      <c r="L16" s="30">
        <v>0.32150729269534606</v>
      </c>
      <c r="M16" s="30">
        <v>322.08380132837658</v>
      </c>
      <c r="N16" s="30"/>
      <c r="O16" s="30"/>
    </row>
    <row r="17" spans="1:15" x14ac:dyDescent="0.3">
      <c r="A17" s="30">
        <v>12</v>
      </c>
      <c r="B17" s="37">
        <f t="shared" ca="1" si="0"/>
        <v>48.379008467295648</v>
      </c>
      <c r="C17" s="37">
        <f t="shared" ca="1" si="5"/>
        <v>178.3044912219404</v>
      </c>
      <c r="D17" s="37">
        <f t="shared" ca="1" si="1"/>
        <v>0.48101003072303361</v>
      </c>
      <c r="E17" s="37">
        <f t="shared" ca="1" si="2"/>
        <v>178.3044912219404</v>
      </c>
      <c r="F17" s="37" t="str">
        <f t="shared" ca="1" si="3"/>
        <v/>
      </c>
      <c r="G17" s="37" t="str">
        <f t="shared" ca="1" si="4"/>
        <v/>
      </c>
      <c r="I17" s="30">
        <v>12</v>
      </c>
      <c r="J17" s="30">
        <v>8.8053032132803306</v>
      </c>
      <c r="K17" s="30">
        <v>330.88910454165693</v>
      </c>
      <c r="L17" s="30">
        <v>0.96140662454608061</v>
      </c>
      <c r="M17" s="30"/>
      <c r="N17" s="30"/>
      <c r="O17" s="30">
        <v>330.88910454165693</v>
      </c>
    </row>
    <row r="18" spans="1:15" x14ac:dyDescent="0.3">
      <c r="A18" s="30">
        <v>13</v>
      </c>
      <c r="B18" s="37">
        <f t="shared" ca="1" si="0"/>
        <v>6.8400880410804135</v>
      </c>
      <c r="C18" s="37">
        <f t="shared" ca="1" si="5"/>
        <v>185.1445792630208</v>
      </c>
      <c r="D18" s="37">
        <f t="shared" ca="1" si="1"/>
        <v>0.91265661075064519</v>
      </c>
      <c r="E18" s="37" t="str">
        <f t="shared" ca="1" si="2"/>
        <v/>
      </c>
      <c r="F18" s="37" t="str">
        <f t="shared" ca="1" si="3"/>
        <v/>
      </c>
      <c r="G18" s="37">
        <f t="shared" ca="1" si="4"/>
        <v>185.1445792630208</v>
      </c>
      <c r="I18" s="30">
        <v>13</v>
      </c>
      <c r="J18" s="30">
        <v>39.113339022045594</v>
      </c>
      <c r="K18" s="30">
        <v>370.00244356370251</v>
      </c>
      <c r="L18" s="30">
        <v>0.84873589455937481</v>
      </c>
      <c r="M18" s="30"/>
      <c r="N18" s="30"/>
      <c r="O18" s="30">
        <v>370.00244356370251</v>
      </c>
    </row>
    <row r="19" spans="1:15" x14ac:dyDescent="0.3">
      <c r="A19" s="30">
        <v>14</v>
      </c>
      <c r="B19" s="37">
        <f t="shared" ca="1" si="0"/>
        <v>13.690098705668657</v>
      </c>
      <c r="C19" s="37">
        <f t="shared" ca="1" si="5"/>
        <v>198.83467796868945</v>
      </c>
      <c r="D19" s="37">
        <f t="shared" ca="1" si="1"/>
        <v>0.8630570190645459</v>
      </c>
      <c r="E19" s="37" t="str">
        <f t="shared" ca="1" si="2"/>
        <v/>
      </c>
      <c r="F19" s="37" t="str">
        <f t="shared" ca="1" si="3"/>
        <v/>
      </c>
      <c r="G19" s="37">
        <f t="shared" ca="1" si="4"/>
        <v>198.83467796868945</v>
      </c>
      <c r="I19" s="30">
        <v>14</v>
      </c>
      <c r="J19" s="30">
        <v>30.9246203085542</v>
      </c>
      <c r="K19" s="30">
        <v>400.92706387225672</v>
      </c>
      <c r="L19" s="30">
        <v>0.69868578510877777</v>
      </c>
      <c r="M19" s="30"/>
      <c r="N19" s="30">
        <v>400.92706387225672</v>
      </c>
      <c r="O19" s="30"/>
    </row>
    <row r="20" spans="1:15" x14ac:dyDescent="0.3">
      <c r="A20" s="30">
        <v>15</v>
      </c>
      <c r="B20" s="37">
        <f t="shared" ca="1" si="0"/>
        <v>7.6781688976021032</v>
      </c>
      <c r="C20" s="37">
        <f t="shared" ca="1" si="5"/>
        <v>206.51284686629154</v>
      </c>
      <c r="D20" s="37">
        <f t="shared" ca="1" si="1"/>
        <v>0.49284199536277673</v>
      </c>
      <c r="E20" s="37">
        <f t="shared" ca="1" si="2"/>
        <v>206.51284686629154</v>
      </c>
      <c r="F20" s="37" t="str">
        <f t="shared" ca="1" si="3"/>
        <v/>
      </c>
      <c r="G20" s="37" t="str">
        <f t="shared" ca="1" si="4"/>
        <v/>
      </c>
      <c r="I20" s="30">
        <v>15</v>
      </c>
      <c r="J20" s="30">
        <v>17.47007328032246</v>
      </c>
      <c r="K20" s="30">
        <v>418.39713715257921</v>
      </c>
      <c r="L20" s="30">
        <v>0.79317876995729841</v>
      </c>
      <c r="M20" s="30"/>
      <c r="N20" s="30">
        <v>418.39713715257921</v>
      </c>
      <c r="O20" s="30"/>
    </row>
    <row r="21" spans="1:15" x14ac:dyDescent="0.3">
      <c r="A21" s="30">
        <v>16</v>
      </c>
      <c r="B21" s="37">
        <f t="shared" ca="1" si="0"/>
        <v>6.0386405868466486</v>
      </c>
      <c r="C21" s="37">
        <f t="shared" ca="1" si="5"/>
        <v>212.55148745313818</v>
      </c>
      <c r="D21" s="37">
        <f t="shared" ca="1" si="1"/>
        <v>0.46634267640529292</v>
      </c>
      <c r="E21" s="37">
        <f t="shared" ca="1" si="2"/>
        <v>212.55148745313818</v>
      </c>
      <c r="F21" s="37" t="str">
        <f t="shared" ca="1" si="3"/>
        <v/>
      </c>
      <c r="G21" s="37" t="str">
        <f t="shared" ca="1" si="4"/>
        <v/>
      </c>
      <c r="I21" s="30">
        <v>16</v>
      </c>
      <c r="J21" s="30">
        <v>9.1165696907583573</v>
      </c>
      <c r="K21" s="30">
        <v>427.51370684333756</v>
      </c>
      <c r="L21" s="30">
        <v>0.49340492735498054</v>
      </c>
      <c r="M21" s="30">
        <v>427.51370684333756</v>
      </c>
      <c r="N21" s="30"/>
      <c r="O21" s="30"/>
    </row>
    <row r="22" spans="1:15" x14ac:dyDescent="0.3">
      <c r="A22" s="30">
        <v>17</v>
      </c>
      <c r="B22" s="37">
        <f t="shared" ca="1" si="0"/>
        <v>1.1063652497571779</v>
      </c>
      <c r="C22" s="37">
        <f t="shared" ca="1" si="5"/>
        <v>213.65785270289535</v>
      </c>
      <c r="D22" s="37">
        <f t="shared" ca="1" si="1"/>
        <v>0.7921720909165092</v>
      </c>
      <c r="E22" s="37" t="str">
        <f t="shared" ca="1" si="2"/>
        <v/>
      </c>
      <c r="F22" s="37">
        <f t="shared" ca="1" si="3"/>
        <v>213.65785270289535</v>
      </c>
      <c r="G22" s="37" t="str">
        <f t="shared" ca="1" si="4"/>
        <v/>
      </c>
      <c r="I22" s="30">
        <v>17</v>
      </c>
      <c r="J22" s="30">
        <v>36.412918704245818</v>
      </c>
      <c r="K22" s="30">
        <v>463.9266255475834</v>
      </c>
      <c r="L22" s="30">
        <v>0.11079501954829329</v>
      </c>
      <c r="M22" s="30">
        <v>463.9266255475834</v>
      </c>
      <c r="N22" s="30"/>
      <c r="O22" s="30"/>
    </row>
    <row r="23" spans="1:15" x14ac:dyDescent="0.3">
      <c r="A23" s="30">
        <v>18</v>
      </c>
      <c r="B23" s="37">
        <f t="shared" ca="1" si="0"/>
        <v>3.9758171651979692</v>
      </c>
      <c r="C23" s="37">
        <f t="shared" ca="1" si="5"/>
        <v>217.63366986809334</v>
      </c>
      <c r="D23" s="37">
        <f t="shared" ca="1" si="1"/>
        <v>0.10439114839871433</v>
      </c>
      <c r="E23" s="37">
        <f t="shared" ca="1" si="2"/>
        <v>217.63366986809334</v>
      </c>
      <c r="F23" s="37" t="str">
        <f t="shared" ca="1" si="3"/>
        <v/>
      </c>
      <c r="G23" s="37" t="str">
        <f t="shared" ca="1" si="4"/>
        <v/>
      </c>
      <c r="I23" s="30">
        <v>18</v>
      </c>
      <c r="J23" s="30">
        <v>62.218808305778929</v>
      </c>
      <c r="K23" s="30">
        <v>526.14543385336231</v>
      </c>
      <c r="L23" s="30">
        <v>0.56115694879315381</v>
      </c>
      <c r="M23" s="30"/>
      <c r="N23" s="30">
        <v>526.14543385336231</v>
      </c>
      <c r="O23" s="30"/>
    </row>
    <row r="24" spans="1:15" x14ac:dyDescent="0.3">
      <c r="A24" s="30">
        <v>19</v>
      </c>
      <c r="B24" s="37">
        <f t="shared" ca="1" si="0"/>
        <v>32.6538756961627</v>
      </c>
      <c r="C24" s="37">
        <f t="shared" ca="1" si="5"/>
        <v>250.28754556425605</v>
      </c>
      <c r="D24" s="37">
        <f t="shared" ca="1" si="1"/>
        <v>0.25757267173555065</v>
      </c>
      <c r="E24" s="37">
        <f t="shared" ca="1" si="2"/>
        <v>250.28754556425605</v>
      </c>
      <c r="F24" s="37" t="str">
        <f t="shared" ca="1" si="3"/>
        <v/>
      </c>
      <c r="G24" s="37" t="str">
        <f t="shared" ca="1" si="4"/>
        <v/>
      </c>
      <c r="I24" s="30">
        <v>19</v>
      </c>
      <c r="J24" s="30">
        <v>8.0017900873989039</v>
      </c>
      <c r="K24" s="30">
        <v>534.14722394076125</v>
      </c>
      <c r="L24" s="30">
        <v>0.34043890113678721</v>
      </c>
      <c r="M24" s="30">
        <v>534.14722394076125</v>
      </c>
      <c r="N24" s="30"/>
      <c r="O24" s="30"/>
    </row>
    <row r="25" spans="1:15" x14ac:dyDescent="0.3">
      <c r="A25" s="30">
        <v>20</v>
      </c>
      <c r="B25" s="37">
        <f t="shared" ca="1" si="0"/>
        <v>14.602088232257673</v>
      </c>
      <c r="C25" s="37">
        <f t="shared" ca="1" si="5"/>
        <v>264.88963379651375</v>
      </c>
      <c r="D25" s="37">
        <f t="shared" ca="1" si="1"/>
        <v>0.81889905341231839</v>
      </c>
      <c r="E25" s="37" t="str">
        <f t="shared" ca="1" si="2"/>
        <v/>
      </c>
      <c r="F25" s="37" t="str">
        <f t="shared" ca="1" si="3"/>
        <v/>
      </c>
      <c r="G25" s="37">
        <f t="shared" ca="1" si="4"/>
        <v>264.88963379651375</v>
      </c>
      <c r="I25" s="30">
        <v>20</v>
      </c>
      <c r="J25" s="30">
        <v>43.981439149896907</v>
      </c>
      <c r="K25" s="30">
        <v>578.12866309065816</v>
      </c>
      <c r="L25" s="30">
        <v>0.15233800749900317</v>
      </c>
      <c r="M25" s="30">
        <v>578.12866309065816</v>
      </c>
      <c r="N25" s="30"/>
      <c r="O25" s="30"/>
    </row>
    <row r="26" spans="1:15" x14ac:dyDescent="0.3">
      <c r="A26" s="30">
        <v>21</v>
      </c>
      <c r="B26" s="37">
        <f t="shared" ca="1" si="0"/>
        <v>15.712123164363121</v>
      </c>
      <c r="C26" s="37">
        <f t="shared" ca="1" si="5"/>
        <v>280.60175696087686</v>
      </c>
      <c r="D26" s="37">
        <f t="shared" ca="1" si="1"/>
        <v>0.25054399785182802</v>
      </c>
      <c r="E26" s="37">
        <f t="shared" ca="1" si="2"/>
        <v>280.60175696087686</v>
      </c>
      <c r="F26" s="37" t="str">
        <f t="shared" ca="1" si="3"/>
        <v/>
      </c>
      <c r="G26" s="37" t="str">
        <f t="shared" ca="1" si="4"/>
        <v/>
      </c>
      <c r="I26" s="30">
        <v>21</v>
      </c>
      <c r="J26" s="30">
        <v>1.5810932440987204</v>
      </c>
      <c r="K26" s="30">
        <v>579.70975633475689</v>
      </c>
      <c r="L26" s="30">
        <v>0.74695457779163177</v>
      </c>
      <c r="M26" s="30"/>
      <c r="N26" s="30">
        <v>579.70975633475689</v>
      </c>
      <c r="O26" s="30"/>
    </row>
    <row r="27" spans="1:15" x14ac:dyDescent="0.3">
      <c r="A27" s="30">
        <v>22</v>
      </c>
      <c r="B27" s="37">
        <f t="shared" ca="1" si="0"/>
        <v>11.828473725957556</v>
      </c>
      <c r="C27" s="37">
        <f t="shared" ca="1" si="5"/>
        <v>292.43023068683442</v>
      </c>
      <c r="D27" s="37">
        <f t="shared" ca="1" si="1"/>
        <v>0.63740657060683326</v>
      </c>
      <c r="E27" s="37" t="str">
        <f t="shared" ca="1" si="2"/>
        <v/>
      </c>
      <c r="F27" s="37">
        <f t="shared" ca="1" si="3"/>
        <v>292.43023068683442</v>
      </c>
      <c r="G27" s="37" t="str">
        <f t="shared" ca="1" si="4"/>
        <v/>
      </c>
      <c r="I27" s="30">
        <v>22</v>
      </c>
      <c r="J27" s="30">
        <v>25.881225195506929</v>
      </c>
      <c r="K27" s="30">
        <v>605.59098153026378</v>
      </c>
      <c r="L27" s="30">
        <v>0.49164094146151149</v>
      </c>
      <c r="M27" s="30">
        <v>605.59098153026378</v>
      </c>
      <c r="N27" s="30"/>
      <c r="O27" s="30"/>
    </row>
    <row r="28" spans="1:15" x14ac:dyDescent="0.3">
      <c r="A28" s="30">
        <v>23</v>
      </c>
      <c r="B28" s="37">
        <f t="shared" ca="1" si="0"/>
        <v>20.248342755509782</v>
      </c>
      <c r="C28" s="37">
        <f t="shared" ca="1" si="5"/>
        <v>312.6785734423442</v>
      </c>
      <c r="D28" s="37">
        <f t="shared" ca="1" si="1"/>
        <v>0.54480115479457825</v>
      </c>
      <c r="E28" s="37" t="str">
        <f t="shared" ca="1" si="2"/>
        <v/>
      </c>
      <c r="F28" s="37">
        <f t="shared" ca="1" si="3"/>
        <v>312.6785734423442</v>
      </c>
      <c r="G28" s="37" t="str">
        <f t="shared" ca="1" si="4"/>
        <v/>
      </c>
      <c r="I28" s="30">
        <v>23</v>
      </c>
      <c r="J28" s="30">
        <v>11.151727259989883</v>
      </c>
      <c r="K28" s="30">
        <v>616.74270879025369</v>
      </c>
      <c r="L28" s="30">
        <v>0.80478956799886758</v>
      </c>
      <c r="M28" s="30"/>
      <c r="N28" s="30"/>
      <c r="O28" s="30">
        <v>616.74270879025369</v>
      </c>
    </row>
    <row r="29" spans="1:15" x14ac:dyDescent="0.3">
      <c r="A29" s="30">
        <v>24</v>
      </c>
      <c r="B29" s="37">
        <f t="shared" ca="1" si="0"/>
        <v>165.19894224150801</v>
      </c>
      <c r="C29" s="37">
        <f t="shared" ca="1" si="5"/>
        <v>477.87751568385221</v>
      </c>
      <c r="D29" s="37">
        <f t="shared" ca="1" si="1"/>
        <v>0.30812919686124496</v>
      </c>
      <c r="E29" s="37">
        <f t="shared" ca="1" si="2"/>
        <v>477.87751568385221</v>
      </c>
      <c r="F29" s="37" t="str">
        <f t="shared" ca="1" si="3"/>
        <v/>
      </c>
      <c r="G29" s="37" t="str">
        <f t="shared" ca="1" si="4"/>
        <v/>
      </c>
      <c r="I29" s="30">
        <v>24</v>
      </c>
      <c r="J29" s="30">
        <v>21.041695948630096</v>
      </c>
      <c r="K29" s="30">
        <v>637.78440473888384</v>
      </c>
      <c r="L29" s="30">
        <v>0.83402481249780069</v>
      </c>
      <c r="M29" s="30"/>
      <c r="N29" s="30"/>
      <c r="O29" s="30">
        <v>637.78440473888384</v>
      </c>
    </row>
    <row r="30" spans="1:15" x14ac:dyDescent="0.3">
      <c r="A30" s="30">
        <v>25</v>
      </c>
      <c r="B30" s="37">
        <f t="shared" ca="1" si="0"/>
        <v>60.133438201551101</v>
      </c>
      <c r="C30" s="37">
        <f t="shared" ca="1" si="5"/>
        <v>538.0109538854033</v>
      </c>
      <c r="D30" s="37">
        <f t="shared" ca="1" si="1"/>
        <v>0.96191334008791085</v>
      </c>
      <c r="E30" s="37" t="str">
        <f t="shared" ca="1" si="2"/>
        <v/>
      </c>
      <c r="F30" s="37" t="str">
        <f t="shared" ca="1" si="3"/>
        <v/>
      </c>
      <c r="G30" s="37">
        <f t="shared" ca="1" si="4"/>
        <v>538.0109538854033</v>
      </c>
      <c r="I30" s="30">
        <v>25</v>
      </c>
      <c r="J30" s="30">
        <v>2.1573252564831327</v>
      </c>
      <c r="K30" s="30">
        <v>639.94172999536693</v>
      </c>
      <c r="L30" s="30">
        <v>0.28068337373436558</v>
      </c>
      <c r="M30" s="30">
        <v>639.94172999536693</v>
      </c>
      <c r="N30" s="30"/>
      <c r="O30" s="30"/>
    </row>
    <row r="31" spans="1:15" x14ac:dyDescent="0.3">
      <c r="E31" s="30"/>
      <c r="F31" s="37"/>
      <c r="G31" s="30"/>
      <c r="I31" s="30"/>
      <c r="J31" s="30"/>
      <c r="K31" s="30"/>
      <c r="L31" s="30"/>
      <c r="M31" s="30">
        <v>11</v>
      </c>
      <c r="N31" s="30">
        <v>10</v>
      </c>
      <c r="O31" s="30">
        <v>4</v>
      </c>
    </row>
    <row r="32" spans="1:15" x14ac:dyDescent="0.3">
      <c r="E32" s="30" t="s">
        <v>174</v>
      </c>
      <c r="F32" s="37" t="s">
        <v>175</v>
      </c>
      <c r="G32" s="30" t="s">
        <v>176</v>
      </c>
      <c r="I32" s="30"/>
      <c r="J32" s="30"/>
      <c r="K32" s="30"/>
      <c r="L32" s="30"/>
      <c r="M32" s="30" t="s">
        <v>177</v>
      </c>
      <c r="N32" s="30" t="s">
        <v>178</v>
      </c>
      <c r="O32" s="30" t="s">
        <v>179</v>
      </c>
    </row>
    <row r="33" spans="13:15" x14ac:dyDescent="0.3">
      <c r="M33" s="37">
        <f>M31/I30</f>
        <v>0.44</v>
      </c>
      <c r="N33" s="37">
        <f>N31/I30</f>
        <v>0.4</v>
      </c>
      <c r="O33" s="37">
        <f>O31/I30</f>
        <v>0.16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1505" r:id="rId3" name="CommandButton1">
          <controlPr defaultSize="0" autoLine="0" r:id="rId4">
            <anchor moveWithCells="1">
              <from>
                <xdr:col>9</xdr:col>
                <xdr:colOff>7620</xdr:colOff>
                <xdr:row>1</xdr:row>
                <xdr:rowOff>15240</xdr:rowOff>
              </from>
              <to>
                <xdr:col>10</xdr:col>
                <xdr:colOff>0</xdr:colOff>
                <xdr:row>3</xdr:row>
                <xdr:rowOff>7620</xdr:rowOff>
              </to>
            </anchor>
          </controlPr>
        </control>
      </mc:Choice>
      <mc:Fallback>
        <control shapeId="21505" r:id="rId3" name="CommandButton1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/>
  <dimension ref="A1:J67"/>
  <sheetViews>
    <sheetView topLeftCell="A28" workbookViewId="0">
      <selection activeCell="A14" sqref="A14:J14"/>
    </sheetView>
  </sheetViews>
  <sheetFormatPr defaultRowHeight="14.4" x14ac:dyDescent="0.3"/>
  <cols>
    <col min="2" max="2" width="12.44140625" customWidth="1"/>
    <col min="3" max="3" width="15.33203125" customWidth="1"/>
    <col min="4" max="4" width="11.109375" customWidth="1"/>
    <col min="5" max="5" width="10.33203125" customWidth="1"/>
    <col min="6" max="6" width="12.33203125" customWidth="1"/>
    <col min="7" max="7" width="15.109375" customWidth="1"/>
    <col min="8" max="8" width="11.88671875" customWidth="1"/>
    <col min="9" max="9" width="13.33203125" customWidth="1"/>
    <col min="10" max="10" width="12.109375" customWidth="1"/>
  </cols>
  <sheetData>
    <row r="1" spans="1:10" ht="43.2" x14ac:dyDescent="0.3">
      <c r="B1" t="s">
        <v>195</v>
      </c>
      <c r="C1" s="2" t="s">
        <v>1</v>
      </c>
      <c r="D1" s="3" t="s">
        <v>2</v>
      </c>
      <c r="E1" s="4">
        <v>0.04</v>
      </c>
      <c r="G1" s="5" t="s">
        <v>3</v>
      </c>
      <c r="H1" s="6" t="s">
        <v>4</v>
      </c>
      <c r="I1" s="42">
        <v>5.2000000000000005E-2</v>
      </c>
    </row>
    <row r="5" spans="1:10" x14ac:dyDescent="0.3">
      <c r="B5" t="s">
        <v>6</v>
      </c>
    </row>
    <row r="6" spans="1:10" ht="18.600000000000001" x14ac:dyDescent="0.3">
      <c r="B6" s="8" t="s">
        <v>7</v>
      </c>
      <c r="C6" s="7" t="s">
        <v>8</v>
      </c>
    </row>
    <row r="7" spans="1:10" ht="18.600000000000001" x14ac:dyDescent="0.3">
      <c r="B7" s="8" t="s">
        <v>9</v>
      </c>
      <c r="C7" s="7" t="s">
        <v>10</v>
      </c>
    </row>
    <row r="8" spans="1:10" ht="18" x14ac:dyDescent="0.3">
      <c r="B8" s="9" t="s">
        <v>11</v>
      </c>
      <c r="C8" s="7" t="s">
        <v>12</v>
      </c>
    </row>
    <row r="9" spans="1:10" ht="18.600000000000001" x14ac:dyDescent="0.3">
      <c r="B9" s="8" t="s">
        <v>13</v>
      </c>
      <c r="C9" s="7" t="s">
        <v>14</v>
      </c>
    </row>
    <row r="10" spans="1:10" ht="18" x14ac:dyDescent="0.3">
      <c r="B10" s="9" t="s">
        <v>189</v>
      </c>
      <c r="C10" s="71" t="s">
        <v>190</v>
      </c>
    </row>
    <row r="11" spans="1:10" ht="18" x14ac:dyDescent="0.3">
      <c r="B11" s="9" t="s">
        <v>15</v>
      </c>
      <c r="C11" s="7" t="s">
        <v>16</v>
      </c>
    </row>
    <row r="12" spans="1:10" ht="18.600000000000001" x14ac:dyDescent="0.3">
      <c r="B12" s="8" t="s">
        <v>17</v>
      </c>
      <c r="C12" s="7" t="s">
        <v>18</v>
      </c>
    </row>
    <row r="14" spans="1:10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</row>
    <row r="15" spans="1:10" x14ac:dyDescent="0.3">
      <c r="A15" s="30">
        <v>1</v>
      </c>
      <c r="B15" s="72">
        <f ca="1">RAND()</f>
        <v>0.61957480956504607</v>
      </c>
      <c r="C15" s="72">
        <f ca="1">RAND()</f>
        <v>0.34924292011811597</v>
      </c>
      <c r="D15" s="72">
        <f t="shared" ref="D15:D46" ca="1" si="0">(1/L)*LN(1/(1-B15))</f>
        <v>24.161643239783327</v>
      </c>
      <c r="E15" s="72">
        <f t="shared" ref="E15:E46" ca="1" si="1">(1/M)*LN(1/(1-C15))</f>
        <v>8.2619010691158081</v>
      </c>
      <c r="F15" s="72">
        <f ca="1">D15</f>
        <v>24.161643239783327</v>
      </c>
      <c r="G15" s="72">
        <v>0</v>
      </c>
      <c r="H15" s="72">
        <f ca="1">F15+G15</f>
        <v>24.161643239783327</v>
      </c>
      <c r="I15" s="72">
        <f ca="1">H15+E15</f>
        <v>32.423544308899139</v>
      </c>
      <c r="J15" s="72">
        <f ca="1">I15-F15</f>
        <v>8.2619010691158117</v>
      </c>
    </row>
    <row r="16" spans="1:10" x14ac:dyDescent="0.3">
      <c r="A16" s="30">
        <v>2</v>
      </c>
      <c r="B16" s="72">
        <f t="shared" ref="B16:C47" ca="1" si="2">RAND()</f>
        <v>0.76598133301846516</v>
      </c>
      <c r="C16" s="72">
        <f t="shared" ca="1" si="2"/>
        <v>0.91021271309217233</v>
      </c>
      <c r="D16" s="72">
        <f t="shared" ca="1" si="0"/>
        <v>36.308859834520092</v>
      </c>
      <c r="E16" s="72">
        <f t="shared" ca="1" si="1"/>
        <v>46.35215163227786</v>
      </c>
      <c r="F16" s="72">
        <f ca="1">F15+D16</f>
        <v>60.470503074303423</v>
      </c>
      <c r="G16" s="72">
        <f ca="1">IF(I15&gt;F16,I15-F16,0)</f>
        <v>0</v>
      </c>
      <c r="H16" s="72">
        <f t="shared" ref="H16:H64" ca="1" si="3">F16+G16</f>
        <v>60.470503074303423</v>
      </c>
      <c r="I16" s="72">
        <f t="shared" ref="I16:I64" ca="1" si="4">H16+E16</f>
        <v>106.82265470658129</v>
      </c>
      <c r="J16" s="72">
        <f t="shared" ref="J16:J64" ca="1" si="5">I16-F16</f>
        <v>46.352151632277867</v>
      </c>
    </row>
    <row r="17" spans="1:10" x14ac:dyDescent="0.3">
      <c r="A17" s="30">
        <v>3</v>
      </c>
      <c r="B17" s="72">
        <f t="shared" ca="1" si="2"/>
        <v>0.81744313867487051</v>
      </c>
      <c r="C17" s="72">
        <f t="shared" ca="1" si="2"/>
        <v>0.90663286069883242</v>
      </c>
      <c r="D17" s="72">
        <f t="shared" ca="1" si="0"/>
        <v>42.517339639557086</v>
      </c>
      <c r="E17" s="72">
        <f t="shared" ca="1" si="1"/>
        <v>45.600304293534997</v>
      </c>
      <c r="F17" s="72">
        <f t="shared" ref="F17:F64" ca="1" si="6">F16+D17</f>
        <v>102.98784271386052</v>
      </c>
      <c r="G17" s="72">
        <f t="shared" ref="G17:G64" ca="1" si="7">IF(I16&gt;F17,I16-F17,0)</f>
        <v>3.8348119927207733</v>
      </c>
      <c r="H17" s="72">
        <f t="shared" ca="1" si="3"/>
        <v>106.82265470658129</v>
      </c>
      <c r="I17" s="72">
        <f t="shared" ca="1" si="4"/>
        <v>152.42295900011629</v>
      </c>
      <c r="J17" s="72">
        <f t="shared" ca="1" si="5"/>
        <v>49.435116286255777</v>
      </c>
    </row>
    <row r="18" spans="1:10" x14ac:dyDescent="0.3">
      <c r="A18" s="30">
        <v>4</v>
      </c>
      <c r="B18" s="72">
        <f t="shared" ca="1" si="2"/>
        <v>0.41371026149014389</v>
      </c>
      <c r="C18" s="72">
        <f t="shared" ca="1" si="2"/>
        <v>0.19332103531254918</v>
      </c>
      <c r="D18" s="72">
        <f t="shared" ca="1" si="0"/>
        <v>13.348529432008377</v>
      </c>
      <c r="E18" s="72">
        <f t="shared" ca="1" si="1"/>
        <v>4.1313365987579802</v>
      </c>
      <c r="F18" s="72">
        <f t="shared" ca="1" si="6"/>
        <v>116.33637214586889</v>
      </c>
      <c r="G18" s="72">
        <f t="shared" ca="1" si="7"/>
        <v>36.0865868542474</v>
      </c>
      <c r="H18" s="72">
        <f t="shared" ca="1" si="3"/>
        <v>152.42295900011629</v>
      </c>
      <c r="I18" s="72">
        <f t="shared" ca="1" si="4"/>
        <v>156.55429559887426</v>
      </c>
      <c r="J18" s="72">
        <f t="shared" ca="1" si="5"/>
        <v>40.217923453005369</v>
      </c>
    </row>
    <row r="19" spans="1:10" x14ac:dyDescent="0.3">
      <c r="A19" s="30">
        <v>5</v>
      </c>
      <c r="B19" s="72">
        <f t="shared" ca="1" si="2"/>
        <v>0.65047523178530231</v>
      </c>
      <c r="C19" s="72">
        <f t="shared" ca="1" si="2"/>
        <v>0.5508987415936073</v>
      </c>
      <c r="D19" s="72">
        <f t="shared" ca="1" si="0"/>
        <v>26.279521306304254</v>
      </c>
      <c r="E19" s="72">
        <f t="shared" ca="1" si="1"/>
        <v>15.394363400569125</v>
      </c>
      <c r="F19" s="72">
        <f t="shared" ca="1" si="6"/>
        <v>142.61589345217314</v>
      </c>
      <c r="G19" s="72">
        <f t="shared" ca="1" si="7"/>
        <v>13.938402146701122</v>
      </c>
      <c r="H19" s="72">
        <f t="shared" ca="1" si="3"/>
        <v>156.55429559887426</v>
      </c>
      <c r="I19" s="72">
        <f t="shared" ca="1" si="4"/>
        <v>171.94865899944338</v>
      </c>
      <c r="J19" s="72">
        <f t="shared" ca="1" si="5"/>
        <v>29.332765547270242</v>
      </c>
    </row>
    <row r="20" spans="1:10" x14ac:dyDescent="0.3">
      <c r="A20" s="30">
        <v>6</v>
      </c>
      <c r="B20" s="72">
        <f t="shared" ca="1" si="2"/>
        <v>0.12272733421079496</v>
      </c>
      <c r="C20" s="72">
        <f t="shared" ca="1" si="2"/>
        <v>0.89112861043356406</v>
      </c>
      <c r="D20" s="72">
        <f t="shared" ca="1" si="0"/>
        <v>3.2734356883080613</v>
      </c>
      <c r="E20" s="72">
        <f t="shared" ca="1" si="1"/>
        <v>42.645923185230892</v>
      </c>
      <c r="F20" s="72">
        <f t="shared" ca="1" si="6"/>
        <v>145.88932914048121</v>
      </c>
      <c r="G20" s="72">
        <f t="shared" ca="1" si="7"/>
        <v>26.059329858962172</v>
      </c>
      <c r="H20" s="72">
        <f t="shared" ca="1" si="3"/>
        <v>171.94865899944338</v>
      </c>
      <c r="I20" s="72">
        <f t="shared" ca="1" si="4"/>
        <v>214.59458218467427</v>
      </c>
      <c r="J20" s="72">
        <f t="shared" ca="1" si="5"/>
        <v>68.705253044193057</v>
      </c>
    </row>
    <row r="21" spans="1:10" x14ac:dyDescent="0.3">
      <c r="A21" s="30">
        <v>7</v>
      </c>
      <c r="B21" s="72">
        <f t="shared" ca="1" si="2"/>
        <v>0.80822787295901444</v>
      </c>
      <c r="C21" s="72">
        <f t="shared" ca="1" si="2"/>
        <v>0.49858005367313685</v>
      </c>
      <c r="D21" s="72">
        <f t="shared" ca="1" si="0"/>
        <v>41.286186253322882</v>
      </c>
      <c r="E21" s="72">
        <f t="shared" ca="1" si="1"/>
        <v>13.27521755351955</v>
      </c>
      <c r="F21" s="72">
        <f t="shared" ca="1" si="6"/>
        <v>187.17551539380409</v>
      </c>
      <c r="G21" s="72">
        <f t="shared" ca="1" si="7"/>
        <v>27.419066790870176</v>
      </c>
      <c r="H21" s="72">
        <f t="shared" ca="1" si="3"/>
        <v>214.59458218467427</v>
      </c>
      <c r="I21" s="72">
        <f t="shared" ca="1" si="4"/>
        <v>227.86979973819382</v>
      </c>
      <c r="J21" s="72">
        <f t="shared" ca="1" si="5"/>
        <v>40.694284344389729</v>
      </c>
    </row>
    <row r="22" spans="1:10" x14ac:dyDescent="0.3">
      <c r="A22" s="30">
        <v>8</v>
      </c>
      <c r="B22" s="72">
        <f t="shared" ca="1" si="2"/>
        <v>2.6085164088428647E-2</v>
      </c>
      <c r="C22" s="72">
        <f t="shared" ca="1" si="2"/>
        <v>0.85383724137039874</v>
      </c>
      <c r="D22" s="72">
        <f t="shared" ca="1" si="0"/>
        <v>0.66078541562330562</v>
      </c>
      <c r="E22" s="72">
        <f t="shared" ca="1" si="1"/>
        <v>36.981432558674626</v>
      </c>
      <c r="F22" s="72">
        <f t="shared" ca="1" si="6"/>
        <v>187.8363008094274</v>
      </c>
      <c r="G22" s="72">
        <f t="shared" ca="1" si="7"/>
        <v>40.03349892876642</v>
      </c>
      <c r="H22" s="72">
        <f t="shared" ca="1" si="3"/>
        <v>227.86979973819382</v>
      </c>
      <c r="I22" s="72">
        <f t="shared" ca="1" si="4"/>
        <v>264.85123229686843</v>
      </c>
      <c r="J22" s="72">
        <f t="shared" ca="1" si="5"/>
        <v>77.014931487441032</v>
      </c>
    </row>
    <row r="23" spans="1:10" x14ac:dyDescent="0.3">
      <c r="A23" s="30">
        <v>9</v>
      </c>
      <c r="B23" s="72">
        <f t="shared" ca="1" si="2"/>
        <v>0.70939919307759824</v>
      </c>
      <c r="C23" s="72">
        <f t="shared" ca="1" si="2"/>
        <v>0.20267205378872544</v>
      </c>
      <c r="D23" s="72">
        <f t="shared" ca="1" si="0"/>
        <v>30.895118777594021</v>
      </c>
      <c r="E23" s="72">
        <f t="shared" ca="1" si="1"/>
        <v>4.3555617120487664</v>
      </c>
      <c r="F23" s="72">
        <f t="shared" ca="1" si="6"/>
        <v>218.73141958702143</v>
      </c>
      <c r="G23" s="72">
        <f t="shared" ca="1" si="7"/>
        <v>46.119812709846997</v>
      </c>
      <c r="H23" s="72">
        <f t="shared" ca="1" si="3"/>
        <v>264.85123229686843</v>
      </c>
      <c r="I23" s="72">
        <f t="shared" ca="1" si="4"/>
        <v>269.2067940089172</v>
      </c>
      <c r="J23" s="72">
        <f t="shared" ca="1" si="5"/>
        <v>50.475374421895765</v>
      </c>
    </row>
    <row r="24" spans="1:10" x14ac:dyDescent="0.3">
      <c r="A24" s="30">
        <v>10</v>
      </c>
      <c r="B24" s="72">
        <f t="shared" ca="1" si="2"/>
        <v>0.95453199065887118</v>
      </c>
      <c r="C24" s="72">
        <f t="shared" ca="1" si="2"/>
        <v>0.56277477602750081</v>
      </c>
      <c r="D24" s="72">
        <f t="shared" ca="1" si="0"/>
        <v>77.268657292841795</v>
      </c>
      <c r="E24" s="72">
        <f t="shared" ca="1" si="1"/>
        <v>15.909746730536167</v>
      </c>
      <c r="F24" s="72">
        <f t="shared" ca="1" si="6"/>
        <v>296.00007687986323</v>
      </c>
      <c r="G24" s="72">
        <f t="shared" ca="1" si="7"/>
        <v>0</v>
      </c>
      <c r="H24" s="72">
        <f t="shared" ca="1" si="3"/>
        <v>296.00007687986323</v>
      </c>
      <c r="I24" s="72">
        <f t="shared" ca="1" si="4"/>
        <v>311.90982361039937</v>
      </c>
      <c r="J24" s="72">
        <f t="shared" ca="1" si="5"/>
        <v>15.909746730536142</v>
      </c>
    </row>
    <row r="25" spans="1:10" x14ac:dyDescent="0.3">
      <c r="A25" s="30">
        <v>11</v>
      </c>
      <c r="B25" s="72">
        <f t="shared" ca="1" si="2"/>
        <v>0.34364328409121758</v>
      </c>
      <c r="C25" s="72">
        <f t="shared" ca="1" si="2"/>
        <v>0.604028912221515</v>
      </c>
      <c r="D25" s="72">
        <f t="shared" ca="1" si="0"/>
        <v>10.526271589462475</v>
      </c>
      <c r="E25" s="72">
        <f t="shared" ca="1" si="1"/>
        <v>17.815655404874153</v>
      </c>
      <c r="F25" s="72">
        <f t="shared" ca="1" si="6"/>
        <v>306.52634846932568</v>
      </c>
      <c r="G25" s="72">
        <f t="shared" ca="1" si="7"/>
        <v>5.3834751410736885</v>
      </c>
      <c r="H25" s="72">
        <f t="shared" ca="1" si="3"/>
        <v>311.90982361039937</v>
      </c>
      <c r="I25" s="72">
        <f t="shared" ca="1" si="4"/>
        <v>329.72547901527355</v>
      </c>
      <c r="J25" s="72">
        <f t="shared" ca="1" si="5"/>
        <v>23.199130545947867</v>
      </c>
    </row>
    <row r="26" spans="1:10" x14ac:dyDescent="0.3">
      <c r="A26" s="30">
        <v>12</v>
      </c>
      <c r="B26" s="72">
        <f t="shared" ca="1" si="2"/>
        <v>0.77740382659629437</v>
      </c>
      <c r="C26" s="72">
        <f t="shared" ca="1" si="2"/>
        <v>0.88688270522355561</v>
      </c>
      <c r="D26" s="72">
        <f t="shared" ca="1" si="0"/>
        <v>37.559900768699841</v>
      </c>
      <c r="E26" s="72">
        <f t="shared" ca="1" si="1"/>
        <v>41.910192149138972</v>
      </c>
      <c r="F26" s="72">
        <f t="shared" ca="1" si="6"/>
        <v>344.08624923802552</v>
      </c>
      <c r="G26" s="72">
        <f t="shared" ca="1" si="7"/>
        <v>0</v>
      </c>
      <c r="H26" s="72">
        <f t="shared" ca="1" si="3"/>
        <v>344.08624923802552</v>
      </c>
      <c r="I26" s="72">
        <f t="shared" ca="1" si="4"/>
        <v>385.99644138716451</v>
      </c>
      <c r="J26" s="72">
        <f t="shared" ca="1" si="5"/>
        <v>41.910192149138993</v>
      </c>
    </row>
    <row r="27" spans="1:10" x14ac:dyDescent="0.3">
      <c r="A27" s="30">
        <v>13</v>
      </c>
      <c r="B27" s="72">
        <f t="shared" ca="1" si="2"/>
        <v>0.61832470556337538</v>
      </c>
      <c r="C27" s="72">
        <f t="shared" ca="1" si="2"/>
        <v>0.88625877055114122</v>
      </c>
      <c r="D27" s="72">
        <f t="shared" ca="1" si="0"/>
        <v>24.079626160165013</v>
      </c>
      <c r="E27" s="72">
        <f t="shared" ca="1" si="1"/>
        <v>41.804410151346538</v>
      </c>
      <c r="F27" s="72">
        <f t="shared" ca="1" si="6"/>
        <v>368.16587539819051</v>
      </c>
      <c r="G27" s="72">
        <f t="shared" ca="1" si="7"/>
        <v>17.830565988974001</v>
      </c>
      <c r="H27" s="72">
        <f t="shared" ca="1" si="3"/>
        <v>385.99644138716451</v>
      </c>
      <c r="I27" s="72">
        <f t="shared" ca="1" si="4"/>
        <v>427.80085153851104</v>
      </c>
      <c r="J27" s="72">
        <f t="shared" ca="1" si="5"/>
        <v>59.634976140320532</v>
      </c>
    </row>
    <row r="28" spans="1:10" x14ac:dyDescent="0.3">
      <c r="A28" s="30">
        <v>14</v>
      </c>
      <c r="B28" s="72">
        <f t="shared" ca="1" si="2"/>
        <v>7.1110194814985261E-2</v>
      </c>
      <c r="C28" s="72">
        <f t="shared" ca="1" si="2"/>
        <v>0.33774755369130038</v>
      </c>
      <c r="D28" s="72">
        <f t="shared" ca="1" si="0"/>
        <v>1.8441290949224489</v>
      </c>
      <c r="E28" s="72">
        <f t="shared" ca="1" si="1"/>
        <v>7.9251626327194096</v>
      </c>
      <c r="F28" s="72">
        <f t="shared" ca="1" si="6"/>
        <v>370.01000449311294</v>
      </c>
      <c r="G28" s="72">
        <f t="shared" ca="1" si="7"/>
        <v>57.790847045398095</v>
      </c>
      <c r="H28" s="72">
        <f t="shared" ca="1" si="3"/>
        <v>427.80085153851104</v>
      </c>
      <c r="I28" s="72">
        <f t="shared" ca="1" si="4"/>
        <v>435.72601417123047</v>
      </c>
      <c r="J28" s="72">
        <f t="shared" ca="1" si="5"/>
        <v>65.71600967811753</v>
      </c>
    </row>
    <row r="29" spans="1:10" x14ac:dyDescent="0.3">
      <c r="A29" s="30">
        <v>15</v>
      </c>
      <c r="B29" s="72">
        <f t="shared" ca="1" si="2"/>
        <v>0.41935500250318414</v>
      </c>
      <c r="C29" s="72">
        <f t="shared" ca="1" si="2"/>
        <v>0.1522607602091185</v>
      </c>
      <c r="D29" s="72">
        <f t="shared" ca="1" si="0"/>
        <v>13.590393216945962</v>
      </c>
      <c r="E29" s="72">
        <f t="shared" ca="1" si="1"/>
        <v>3.1765805908602114</v>
      </c>
      <c r="F29" s="72">
        <f t="shared" ca="1" si="6"/>
        <v>383.60039771005893</v>
      </c>
      <c r="G29" s="72">
        <f t="shared" ca="1" si="7"/>
        <v>52.125616461171546</v>
      </c>
      <c r="H29" s="72">
        <f t="shared" ca="1" si="3"/>
        <v>435.72601417123047</v>
      </c>
      <c r="I29" s="72">
        <f t="shared" ca="1" si="4"/>
        <v>438.9025947620907</v>
      </c>
      <c r="J29" s="72">
        <f t="shared" ca="1" si="5"/>
        <v>55.302197052031772</v>
      </c>
    </row>
    <row r="30" spans="1:10" x14ac:dyDescent="0.3">
      <c r="A30" s="30">
        <v>16</v>
      </c>
      <c r="B30" s="72">
        <f t="shared" ca="1" si="2"/>
        <v>0.1482838907874785</v>
      </c>
      <c r="C30" s="72">
        <f t="shared" ca="1" si="2"/>
        <v>0.3898533895606946</v>
      </c>
      <c r="D30" s="72">
        <f t="shared" ca="1" si="0"/>
        <v>4.0125503206903588</v>
      </c>
      <c r="E30" s="72">
        <f t="shared" ca="1" si="1"/>
        <v>9.5010770328950098</v>
      </c>
      <c r="F30" s="72">
        <f t="shared" ca="1" si="6"/>
        <v>387.61294803074929</v>
      </c>
      <c r="G30" s="72">
        <f t="shared" ca="1" si="7"/>
        <v>51.289646731341406</v>
      </c>
      <c r="H30" s="72">
        <f t="shared" ca="1" si="3"/>
        <v>438.9025947620907</v>
      </c>
      <c r="I30" s="72">
        <f t="shared" ca="1" si="4"/>
        <v>448.40367179498571</v>
      </c>
      <c r="J30" s="72">
        <f t="shared" ca="1" si="5"/>
        <v>60.790723764236418</v>
      </c>
    </row>
    <row r="31" spans="1:10" x14ac:dyDescent="0.3">
      <c r="A31" s="30">
        <v>17</v>
      </c>
      <c r="B31" s="72">
        <f t="shared" ca="1" si="2"/>
        <v>0.7686524820072056</v>
      </c>
      <c r="C31" s="72">
        <f t="shared" ca="1" si="2"/>
        <v>0.1133621370270943</v>
      </c>
      <c r="D31" s="72">
        <f t="shared" ca="1" si="0"/>
        <v>36.595857301287928</v>
      </c>
      <c r="E31" s="72">
        <f t="shared" ca="1" si="1"/>
        <v>2.3138202263666598</v>
      </c>
      <c r="F31" s="72">
        <f t="shared" ca="1" si="6"/>
        <v>424.20880533203723</v>
      </c>
      <c r="G31" s="72">
        <f t="shared" ca="1" si="7"/>
        <v>24.194866462948482</v>
      </c>
      <c r="H31" s="72">
        <f t="shared" ca="1" si="3"/>
        <v>448.40367179498571</v>
      </c>
      <c r="I31" s="72">
        <f t="shared" ca="1" si="4"/>
        <v>450.71749202135237</v>
      </c>
      <c r="J31" s="72">
        <f t="shared" ca="1" si="5"/>
        <v>26.508686689315141</v>
      </c>
    </row>
    <row r="32" spans="1:10" x14ac:dyDescent="0.3">
      <c r="A32" s="30">
        <v>18</v>
      </c>
      <c r="B32" s="72">
        <f t="shared" ca="1" si="2"/>
        <v>0.57580370942071324</v>
      </c>
      <c r="C32" s="72">
        <f t="shared" ca="1" si="2"/>
        <v>0.72421968937715253</v>
      </c>
      <c r="D32" s="72">
        <f t="shared" ca="1" si="0"/>
        <v>21.438974534969443</v>
      </c>
      <c r="E32" s="72">
        <f t="shared" ca="1" si="1"/>
        <v>24.772128965889753</v>
      </c>
      <c r="F32" s="72">
        <f t="shared" ca="1" si="6"/>
        <v>445.64777986700665</v>
      </c>
      <c r="G32" s="72">
        <f t="shared" ca="1" si="7"/>
        <v>5.0697121543457229</v>
      </c>
      <c r="H32" s="72">
        <f t="shared" ca="1" si="3"/>
        <v>450.71749202135237</v>
      </c>
      <c r="I32" s="72">
        <f t="shared" ca="1" si="4"/>
        <v>475.48962098724212</v>
      </c>
      <c r="J32" s="72">
        <f t="shared" ca="1" si="5"/>
        <v>29.841841120235472</v>
      </c>
    </row>
    <row r="33" spans="1:10" x14ac:dyDescent="0.3">
      <c r="A33" s="30">
        <v>19</v>
      </c>
      <c r="B33" s="72">
        <f t="shared" ca="1" si="2"/>
        <v>0.16186251698732446</v>
      </c>
      <c r="C33" s="72">
        <f t="shared" ca="1" si="2"/>
        <v>0.92404645940664243</v>
      </c>
      <c r="D33" s="72">
        <f t="shared" ca="1" si="0"/>
        <v>4.4143282770563248</v>
      </c>
      <c r="E33" s="72">
        <f t="shared" ca="1" si="1"/>
        <v>49.569873723131742</v>
      </c>
      <c r="F33" s="72">
        <f t="shared" ca="1" si="6"/>
        <v>450.06210814406296</v>
      </c>
      <c r="G33" s="72">
        <f t="shared" ca="1" si="7"/>
        <v>25.427512843179159</v>
      </c>
      <c r="H33" s="72">
        <f t="shared" ca="1" si="3"/>
        <v>475.48962098724212</v>
      </c>
      <c r="I33" s="72">
        <f t="shared" ca="1" si="4"/>
        <v>525.05949471037388</v>
      </c>
      <c r="J33" s="72">
        <f t="shared" ca="1" si="5"/>
        <v>74.997386566310922</v>
      </c>
    </row>
    <row r="34" spans="1:10" x14ac:dyDescent="0.3">
      <c r="A34" s="30">
        <v>20</v>
      </c>
      <c r="B34" s="72">
        <f t="shared" ca="1" si="2"/>
        <v>0.50227435638258633</v>
      </c>
      <c r="C34" s="72">
        <f t="shared" ca="1" si="2"/>
        <v>0.1273274339068271</v>
      </c>
      <c r="D34" s="72">
        <f t="shared" ca="1" si="0"/>
        <v>17.442656754964908</v>
      </c>
      <c r="E34" s="72">
        <f t="shared" ca="1" si="1"/>
        <v>2.6191319418125594</v>
      </c>
      <c r="F34" s="72">
        <f t="shared" ca="1" si="6"/>
        <v>467.50476489902786</v>
      </c>
      <c r="G34" s="72">
        <f t="shared" ca="1" si="7"/>
        <v>57.554729811346022</v>
      </c>
      <c r="H34" s="72">
        <f t="shared" ca="1" si="3"/>
        <v>525.05949471037388</v>
      </c>
      <c r="I34" s="72">
        <f t="shared" ca="1" si="4"/>
        <v>527.67862665218649</v>
      </c>
      <c r="J34" s="72">
        <f t="shared" ca="1" si="5"/>
        <v>60.173861753158633</v>
      </c>
    </row>
    <row r="35" spans="1:10" x14ac:dyDescent="0.3">
      <c r="A35" s="30">
        <v>21</v>
      </c>
      <c r="B35" s="72">
        <f t="shared" ca="1" si="2"/>
        <v>0.61760633326929071</v>
      </c>
      <c r="C35" s="72">
        <f t="shared" ca="1" si="2"/>
        <v>0.30750865293933327</v>
      </c>
      <c r="D35" s="72">
        <f t="shared" ca="1" si="0"/>
        <v>24.032616495968032</v>
      </c>
      <c r="E35" s="72">
        <f t="shared" ca="1" si="1"/>
        <v>7.0665295426531403</v>
      </c>
      <c r="F35" s="72">
        <f t="shared" ca="1" si="6"/>
        <v>491.53738139499592</v>
      </c>
      <c r="G35" s="72">
        <f t="shared" ca="1" si="7"/>
        <v>36.141245257190576</v>
      </c>
      <c r="H35" s="72">
        <f t="shared" ca="1" si="3"/>
        <v>527.67862665218649</v>
      </c>
      <c r="I35" s="72">
        <f t="shared" ca="1" si="4"/>
        <v>534.74515619483964</v>
      </c>
      <c r="J35" s="72">
        <f t="shared" ca="1" si="5"/>
        <v>43.207774799843719</v>
      </c>
    </row>
    <row r="36" spans="1:10" x14ac:dyDescent="0.3">
      <c r="A36" s="30">
        <v>22</v>
      </c>
      <c r="B36" s="72">
        <f t="shared" ca="1" si="2"/>
        <v>0.54568785382566165</v>
      </c>
      <c r="C36" s="72">
        <f t="shared" ca="1" si="2"/>
        <v>0.69687438155343862</v>
      </c>
      <c r="D36" s="72">
        <f t="shared" ca="1" si="0"/>
        <v>19.724269263829623</v>
      </c>
      <c r="E36" s="72">
        <f t="shared" ca="1" si="1"/>
        <v>22.953999558776765</v>
      </c>
      <c r="F36" s="72">
        <f t="shared" ca="1" si="6"/>
        <v>511.26165065882554</v>
      </c>
      <c r="G36" s="72">
        <f t="shared" ca="1" si="7"/>
        <v>23.483505536014093</v>
      </c>
      <c r="H36" s="72">
        <f t="shared" ca="1" si="3"/>
        <v>534.74515619483964</v>
      </c>
      <c r="I36" s="72">
        <f t="shared" ca="1" si="4"/>
        <v>557.69915575361642</v>
      </c>
      <c r="J36" s="72">
        <f t="shared" ca="1" si="5"/>
        <v>46.437505094790879</v>
      </c>
    </row>
    <row r="37" spans="1:10" x14ac:dyDescent="0.3">
      <c r="A37" s="30">
        <v>23</v>
      </c>
      <c r="B37" s="72">
        <f t="shared" ca="1" si="2"/>
        <v>0.24454148822630162</v>
      </c>
      <c r="C37" s="72">
        <f t="shared" ca="1" si="2"/>
        <v>0.28797572354664835</v>
      </c>
      <c r="D37" s="72">
        <f t="shared" ca="1" si="0"/>
        <v>7.0107603425709195</v>
      </c>
      <c r="E37" s="72">
        <f t="shared" ca="1" si="1"/>
        <v>6.5316013847898775</v>
      </c>
      <c r="F37" s="72">
        <f t="shared" ca="1" si="6"/>
        <v>518.27241100139645</v>
      </c>
      <c r="G37" s="72">
        <f t="shared" ca="1" si="7"/>
        <v>39.426744752219975</v>
      </c>
      <c r="H37" s="72">
        <f t="shared" ca="1" si="3"/>
        <v>557.69915575361642</v>
      </c>
      <c r="I37" s="72">
        <f t="shared" ca="1" si="4"/>
        <v>564.23075713840626</v>
      </c>
      <c r="J37" s="72">
        <f t="shared" ca="1" si="5"/>
        <v>45.958346137009812</v>
      </c>
    </row>
    <row r="38" spans="1:10" x14ac:dyDescent="0.3">
      <c r="A38" s="30">
        <v>24</v>
      </c>
      <c r="B38" s="72">
        <f t="shared" ca="1" si="2"/>
        <v>5.7647981732589337E-2</v>
      </c>
      <c r="C38" s="72">
        <f t="shared" ca="1" si="2"/>
        <v>0.13162673333972241</v>
      </c>
      <c r="D38" s="72">
        <f t="shared" ca="1" si="0"/>
        <v>1.4844095445787602</v>
      </c>
      <c r="E38" s="72">
        <f t="shared" ca="1" si="1"/>
        <v>2.714108193151723</v>
      </c>
      <c r="F38" s="72">
        <f t="shared" ca="1" si="6"/>
        <v>519.75682054597519</v>
      </c>
      <c r="G38" s="72">
        <f t="shared" ca="1" si="7"/>
        <v>44.473936592431073</v>
      </c>
      <c r="H38" s="72">
        <f t="shared" ca="1" si="3"/>
        <v>564.23075713840626</v>
      </c>
      <c r="I38" s="72">
        <f t="shared" ca="1" si="4"/>
        <v>566.94486533155793</v>
      </c>
      <c r="J38" s="72">
        <f t="shared" ca="1" si="5"/>
        <v>47.188044785582747</v>
      </c>
    </row>
    <row r="39" spans="1:10" x14ac:dyDescent="0.3">
      <c r="A39" s="30">
        <v>25</v>
      </c>
      <c r="B39" s="72">
        <f t="shared" ca="1" si="2"/>
        <v>0.89274390657105751</v>
      </c>
      <c r="C39" s="72">
        <f t="shared" ca="1" si="2"/>
        <v>0.36237016169655656</v>
      </c>
      <c r="D39" s="72">
        <f t="shared" ca="1" si="0"/>
        <v>55.81339768999144</v>
      </c>
      <c r="E39" s="72">
        <f t="shared" ca="1" si="1"/>
        <v>8.6537952838477352</v>
      </c>
      <c r="F39" s="72">
        <f t="shared" ca="1" si="6"/>
        <v>575.57021823596665</v>
      </c>
      <c r="G39" s="72">
        <f t="shared" ca="1" si="7"/>
        <v>0</v>
      </c>
      <c r="H39" s="72">
        <f t="shared" ca="1" si="3"/>
        <v>575.57021823596665</v>
      </c>
      <c r="I39" s="72">
        <f t="shared" ca="1" si="4"/>
        <v>584.22401351981443</v>
      </c>
      <c r="J39" s="72">
        <f t="shared" ca="1" si="5"/>
        <v>8.653795283847785</v>
      </c>
    </row>
    <row r="40" spans="1:10" x14ac:dyDescent="0.3">
      <c r="A40" s="30">
        <v>26</v>
      </c>
      <c r="B40" s="72">
        <f t="shared" ca="1" si="2"/>
        <v>3.6137531473344198E-2</v>
      </c>
      <c r="C40" s="72">
        <f t="shared" ca="1" si="2"/>
        <v>0.76704375401707481</v>
      </c>
      <c r="D40" s="72">
        <f t="shared" ca="1" si="0"/>
        <v>0.92016655132592262</v>
      </c>
      <c r="E40" s="72">
        <f t="shared" ca="1" si="1"/>
        <v>28.017396702525872</v>
      </c>
      <c r="F40" s="72">
        <f t="shared" ca="1" si="6"/>
        <v>576.49038478729256</v>
      </c>
      <c r="G40" s="72">
        <f t="shared" ca="1" si="7"/>
        <v>7.7336287325218791</v>
      </c>
      <c r="H40" s="72">
        <f t="shared" ca="1" si="3"/>
        <v>584.22401351981443</v>
      </c>
      <c r="I40" s="72">
        <f t="shared" ca="1" si="4"/>
        <v>612.24141022234028</v>
      </c>
      <c r="J40" s="72">
        <f t="shared" ca="1" si="5"/>
        <v>35.751025435047723</v>
      </c>
    </row>
    <row r="41" spans="1:10" x14ac:dyDescent="0.3">
      <c r="A41" s="30">
        <v>27</v>
      </c>
      <c r="B41" s="72">
        <f t="shared" ca="1" si="2"/>
        <v>0.66300011420431948</v>
      </c>
      <c r="C41" s="72">
        <f t="shared" ca="1" si="2"/>
        <v>0.88935564753664242</v>
      </c>
      <c r="D41" s="72">
        <f t="shared" ca="1" si="0"/>
        <v>27.191817187876342</v>
      </c>
      <c r="E41" s="72">
        <f t="shared" ca="1" si="1"/>
        <v>42.335274104460595</v>
      </c>
      <c r="F41" s="72">
        <f t="shared" ca="1" si="6"/>
        <v>603.68220197516894</v>
      </c>
      <c r="G41" s="72">
        <f t="shared" ca="1" si="7"/>
        <v>8.5592082471713411</v>
      </c>
      <c r="H41" s="72">
        <f t="shared" ca="1" si="3"/>
        <v>612.24141022234028</v>
      </c>
      <c r="I41" s="72">
        <f t="shared" ca="1" si="4"/>
        <v>654.57668432680089</v>
      </c>
      <c r="J41" s="72">
        <f t="shared" ca="1" si="5"/>
        <v>50.89448235163195</v>
      </c>
    </row>
    <row r="42" spans="1:10" x14ac:dyDescent="0.3">
      <c r="A42" s="30">
        <v>28</v>
      </c>
      <c r="B42" s="72">
        <f t="shared" ca="1" si="2"/>
        <v>0.52646780108309565</v>
      </c>
      <c r="C42" s="72">
        <f t="shared" ca="1" si="2"/>
        <v>9.3539429345976921E-2</v>
      </c>
      <c r="D42" s="72">
        <f t="shared" ca="1" si="0"/>
        <v>18.688384168289769</v>
      </c>
      <c r="E42" s="72">
        <f t="shared" ca="1" si="1"/>
        <v>1.8886104995787114</v>
      </c>
      <c r="F42" s="72">
        <f t="shared" ca="1" si="6"/>
        <v>622.3705861434587</v>
      </c>
      <c r="G42" s="72">
        <f t="shared" ca="1" si="7"/>
        <v>32.206098183342192</v>
      </c>
      <c r="H42" s="72">
        <f t="shared" ca="1" si="3"/>
        <v>654.57668432680089</v>
      </c>
      <c r="I42" s="72">
        <f t="shared" ca="1" si="4"/>
        <v>656.46529482637959</v>
      </c>
      <c r="J42" s="72">
        <f t="shared" ca="1" si="5"/>
        <v>34.094708682920896</v>
      </c>
    </row>
    <row r="43" spans="1:10" x14ac:dyDescent="0.3">
      <c r="A43" s="30">
        <v>29</v>
      </c>
      <c r="B43" s="72">
        <f t="shared" ca="1" si="2"/>
        <v>0.63215517593177639</v>
      </c>
      <c r="C43" s="72">
        <f t="shared" ca="1" si="2"/>
        <v>0.80995804219103906</v>
      </c>
      <c r="D43" s="72">
        <f t="shared" ca="1" si="0"/>
        <v>25.002352586755649</v>
      </c>
      <c r="E43" s="72">
        <f t="shared" ca="1" si="1"/>
        <v>31.932892319762583</v>
      </c>
      <c r="F43" s="72">
        <f t="shared" ca="1" si="6"/>
        <v>647.3729387302144</v>
      </c>
      <c r="G43" s="72">
        <f t="shared" ca="1" si="7"/>
        <v>9.0923560961651901</v>
      </c>
      <c r="H43" s="72">
        <f t="shared" ca="1" si="3"/>
        <v>656.46529482637959</v>
      </c>
      <c r="I43" s="72">
        <f t="shared" ca="1" si="4"/>
        <v>688.39818714614216</v>
      </c>
      <c r="J43" s="72">
        <f t="shared" ca="1" si="5"/>
        <v>41.025248415927763</v>
      </c>
    </row>
    <row r="44" spans="1:10" x14ac:dyDescent="0.3">
      <c r="A44" s="30">
        <v>30</v>
      </c>
      <c r="B44" s="72">
        <f t="shared" ca="1" si="2"/>
        <v>0.33521398662155499</v>
      </c>
      <c r="C44" s="72">
        <f t="shared" ca="1" si="2"/>
        <v>0.86001862759731151</v>
      </c>
      <c r="D44" s="72">
        <f t="shared" ca="1" si="0"/>
        <v>10.207251862582643</v>
      </c>
      <c r="E44" s="72">
        <f t="shared" ca="1" si="1"/>
        <v>37.812421528689377</v>
      </c>
      <c r="F44" s="72">
        <f t="shared" ca="1" si="6"/>
        <v>657.58019059279707</v>
      </c>
      <c r="G44" s="72">
        <f t="shared" ca="1" si="7"/>
        <v>30.817996553345097</v>
      </c>
      <c r="H44" s="72">
        <f t="shared" ca="1" si="3"/>
        <v>688.39818714614216</v>
      </c>
      <c r="I44" s="72">
        <f t="shared" ca="1" si="4"/>
        <v>726.21060867483152</v>
      </c>
      <c r="J44" s="72">
        <f t="shared" ca="1" si="5"/>
        <v>68.630418082034453</v>
      </c>
    </row>
    <row r="45" spans="1:10" x14ac:dyDescent="0.3">
      <c r="A45" s="30">
        <v>31</v>
      </c>
      <c r="B45" s="72">
        <f t="shared" ca="1" si="2"/>
        <v>0.78031283344126534</v>
      </c>
      <c r="C45" s="72">
        <f t="shared" ca="1" si="2"/>
        <v>0.8334958459280678</v>
      </c>
      <c r="D45" s="72">
        <f t="shared" ca="1" si="0"/>
        <v>37.888767869409577</v>
      </c>
      <c r="E45" s="72">
        <f t="shared" ca="1" si="1"/>
        <v>34.475673470997982</v>
      </c>
      <c r="F45" s="72">
        <f t="shared" ca="1" si="6"/>
        <v>695.46895846220661</v>
      </c>
      <c r="G45" s="72">
        <f t="shared" ca="1" si="7"/>
        <v>30.741650212624904</v>
      </c>
      <c r="H45" s="72">
        <f t="shared" ca="1" si="3"/>
        <v>726.21060867483152</v>
      </c>
      <c r="I45" s="72">
        <f t="shared" ca="1" si="4"/>
        <v>760.68628214582952</v>
      </c>
      <c r="J45" s="72">
        <f t="shared" ca="1" si="5"/>
        <v>65.217323683622908</v>
      </c>
    </row>
    <row r="46" spans="1:10" x14ac:dyDescent="0.3">
      <c r="A46" s="30">
        <v>32</v>
      </c>
      <c r="B46" s="72">
        <f t="shared" ca="1" si="2"/>
        <v>0.55017650945337027</v>
      </c>
      <c r="C46" s="72">
        <f t="shared" ca="1" si="2"/>
        <v>8.8840202327019613E-3</v>
      </c>
      <c r="D46" s="72">
        <f t="shared" ca="1" si="0"/>
        <v>19.972500409874524</v>
      </c>
      <c r="E46" s="72">
        <f t="shared" ca="1" si="1"/>
        <v>0.17160996990580626</v>
      </c>
      <c r="F46" s="72">
        <f t="shared" ca="1" si="6"/>
        <v>715.44145887208117</v>
      </c>
      <c r="G46" s="72">
        <f t="shared" ca="1" si="7"/>
        <v>45.244823273748352</v>
      </c>
      <c r="H46" s="72">
        <f t="shared" ca="1" si="3"/>
        <v>760.68628214582952</v>
      </c>
      <c r="I46" s="72">
        <f t="shared" ca="1" si="4"/>
        <v>760.85789211573535</v>
      </c>
      <c r="J46" s="72">
        <f t="shared" ca="1" si="5"/>
        <v>45.416433243654183</v>
      </c>
    </row>
    <row r="47" spans="1:10" x14ac:dyDescent="0.3">
      <c r="A47" s="30">
        <v>33</v>
      </c>
      <c r="B47" s="72">
        <f t="shared" ca="1" si="2"/>
        <v>0.48402727603474283</v>
      </c>
      <c r="C47" s="72">
        <f t="shared" ca="1" si="2"/>
        <v>0.52534282355040696</v>
      </c>
      <c r="D47" s="72">
        <f t="shared" ref="D47:D64" ca="1" si="8">(1/L)*LN(1/(1-B47))</f>
        <v>16.54253438575472</v>
      </c>
      <c r="E47" s="72">
        <f t="shared" ref="E47:E64" ca="1" si="9">(1/M)*LN(1/(1-C47))</f>
        <v>14.330047486789292</v>
      </c>
      <c r="F47" s="72">
        <f t="shared" ca="1" si="6"/>
        <v>731.98399325783589</v>
      </c>
      <c r="G47" s="72">
        <f t="shared" ca="1" si="7"/>
        <v>28.873898857899462</v>
      </c>
      <c r="H47" s="72">
        <f t="shared" ca="1" si="3"/>
        <v>760.85789211573535</v>
      </c>
      <c r="I47" s="72">
        <f t="shared" ca="1" si="4"/>
        <v>775.18793960252469</v>
      </c>
      <c r="J47" s="72">
        <f t="shared" ca="1" si="5"/>
        <v>43.203946344688802</v>
      </c>
    </row>
    <row r="48" spans="1:10" x14ac:dyDescent="0.3">
      <c r="A48" s="30">
        <v>34</v>
      </c>
      <c r="B48" s="72">
        <f t="shared" ref="B48:C64" ca="1" si="10">RAND()</f>
        <v>0.71979913381254845</v>
      </c>
      <c r="C48" s="72">
        <f t="shared" ca="1" si="10"/>
        <v>0.69344700011837268</v>
      </c>
      <c r="D48" s="72">
        <f t="shared" ca="1" si="8"/>
        <v>31.806213844137016</v>
      </c>
      <c r="E48" s="72">
        <f t="shared" ca="1" si="9"/>
        <v>22.737781132225194</v>
      </c>
      <c r="F48" s="72">
        <f t="shared" ca="1" si="6"/>
        <v>763.7902071019729</v>
      </c>
      <c r="G48" s="72">
        <f t="shared" ca="1" si="7"/>
        <v>11.397732500551797</v>
      </c>
      <c r="H48" s="72">
        <f t="shared" ca="1" si="3"/>
        <v>775.18793960252469</v>
      </c>
      <c r="I48" s="72">
        <f t="shared" ca="1" si="4"/>
        <v>797.92572073474992</v>
      </c>
      <c r="J48" s="72">
        <f t="shared" ca="1" si="5"/>
        <v>34.13551363277702</v>
      </c>
    </row>
    <row r="49" spans="1:10" x14ac:dyDescent="0.3">
      <c r="A49" s="30">
        <v>35</v>
      </c>
      <c r="B49" s="72">
        <f t="shared" ca="1" si="10"/>
        <v>0.6249382554408075</v>
      </c>
      <c r="C49" s="72">
        <f t="shared" ca="1" si="10"/>
        <v>0.30244390835774226</v>
      </c>
      <c r="D49" s="72">
        <f t="shared" ca="1" si="8"/>
        <v>24.516615360188958</v>
      </c>
      <c r="E49" s="72">
        <f t="shared" ca="1" si="9"/>
        <v>6.9263913537476851</v>
      </c>
      <c r="F49" s="72">
        <f t="shared" ca="1" si="6"/>
        <v>788.3068224621619</v>
      </c>
      <c r="G49" s="72">
        <f t="shared" ca="1" si="7"/>
        <v>9.6188982725880123</v>
      </c>
      <c r="H49" s="72">
        <f t="shared" ca="1" si="3"/>
        <v>797.92572073474992</v>
      </c>
      <c r="I49" s="72">
        <f t="shared" ca="1" si="4"/>
        <v>804.85211208849762</v>
      </c>
      <c r="J49" s="72">
        <f t="shared" ca="1" si="5"/>
        <v>16.545289626335716</v>
      </c>
    </row>
    <row r="50" spans="1:10" x14ac:dyDescent="0.3">
      <c r="A50" s="30">
        <v>36</v>
      </c>
      <c r="B50" s="72">
        <f t="shared" ca="1" si="10"/>
        <v>0.2474730095471025</v>
      </c>
      <c r="C50" s="72">
        <f t="shared" ca="1" si="10"/>
        <v>0.45423898080825675</v>
      </c>
      <c r="D50" s="72">
        <f t="shared" ca="1" si="8"/>
        <v>7.1079603822711404</v>
      </c>
      <c r="E50" s="72">
        <f t="shared" ca="1" si="9"/>
        <v>11.645655631560263</v>
      </c>
      <c r="F50" s="72">
        <f t="shared" ca="1" si="6"/>
        <v>795.41478284443303</v>
      </c>
      <c r="G50" s="72">
        <f t="shared" ca="1" si="7"/>
        <v>9.4373292440645855</v>
      </c>
      <c r="H50" s="72">
        <f t="shared" ca="1" si="3"/>
        <v>804.85211208849762</v>
      </c>
      <c r="I50" s="72">
        <f t="shared" ca="1" si="4"/>
        <v>816.49776772005794</v>
      </c>
      <c r="J50" s="72">
        <f t="shared" ca="1" si="5"/>
        <v>21.082984875624902</v>
      </c>
    </row>
    <row r="51" spans="1:10" x14ac:dyDescent="0.3">
      <c r="A51" s="30">
        <v>37</v>
      </c>
      <c r="B51" s="72">
        <f t="shared" ca="1" si="10"/>
        <v>0.81890763552335022</v>
      </c>
      <c r="C51" s="72">
        <f t="shared" ca="1" si="10"/>
        <v>0.93762199287836412</v>
      </c>
      <c r="D51" s="72">
        <f t="shared" ca="1" si="8"/>
        <v>42.718701922490261</v>
      </c>
      <c r="E51" s="72">
        <f t="shared" ca="1" si="9"/>
        <v>53.356586840492859</v>
      </c>
      <c r="F51" s="72">
        <f t="shared" ca="1" si="6"/>
        <v>838.13348476692329</v>
      </c>
      <c r="G51" s="72">
        <f t="shared" ca="1" si="7"/>
        <v>0</v>
      </c>
      <c r="H51" s="72">
        <f t="shared" ca="1" si="3"/>
        <v>838.13348476692329</v>
      </c>
      <c r="I51" s="72">
        <f t="shared" ca="1" si="4"/>
        <v>891.4900716074161</v>
      </c>
      <c r="J51" s="72">
        <f t="shared" ca="1" si="5"/>
        <v>53.35658684049281</v>
      </c>
    </row>
    <row r="52" spans="1:10" x14ac:dyDescent="0.3">
      <c r="A52" s="30">
        <v>38</v>
      </c>
      <c r="B52" s="72">
        <f t="shared" ca="1" si="10"/>
        <v>0.53177993181733485</v>
      </c>
      <c r="C52" s="72">
        <f t="shared" ca="1" si="10"/>
        <v>0.63671659041429318</v>
      </c>
      <c r="D52" s="72">
        <f t="shared" ca="1" si="8"/>
        <v>18.970421560724365</v>
      </c>
      <c r="E52" s="72">
        <f t="shared" ca="1" si="9"/>
        <v>19.472538589960468</v>
      </c>
      <c r="F52" s="72">
        <f t="shared" ca="1" si="6"/>
        <v>857.10390632764768</v>
      </c>
      <c r="G52" s="72">
        <f t="shared" ca="1" si="7"/>
        <v>34.38616527976842</v>
      </c>
      <c r="H52" s="72">
        <f t="shared" ca="1" si="3"/>
        <v>891.4900716074161</v>
      </c>
      <c r="I52" s="72">
        <f t="shared" ca="1" si="4"/>
        <v>910.96261019737653</v>
      </c>
      <c r="J52" s="72">
        <f t="shared" ca="1" si="5"/>
        <v>53.858703869728856</v>
      </c>
    </row>
    <row r="53" spans="1:10" x14ac:dyDescent="0.3">
      <c r="A53" s="30">
        <v>39</v>
      </c>
      <c r="B53" s="72">
        <f t="shared" ca="1" si="10"/>
        <v>0.25975991108916763</v>
      </c>
      <c r="C53" s="72">
        <f t="shared" ca="1" si="10"/>
        <v>0.97052359546720302</v>
      </c>
      <c r="D53" s="72">
        <f t="shared" ca="1" si="8"/>
        <v>7.5195175232637688</v>
      </c>
      <c r="E53" s="72">
        <f t="shared" ca="1" si="9"/>
        <v>67.772407346730517</v>
      </c>
      <c r="F53" s="72">
        <f t="shared" ca="1" si="6"/>
        <v>864.62342385091142</v>
      </c>
      <c r="G53" s="72">
        <f t="shared" ca="1" si="7"/>
        <v>46.339186346465112</v>
      </c>
      <c r="H53" s="72">
        <f t="shared" ca="1" si="3"/>
        <v>910.96261019737653</v>
      </c>
      <c r="I53" s="72">
        <f t="shared" ca="1" si="4"/>
        <v>978.735017544107</v>
      </c>
      <c r="J53" s="72">
        <f t="shared" ca="1" si="5"/>
        <v>114.11159369319557</v>
      </c>
    </row>
    <row r="54" spans="1:10" x14ac:dyDescent="0.3">
      <c r="A54" s="30">
        <v>40</v>
      </c>
      <c r="B54" s="72">
        <f t="shared" ca="1" si="10"/>
        <v>0.5429494062795972</v>
      </c>
      <c r="C54" s="72">
        <f t="shared" ca="1" si="10"/>
        <v>0.67616197125980593</v>
      </c>
      <c r="D54" s="72">
        <f t="shared" ca="1" si="8"/>
        <v>19.57402964639768</v>
      </c>
      <c r="E54" s="72">
        <f t="shared" ca="1" si="9"/>
        <v>21.682919220823404</v>
      </c>
      <c r="F54" s="72">
        <f t="shared" ca="1" si="6"/>
        <v>884.19745349730908</v>
      </c>
      <c r="G54" s="72">
        <f t="shared" ca="1" si="7"/>
        <v>94.537564046797911</v>
      </c>
      <c r="H54" s="72">
        <f t="shared" ca="1" si="3"/>
        <v>978.735017544107</v>
      </c>
      <c r="I54" s="72">
        <f t="shared" ca="1" si="4"/>
        <v>1000.4179367649303</v>
      </c>
      <c r="J54" s="72">
        <f t="shared" ca="1" si="5"/>
        <v>116.22048326762126</v>
      </c>
    </row>
    <row r="55" spans="1:10" x14ac:dyDescent="0.3">
      <c r="A55" s="30">
        <v>41</v>
      </c>
      <c r="B55" s="72">
        <f t="shared" ca="1" si="10"/>
        <v>0.16203924420554328</v>
      </c>
      <c r="C55" s="72">
        <f t="shared" ca="1" si="10"/>
        <v>0.12888111851692463</v>
      </c>
      <c r="D55" s="72">
        <f t="shared" ca="1" si="8"/>
        <v>4.4196002597713582</v>
      </c>
      <c r="E55" s="72">
        <f t="shared" ca="1" si="9"/>
        <v>2.6534004412274901</v>
      </c>
      <c r="F55" s="72">
        <f t="shared" ca="1" si="6"/>
        <v>888.6170537570805</v>
      </c>
      <c r="G55" s="72">
        <f t="shared" ca="1" si="7"/>
        <v>111.80088300784985</v>
      </c>
      <c r="H55" s="72">
        <f t="shared" ca="1" si="3"/>
        <v>1000.4179367649303</v>
      </c>
      <c r="I55" s="72">
        <f t="shared" ca="1" si="4"/>
        <v>1003.0713372061579</v>
      </c>
      <c r="J55" s="72">
        <f t="shared" ca="1" si="5"/>
        <v>114.45428344907737</v>
      </c>
    </row>
    <row r="56" spans="1:10" x14ac:dyDescent="0.3">
      <c r="A56" s="30">
        <v>42</v>
      </c>
      <c r="B56" s="72">
        <f t="shared" ca="1" si="10"/>
        <v>0.30208268668276628</v>
      </c>
      <c r="C56" s="72">
        <f t="shared" ca="1" si="10"/>
        <v>0.86155235602582725</v>
      </c>
      <c r="D56" s="72">
        <f t="shared" ca="1" si="8"/>
        <v>8.9913661383300809</v>
      </c>
      <c r="E56" s="72">
        <f t="shared" ca="1" si="9"/>
        <v>38.024289359041191</v>
      </c>
      <c r="F56" s="72">
        <f t="shared" ca="1" si="6"/>
        <v>897.60841989541063</v>
      </c>
      <c r="G56" s="72">
        <f t="shared" ca="1" si="7"/>
        <v>105.46291731074723</v>
      </c>
      <c r="H56" s="72">
        <f t="shared" ca="1" si="3"/>
        <v>1003.0713372061579</v>
      </c>
      <c r="I56" s="72">
        <f t="shared" ca="1" si="4"/>
        <v>1041.0956265651992</v>
      </c>
      <c r="J56" s="72">
        <f t="shared" ca="1" si="5"/>
        <v>143.48720666978852</v>
      </c>
    </row>
    <row r="57" spans="1:10" x14ac:dyDescent="0.3">
      <c r="A57" s="30">
        <v>43</v>
      </c>
      <c r="B57" s="72">
        <f t="shared" ca="1" si="10"/>
        <v>0.44230279508263348</v>
      </c>
      <c r="C57" s="72">
        <f t="shared" ca="1" si="10"/>
        <v>0.64835367129027177</v>
      </c>
      <c r="D57" s="72">
        <f t="shared" ca="1" si="8"/>
        <v>14.598477685059203</v>
      </c>
      <c r="E57" s="72">
        <f t="shared" ca="1" si="9"/>
        <v>20.09864147048809</v>
      </c>
      <c r="F57" s="72">
        <f t="shared" ca="1" si="6"/>
        <v>912.20689758046979</v>
      </c>
      <c r="G57" s="72">
        <f t="shared" ca="1" si="7"/>
        <v>128.88872898472937</v>
      </c>
      <c r="H57" s="72">
        <f t="shared" ca="1" si="3"/>
        <v>1041.0956265651992</v>
      </c>
      <c r="I57" s="72">
        <f t="shared" ca="1" si="4"/>
        <v>1061.1942680356872</v>
      </c>
      <c r="J57" s="72">
        <f t="shared" ca="1" si="5"/>
        <v>148.98737045521739</v>
      </c>
    </row>
    <row r="58" spans="1:10" x14ac:dyDescent="0.3">
      <c r="A58" s="30">
        <v>44</v>
      </c>
      <c r="B58" s="72">
        <f t="shared" ca="1" si="10"/>
        <v>0.9457426693367309</v>
      </c>
      <c r="C58" s="72">
        <f t="shared" ca="1" si="10"/>
        <v>0.88064898209812503</v>
      </c>
      <c r="D58" s="72">
        <f t="shared" ca="1" si="8"/>
        <v>72.850429206423144</v>
      </c>
      <c r="E58" s="72">
        <f t="shared" ca="1" si="9"/>
        <v>40.878584567708614</v>
      </c>
      <c r="F58" s="72">
        <f t="shared" ca="1" si="6"/>
        <v>985.05732678689287</v>
      </c>
      <c r="G58" s="72">
        <f t="shared" ca="1" si="7"/>
        <v>76.136941248794301</v>
      </c>
      <c r="H58" s="72">
        <f t="shared" ca="1" si="3"/>
        <v>1061.1942680356872</v>
      </c>
      <c r="I58" s="72">
        <f t="shared" ca="1" si="4"/>
        <v>1102.0728526033959</v>
      </c>
      <c r="J58" s="72">
        <f t="shared" ca="1" si="5"/>
        <v>117.01552581650299</v>
      </c>
    </row>
    <row r="59" spans="1:10" x14ac:dyDescent="0.3">
      <c r="A59" s="30">
        <v>45</v>
      </c>
      <c r="B59" s="72">
        <f t="shared" ca="1" si="10"/>
        <v>0.35848345535642712</v>
      </c>
      <c r="C59" s="72">
        <f t="shared" ca="1" si="10"/>
        <v>0.85098280541292026</v>
      </c>
      <c r="D59" s="72">
        <f t="shared" ca="1" si="8"/>
        <v>11.098007617501416</v>
      </c>
      <c r="E59" s="72">
        <f t="shared" ca="1" si="9"/>
        <v>36.609491918874014</v>
      </c>
      <c r="F59" s="72">
        <f t="shared" ca="1" si="6"/>
        <v>996.15533440439424</v>
      </c>
      <c r="G59" s="72">
        <f t="shared" ca="1" si="7"/>
        <v>105.91751819900162</v>
      </c>
      <c r="H59" s="72">
        <f t="shared" ca="1" si="3"/>
        <v>1102.0728526033959</v>
      </c>
      <c r="I59" s="72">
        <f t="shared" ca="1" si="4"/>
        <v>1138.6823445222699</v>
      </c>
      <c r="J59" s="72">
        <f t="shared" ca="1" si="5"/>
        <v>142.52701011787565</v>
      </c>
    </row>
    <row r="60" spans="1:10" x14ac:dyDescent="0.3">
      <c r="A60" s="30">
        <v>46</v>
      </c>
      <c r="B60" s="72">
        <f t="shared" ca="1" si="10"/>
        <v>0.14833982680643865</v>
      </c>
      <c r="C60" s="72">
        <f t="shared" ca="1" si="10"/>
        <v>0.93689863952251373</v>
      </c>
      <c r="D60" s="72">
        <f t="shared" ca="1" si="8"/>
        <v>4.0141922367942184</v>
      </c>
      <c r="E60" s="72">
        <f t="shared" ca="1" si="9"/>
        <v>53.134864404037089</v>
      </c>
      <c r="F60" s="72">
        <f t="shared" ca="1" si="6"/>
        <v>1000.1695266411884</v>
      </c>
      <c r="G60" s="72">
        <f t="shared" ca="1" si="7"/>
        <v>138.51281788108145</v>
      </c>
      <c r="H60" s="72">
        <f t="shared" ca="1" si="3"/>
        <v>1138.6823445222699</v>
      </c>
      <c r="I60" s="72">
        <f t="shared" ca="1" si="4"/>
        <v>1191.8172089263069</v>
      </c>
      <c r="J60" s="72">
        <f t="shared" ca="1" si="5"/>
        <v>191.64768228511844</v>
      </c>
    </row>
    <row r="61" spans="1:10" x14ac:dyDescent="0.3">
      <c r="A61" s="30">
        <v>47</v>
      </c>
      <c r="B61" s="72">
        <f t="shared" ca="1" si="10"/>
        <v>0.19448179444197977</v>
      </c>
      <c r="C61" s="72">
        <f t="shared" ca="1" si="10"/>
        <v>0.83989547271234088</v>
      </c>
      <c r="D61" s="72">
        <f t="shared" ca="1" si="8"/>
        <v>5.4067368764682886</v>
      </c>
      <c r="E61" s="72">
        <f t="shared" ca="1" si="9"/>
        <v>35.229391952020798</v>
      </c>
      <c r="F61" s="72">
        <f t="shared" ca="1" si="6"/>
        <v>1005.5762635176567</v>
      </c>
      <c r="G61" s="72">
        <f t="shared" ca="1" si="7"/>
        <v>186.24094540865019</v>
      </c>
      <c r="H61" s="72">
        <f t="shared" ca="1" si="3"/>
        <v>1191.8172089263069</v>
      </c>
      <c r="I61" s="72">
        <f t="shared" ca="1" si="4"/>
        <v>1227.0466008783276</v>
      </c>
      <c r="J61" s="72">
        <f t="shared" ca="1" si="5"/>
        <v>221.4703373606709</v>
      </c>
    </row>
    <row r="62" spans="1:10" x14ac:dyDescent="0.3">
      <c r="A62" s="30">
        <v>48</v>
      </c>
      <c r="B62" s="72">
        <f t="shared" ca="1" si="10"/>
        <v>0.51419946523375903</v>
      </c>
      <c r="C62" s="72">
        <f t="shared" ca="1" si="10"/>
        <v>0.17504863667421855</v>
      </c>
      <c r="D62" s="72">
        <f t="shared" ca="1" si="8"/>
        <v>18.048929040490229</v>
      </c>
      <c r="E62" s="72">
        <f t="shared" ca="1" si="9"/>
        <v>3.7005932294190762</v>
      </c>
      <c r="F62" s="72">
        <f t="shared" ca="1" si="6"/>
        <v>1023.6251925581469</v>
      </c>
      <c r="G62" s="72">
        <f t="shared" ca="1" si="7"/>
        <v>203.42140832018072</v>
      </c>
      <c r="H62" s="72">
        <f t="shared" ca="1" si="3"/>
        <v>1227.0466008783276</v>
      </c>
      <c r="I62" s="72">
        <f t="shared" ca="1" si="4"/>
        <v>1230.7471941077467</v>
      </c>
      <c r="J62" s="72">
        <f t="shared" ca="1" si="5"/>
        <v>207.12200154959987</v>
      </c>
    </row>
    <row r="63" spans="1:10" x14ac:dyDescent="0.3">
      <c r="A63" s="30">
        <v>49</v>
      </c>
      <c r="B63" s="72">
        <f t="shared" ca="1" si="10"/>
        <v>0.10535622673588307</v>
      </c>
      <c r="C63" s="72">
        <f t="shared" ca="1" si="10"/>
        <v>0.84176768449286632</v>
      </c>
      <c r="D63" s="72">
        <f t="shared" ca="1" si="8"/>
        <v>2.7832414659264768</v>
      </c>
      <c r="E63" s="72">
        <f t="shared" ca="1" si="9"/>
        <v>35.455595664466408</v>
      </c>
      <c r="F63" s="72">
        <f t="shared" ca="1" si="6"/>
        <v>1026.4084340240734</v>
      </c>
      <c r="G63" s="72">
        <f t="shared" ca="1" si="7"/>
        <v>204.33876008367338</v>
      </c>
      <c r="H63" s="72">
        <f t="shared" ca="1" si="3"/>
        <v>1230.7471941077467</v>
      </c>
      <c r="I63" s="72">
        <f t="shared" ca="1" si="4"/>
        <v>1266.2027897722132</v>
      </c>
      <c r="J63" s="72">
        <f t="shared" ca="1" si="5"/>
        <v>239.79435574813988</v>
      </c>
    </row>
    <row r="64" spans="1:10" x14ac:dyDescent="0.3">
      <c r="A64" s="30">
        <v>50</v>
      </c>
      <c r="B64" s="72">
        <f t="shared" ca="1" si="10"/>
        <v>8.2808038776343018E-2</v>
      </c>
      <c r="C64" s="72">
        <f t="shared" ca="1" si="10"/>
        <v>0.28131390928064592</v>
      </c>
      <c r="D64" s="72">
        <f t="shared" ca="1" si="8"/>
        <v>2.160962312791435</v>
      </c>
      <c r="E64" s="72">
        <f t="shared" ca="1" si="9"/>
        <v>6.3525116939226889</v>
      </c>
      <c r="F64" s="72">
        <f t="shared" ca="1" si="6"/>
        <v>1028.5693963368649</v>
      </c>
      <c r="G64" s="72">
        <f t="shared" ca="1" si="7"/>
        <v>237.63339343534835</v>
      </c>
      <c r="H64" s="72">
        <f t="shared" ca="1" si="3"/>
        <v>1266.2027897722132</v>
      </c>
      <c r="I64" s="73">
        <f t="shared" ca="1" si="4"/>
        <v>1272.5553014661359</v>
      </c>
      <c r="J64" s="72">
        <f t="shared" ca="1" si="5"/>
        <v>243.98590512927103</v>
      </c>
    </row>
    <row r="65" spans="4:10" x14ac:dyDescent="0.3">
      <c r="D65" s="72">
        <f ca="1">AVERAGE(D15:D64)</f>
        <v>20.571387926737298</v>
      </c>
      <c r="E65" s="72">
        <f ca="1">AVERAGE(E15:E64)</f>
        <v>22.978631528319529</v>
      </c>
      <c r="G65" s="72">
        <f ca="1">AVERAGE(G15:G64)</f>
        <v>50.620495275737184</v>
      </c>
      <c r="J65" s="72">
        <f ca="1">AVERAGE(J15:J64)</f>
        <v>73.599126804056723</v>
      </c>
    </row>
    <row r="66" spans="4:10" x14ac:dyDescent="0.3">
      <c r="D66" s="30" t="s">
        <v>191</v>
      </c>
      <c r="E66" s="30" t="s">
        <v>192</v>
      </c>
      <c r="G66" s="30" t="s">
        <v>193</v>
      </c>
      <c r="J66" s="30" t="s">
        <v>194</v>
      </c>
    </row>
    <row r="67" spans="4:10" x14ac:dyDescent="0.3">
      <c r="D67" s="72">
        <f ca="1">1/D65</f>
        <v>4.8611207156337162E-2</v>
      </c>
      <c r="E67" s="72">
        <f ca="1">1/E65</f>
        <v>4.3518692519507574E-2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9"/>
  <dimension ref="A1:J66"/>
  <sheetViews>
    <sheetView topLeftCell="A7" zoomScale="85" zoomScaleNormal="85" workbookViewId="0">
      <selection activeCell="A14" sqref="A14:J14"/>
    </sheetView>
  </sheetViews>
  <sheetFormatPr defaultRowHeight="14.4" x14ac:dyDescent="0.3"/>
  <cols>
    <col min="2" max="2" width="15.33203125" customWidth="1"/>
    <col min="3" max="3" width="16.6640625" customWidth="1"/>
    <col min="4" max="4" width="16.44140625" customWidth="1"/>
    <col min="5" max="5" width="15.109375" customWidth="1"/>
    <col min="6" max="7" width="16.33203125" customWidth="1"/>
    <col min="8" max="8" width="15.109375" customWidth="1"/>
    <col min="9" max="9" width="13.88671875" customWidth="1"/>
    <col min="10" max="10" width="15.6640625" customWidth="1"/>
  </cols>
  <sheetData>
    <row r="1" spans="1:10" ht="43.2" x14ac:dyDescent="0.3">
      <c r="C1" s="2" t="s">
        <v>1</v>
      </c>
      <c r="D1" s="3" t="s">
        <v>2</v>
      </c>
      <c r="E1" s="4">
        <v>0.04</v>
      </c>
      <c r="G1" s="5" t="s">
        <v>3</v>
      </c>
      <c r="H1" s="6" t="s">
        <v>4</v>
      </c>
      <c r="I1" s="42">
        <v>5.2000000000000005E-2</v>
      </c>
    </row>
    <row r="6" spans="1:10" x14ac:dyDescent="0.3">
      <c r="C6" t="s">
        <v>6</v>
      </c>
    </row>
    <row r="7" spans="1:10" ht="18.600000000000001" x14ac:dyDescent="0.3">
      <c r="C7" s="8" t="s">
        <v>7</v>
      </c>
      <c r="D7" s="7" t="s">
        <v>8</v>
      </c>
    </row>
    <row r="8" spans="1:10" ht="18.600000000000001" x14ac:dyDescent="0.3">
      <c r="C8" s="8" t="s">
        <v>9</v>
      </c>
      <c r="D8" s="7" t="s">
        <v>10</v>
      </c>
    </row>
    <row r="9" spans="1:10" ht="18" x14ac:dyDescent="0.3">
      <c r="C9" s="9" t="s">
        <v>11</v>
      </c>
      <c r="D9" s="7" t="s">
        <v>12</v>
      </c>
    </row>
    <row r="10" spans="1:10" ht="18.600000000000001" x14ac:dyDescent="0.3">
      <c r="C10" s="8" t="s">
        <v>13</v>
      </c>
      <c r="D10" s="7" t="s">
        <v>14</v>
      </c>
    </row>
    <row r="11" spans="1:10" ht="18" x14ac:dyDescent="0.3">
      <c r="C11" s="9" t="s">
        <v>15</v>
      </c>
      <c r="D11" s="7" t="s">
        <v>16</v>
      </c>
    </row>
    <row r="12" spans="1:10" ht="18.600000000000001" x14ac:dyDescent="0.3">
      <c r="C12" s="8" t="s">
        <v>17</v>
      </c>
      <c r="D12" s="7" t="s">
        <v>18</v>
      </c>
    </row>
    <row r="14" spans="1:10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</row>
    <row r="15" spans="1:10" x14ac:dyDescent="0.3">
      <c r="A15" s="30">
        <v>1</v>
      </c>
      <c r="B15" s="72">
        <f ca="1">RAND()</f>
        <v>0.58587419192116885</v>
      </c>
      <c r="C15" s="72">
        <f ca="1">RAND()</f>
        <v>1.4147583102918082E-3</v>
      </c>
      <c r="D15" s="72">
        <f ca="1">(1/$E$1)*LN(1/(1-B15))</f>
        <v>22.03963667679761</v>
      </c>
      <c r="E15" s="72">
        <f ca="1">(1/$I$1)*LN(1/(1-C15))</f>
        <v>2.7226154340995828E-2</v>
      </c>
      <c r="F15" s="72">
        <f ca="1">D15</f>
        <v>22.03963667679761</v>
      </c>
      <c r="G15" s="72">
        <v>0</v>
      </c>
      <c r="H15" s="72">
        <f ca="1">F15+G15</f>
        <v>22.03963667679761</v>
      </c>
      <c r="I15" s="72">
        <f ca="1">H15+E15</f>
        <v>22.066862831138607</v>
      </c>
      <c r="J15" s="72">
        <f ca="1">I15-F15</f>
        <v>2.722615434099751E-2</v>
      </c>
    </row>
    <row r="16" spans="1:10" x14ac:dyDescent="0.3">
      <c r="A16" s="30">
        <v>2</v>
      </c>
      <c r="B16" s="72">
        <f ca="1">RAND()</f>
        <v>1.6689643004514365E-2</v>
      </c>
      <c r="C16" s="72">
        <f ca="1">RAND()</f>
        <v>0.84684373449904671</v>
      </c>
      <c r="D16" s="72">
        <f ca="1">(1/$E$1)*LN(1/(1-B16))</f>
        <v>0.42076210891669202</v>
      </c>
      <c r="E16" s="72">
        <f ca="1">(1/$I$1)*LN(1/(1-C16))</f>
        <v>36.082625685812708</v>
      </c>
      <c r="F16" s="72">
        <f ca="1">F15+D16</f>
        <v>22.4603987857143</v>
      </c>
      <c r="G16" s="72">
        <f ca="1">IF(I15&gt;F16,I15-F16,0)</f>
        <v>0</v>
      </c>
      <c r="H16" s="72">
        <f ca="1">F16+G16</f>
        <v>22.4603987857143</v>
      </c>
      <c r="I16" s="72">
        <f ca="1">H16+E16</f>
        <v>58.543024471527005</v>
      </c>
      <c r="J16" s="72">
        <f ca="1">I16-F16</f>
        <v>36.082625685812701</v>
      </c>
    </row>
    <row r="17" spans="1:10" x14ac:dyDescent="0.3">
      <c r="A17" s="30">
        <v>3</v>
      </c>
      <c r="B17" s="72">
        <f t="shared" ref="B17:C64" ca="1" si="0">RAND()</f>
        <v>0.93764323075231693</v>
      </c>
      <c r="C17" s="72">
        <f t="shared" ca="1" si="0"/>
        <v>0.9036194810236553</v>
      </c>
      <c r="D17" s="72">
        <f t="shared" ref="D17:D64" ca="1" si="1">(1/$E$1)*LN(1/(1-B17))</f>
        <v>69.372076105545815</v>
      </c>
      <c r="E17" s="72">
        <f t="shared" ref="E17:E64" ca="1" si="2">(1/$I$1)*LN(1/(1-C17))</f>
        <v>44.989445828754839</v>
      </c>
      <c r="F17" s="72">
        <f t="shared" ref="F17:F64" ca="1" si="3">F16+D17</f>
        <v>91.832474891260119</v>
      </c>
      <c r="G17" s="72">
        <f t="shared" ref="G17:G64" ca="1" si="4">IF(I16&gt;F17,I16-F17,0)</f>
        <v>0</v>
      </c>
      <c r="H17" s="72">
        <f t="shared" ref="H17:H64" ca="1" si="5">F17+G17</f>
        <v>91.832474891260119</v>
      </c>
      <c r="I17" s="72">
        <f t="shared" ref="I17:I64" ca="1" si="6">H17+E17</f>
        <v>136.82192072001496</v>
      </c>
      <c r="J17" s="72">
        <f t="shared" ref="J17:J64" ca="1" si="7">I17-F17</f>
        <v>44.989445828754839</v>
      </c>
    </row>
    <row r="18" spans="1:10" x14ac:dyDescent="0.3">
      <c r="A18" s="30">
        <v>4</v>
      </c>
      <c r="B18" s="72">
        <f t="shared" ca="1" si="0"/>
        <v>0.43035042809963497</v>
      </c>
      <c r="C18" s="72">
        <f t="shared" ca="1" si="0"/>
        <v>0.27319215382799122</v>
      </c>
      <c r="D18" s="72">
        <f t="shared" ca="1" si="1"/>
        <v>14.068347333793538</v>
      </c>
      <c r="E18" s="72">
        <f t="shared" ca="1" si="2"/>
        <v>6.136406673361587</v>
      </c>
      <c r="F18" s="72">
        <f t="shared" ca="1" si="3"/>
        <v>105.90082222505366</v>
      </c>
      <c r="G18" s="72">
        <f t="shared" ca="1" si="4"/>
        <v>30.921098494961299</v>
      </c>
      <c r="H18" s="72">
        <f t="shared" ca="1" si="5"/>
        <v>136.82192072001496</v>
      </c>
      <c r="I18" s="72">
        <f t="shared" ca="1" si="6"/>
        <v>142.95832739337655</v>
      </c>
      <c r="J18" s="72">
        <f t="shared" ca="1" si="7"/>
        <v>37.057505168322891</v>
      </c>
    </row>
    <row r="19" spans="1:10" x14ac:dyDescent="0.3">
      <c r="A19" s="30">
        <v>5</v>
      </c>
      <c r="B19" s="72">
        <f t="shared" ca="1" si="0"/>
        <v>0.66483404258964918</v>
      </c>
      <c r="C19" s="72">
        <f t="shared" ca="1" si="0"/>
        <v>0.80198223617798392</v>
      </c>
      <c r="D19" s="72">
        <f t="shared" ca="1" si="1"/>
        <v>27.328236864250254</v>
      </c>
      <c r="E19" s="72">
        <f t="shared" ca="1" si="2"/>
        <v>31.142279539212641</v>
      </c>
      <c r="F19" s="72">
        <f t="shared" ca="1" si="3"/>
        <v>133.22905908930392</v>
      </c>
      <c r="G19" s="72">
        <f t="shared" ca="1" si="4"/>
        <v>9.7292683040726331</v>
      </c>
      <c r="H19" s="72">
        <f t="shared" ca="1" si="5"/>
        <v>142.95832739337655</v>
      </c>
      <c r="I19" s="72">
        <f t="shared" ca="1" si="6"/>
        <v>174.10060693258919</v>
      </c>
      <c r="J19" s="72">
        <f t="shared" ca="1" si="7"/>
        <v>40.871547843285271</v>
      </c>
    </row>
    <row r="20" spans="1:10" x14ac:dyDescent="0.3">
      <c r="A20" s="30">
        <v>6</v>
      </c>
      <c r="B20" s="72">
        <f t="shared" ca="1" si="0"/>
        <v>2.1528717568113365E-2</v>
      </c>
      <c r="C20" s="72">
        <f t="shared" ca="1" si="0"/>
        <v>0.74071168577236646</v>
      </c>
      <c r="D20" s="72">
        <f t="shared" ca="1" si="1"/>
        <v>0.54409602847210703</v>
      </c>
      <c r="E20" s="72">
        <f t="shared" ca="1" si="2"/>
        <v>25.957974116626268</v>
      </c>
      <c r="F20" s="72">
        <f t="shared" ca="1" si="3"/>
        <v>133.77315511777601</v>
      </c>
      <c r="G20" s="72">
        <f t="shared" ca="1" si="4"/>
        <v>40.327451814813173</v>
      </c>
      <c r="H20" s="72">
        <f t="shared" ca="1" si="5"/>
        <v>174.10060693258919</v>
      </c>
      <c r="I20" s="72">
        <f t="shared" ca="1" si="6"/>
        <v>200.05858104921546</v>
      </c>
      <c r="J20" s="72">
        <f t="shared" ca="1" si="7"/>
        <v>66.285425931439448</v>
      </c>
    </row>
    <row r="21" spans="1:10" x14ac:dyDescent="0.3">
      <c r="A21" s="30">
        <v>7</v>
      </c>
      <c r="B21" s="72">
        <f t="shared" ca="1" si="0"/>
        <v>0.34123591298168776</v>
      </c>
      <c r="C21" s="72">
        <f t="shared" ca="1" si="0"/>
        <v>0.47851727419285095</v>
      </c>
      <c r="D21" s="72">
        <f t="shared" ca="1" si="1"/>
        <v>10.434744872179582</v>
      </c>
      <c r="E21" s="72">
        <f t="shared" ca="1" si="2"/>
        <v>12.52075248348868</v>
      </c>
      <c r="F21" s="72">
        <f t="shared" ca="1" si="3"/>
        <v>144.20789998995559</v>
      </c>
      <c r="G21" s="72">
        <f t="shared" ca="1" si="4"/>
        <v>55.85068105925987</v>
      </c>
      <c r="H21" s="72">
        <f t="shared" ca="1" si="5"/>
        <v>200.05858104921546</v>
      </c>
      <c r="I21" s="72">
        <f t="shared" ca="1" si="6"/>
        <v>212.57933353270414</v>
      </c>
      <c r="J21" s="72">
        <f t="shared" ca="1" si="7"/>
        <v>68.371433542748548</v>
      </c>
    </row>
    <row r="22" spans="1:10" x14ac:dyDescent="0.3">
      <c r="A22" s="30">
        <v>8</v>
      </c>
      <c r="B22" s="72">
        <f t="shared" ca="1" si="0"/>
        <v>0.16850268472848084</v>
      </c>
      <c r="C22" s="72">
        <f t="shared" ca="1" si="0"/>
        <v>0.99813976679416494</v>
      </c>
      <c r="D22" s="72">
        <f t="shared" ca="1" si="1"/>
        <v>4.6131802282963683</v>
      </c>
      <c r="E22" s="72">
        <f t="shared" ca="1" si="2"/>
        <v>120.90487345452235</v>
      </c>
      <c r="F22" s="72">
        <f t="shared" ca="1" si="3"/>
        <v>148.82108021825195</v>
      </c>
      <c r="G22" s="72">
        <f t="shared" ca="1" si="4"/>
        <v>63.75825331445219</v>
      </c>
      <c r="H22" s="72">
        <f t="shared" ca="1" si="5"/>
        <v>212.57933353270414</v>
      </c>
      <c r="I22" s="72">
        <f t="shared" ca="1" si="6"/>
        <v>333.48420698722646</v>
      </c>
      <c r="J22" s="72">
        <f t="shared" ca="1" si="7"/>
        <v>184.66312676897451</v>
      </c>
    </row>
    <row r="23" spans="1:10" x14ac:dyDescent="0.3">
      <c r="A23" s="30">
        <v>9</v>
      </c>
      <c r="B23" s="72">
        <f t="shared" ca="1" si="0"/>
        <v>0.62696383240553544</v>
      </c>
      <c r="C23" s="72">
        <f t="shared" ca="1" si="0"/>
        <v>0.21599236065220773</v>
      </c>
      <c r="D23" s="72">
        <f t="shared" ca="1" si="1"/>
        <v>24.651997499470134</v>
      </c>
      <c r="E23" s="72">
        <f t="shared" ca="1" si="2"/>
        <v>4.6795483579450128</v>
      </c>
      <c r="F23" s="72">
        <f t="shared" ca="1" si="3"/>
        <v>173.47307771772208</v>
      </c>
      <c r="G23" s="72">
        <f t="shared" ca="1" si="4"/>
        <v>160.01112926950438</v>
      </c>
      <c r="H23" s="72">
        <f t="shared" ca="1" si="5"/>
        <v>333.48420698722646</v>
      </c>
      <c r="I23" s="72">
        <f t="shared" ca="1" si="6"/>
        <v>338.16375534517147</v>
      </c>
      <c r="J23" s="72">
        <f t="shared" ca="1" si="7"/>
        <v>164.69067762744939</v>
      </c>
    </row>
    <row r="24" spans="1:10" x14ac:dyDescent="0.3">
      <c r="A24" s="30">
        <v>10</v>
      </c>
      <c r="B24" s="72">
        <f t="shared" ca="1" si="0"/>
        <v>0.17739036422356014</v>
      </c>
      <c r="C24" s="72">
        <f t="shared" ca="1" si="0"/>
        <v>0.90052795353428605</v>
      </c>
      <c r="D24" s="72">
        <f t="shared" ca="1" si="1"/>
        <v>4.8818377362219039</v>
      </c>
      <c r="E24" s="72">
        <f t="shared" ca="1" si="2"/>
        <v>44.382281044840624</v>
      </c>
      <c r="F24" s="72">
        <f t="shared" ca="1" si="3"/>
        <v>178.35491545394399</v>
      </c>
      <c r="G24" s="72">
        <f t="shared" ca="1" si="4"/>
        <v>159.80883989122748</v>
      </c>
      <c r="H24" s="72">
        <f t="shared" ca="1" si="5"/>
        <v>338.16375534517147</v>
      </c>
      <c r="I24" s="72">
        <f t="shared" ca="1" si="6"/>
        <v>382.54603639001209</v>
      </c>
      <c r="J24" s="72">
        <f t="shared" ca="1" si="7"/>
        <v>204.1911209360681</v>
      </c>
    </row>
    <row r="25" spans="1:10" x14ac:dyDescent="0.3">
      <c r="A25" s="30">
        <v>11</v>
      </c>
      <c r="B25" s="72">
        <f t="shared" ca="1" si="0"/>
        <v>0.58495719610375285</v>
      </c>
      <c r="C25" s="72">
        <f t="shared" ca="1" si="0"/>
        <v>0.32402326944631366</v>
      </c>
      <c r="D25" s="72">
        <f t="shared" ca="1" si="1"/>
        <v>21.984340553788321</v>
      </c>
      <c r="E25" s="72">
        <f t="shared" ca="1" si="2"/>
        <v>7.530704342105631</v>
      </c>
      <c r="F25" s="72">
        <f t="shared" ca="1" si="3"/>
        <v>200.3392560077323</v>
      </c>
      <c r="G25" s="72">
        <f t="shared" ca="1" si="4"/>
        <v>182.20678038227979</v>
      </c>
      <c r="H25" s="72">
        <f t="shared" ca="1" si="5"/>
        <v>382.54603639001209</v>
      </c>
      <c r="I25" s="72">
        <f t="shared" ca="1" si="6"/>
        <v>390.07674073211774</v>
      </c>
      <c r="J25" s="72">
        <f t="shared" ca="1" si="7"/>
        <v>189.73748472438544</v>
      </c>
    </row>
    <row r="26" spans="1:10" x14ac:dyDescent="0.3">
      <c r="A26" s="30">
        <v>12</v>
      </c>
      <c r="B26" s="72">
        <f t="shared" ca="1" si="0"/>
        <v>0.61545333381565048</v>
      </c>
      <c r="C26" s="72">
        <f t="shared" ca="1" si="0"/>
        <v>0.83633379478607262</v>
      </c>
      <c r="D26" s="72">
        <f t="shared" ca="1" si="1"/>
        <v>23.89225322277855</v>
      </c>
      <c r="E26" s="72">
        <f t="shared" ca="1" si="2"/>
        <v>34.806274217818071</v>
      </c>
      <c r="F26" s="72">
        <f t="shared" ca="1" si="3"/>
        <v>224.23150923051085</v>
      </c>
      <c r="G26" s="72">
        <f t="shared" ca="1" si="4"/>
        <v>165.84523150160689</v>
      </c>
      <c r="H26" s="72">
        <f t="shared" ca="1" si="5"/>
        <v>390.07674073211774</v>
      </c>
      <c r="I26" s="72">
        <f t="shared" ca="1" si="6"/>
        <v>424.88301494993584</v>
      </c>
      <c r="J26" s="72">
        <f t="shared" ca="1" si="7"/>
        <v>200.65150571942499</v>
      </c>
    </row>
    <row r="27" spans="1:10" x14ac:dyDescent="0.3">
      <c r="A27" s="30">
        <v>13</v>
      </c>
      <c r="B27" s="72">
        <f t="shared" ca="1" si="0"/>
        <v>0.15729264838513446</v>
      </c>
      <c r="C27" s="72">
        <f t="shared" ca="1" si="0"/>
        <v>0.89045070745735233</v>
      </c>
      <c r="D27" s="72">
        <f t="shared" ca="1" si="1"/>
        <v>4.2783883090117669</v>
      </c>
      <c r="E27" s="72">
        <f t="shared" ca="1" si="2"/>
        <v>42.526551361739656</v>
      </c>
      <c r="F27" s="72">
        <f t="shared" ca="1" si="3"/>
        <v>228.50989753952263</v>
      </c>
      <c r="G27" s="72">
        <f t="shared" ca="1" si="4"/>
        <v>196.37311741041322</v>
      </c>
      <c r="H27" s="72">
        <f t="shared" ca="1" si="5"/>
        <v>424.88301494993584</v>
      </c>
      <c r="I27" s="72">
        <f t="shared" ca="1" si="6"/>
        <v>467.40956631167552</v>
      </c>
      <c r="J27" s="72">
        <f t="shared" ca="1" si="7"/>
        <v>238.89966877215289</v>
      </c>
    </row>
    <row r="28" spans="1:10" x14ac:dyDescent="0.3">
      <c r="A28" s="30">
        <v>14</v>
      </c>
      <c r="B28" s="72">
        <f t="shared" ca="1" si="0"/>
        <v>0.9963723968800744</v>
      </c>
      <c r="C28" s="72">
        <f t="shared" ca="1" si="0"/>
        <v>0.26387267073475995</v>
      </c>
      <c r="D28" s="72">
        <f t="shared" ca="1" si="1"/>
        <v>140.47957865847408</v>
      </c>
      <c r="E28" s="72">
        <f t="shared" ca="1" si="2"/>
        <v>5.8913879518703132</v>
      </c>
      <c r="F28" s="72">
        <f t="shared" ca="1" si="3"/>
        <v>368.98947619799674</v>
      </c>
      <c r="G28" s="72">
        <f t="shared" ca="1" si="4"/>
        <v>98.420090113678782</v>
      </c>
      <c r="H28" s="72">
        <f t="shared" ca="1" si="5"/>
        <v>467.40956631167552</v>
      </c>
      <c r="I28" s="72">
        <f t="shared" ca="1" si="6"/>
        <v>473.3009542635458</v>
      </c>
      <c r="J28" s="72">
        <f t="shared" ca="1" si="7"/>
        <v>104.31147806554907</v>
      </c>
    </row>
    <row r="29" spans="1:10" x14ac:dyDescent="0.3">
      <c r="A29" s="30">
        <v>15</v>
      </c>
      <c r="B29" s="72">
        <f t="shared" ca="1" si="0"/>
        <v>0.36269528782616856</v>
      </c>
      <c r="C29" s="72">
        <f t="shared" ca="1" si="0"/>
        <v>0.37799867113463137</v>
      </c>
      <c r="D29" s="72">
        <f t="shared" ca="1" si="1"/>
        <v>11.262684568108069</v>
      </c>
      <c r="E29" s="72">
        <f t="shared" ca="1" si="2"/>
        <v>9.1310201885719309</v>
      </c>
      <c r="F29" s="72">
        <f t="shared" ca="1" si="3"/>
        <v>380.25216076610479</v>
      </c>
      <c r="G29" s="72">
        <f t="shared" ca="1" si="4"/>
        <v>93.048793497441011</v>
      </c>
      <c r="H29" s="72">
        <f t="shared" ca="1" si="5"/>
        <v>473.3009542635458</v>
      </c>
      <c r="I29" s="72">
        <f t="shared" ca="1" si="6"/>
        <v>482.43197445211774</v>
      </c>
      <c r="J29" s="72">
        <f t="shared" ca="1" si="7"/>
        <v>102.17981368601295</v>
      </c>
    </row>
    <row r="30" spans="1:10" x14ac:dyDescent="0.3">
      <c r="A30" s="30">
        <v>16</v>
      </c>
      <c r="B30" s="72">
        <f t="shared" ca="1" si="0"/>
        <v>0.45776887669611399</v>
      </c>
      <c r="C30" s="72">
        <f t="shared" ca="1" si="0"/>
        <v>0.54404148790314322</v>
      </c>
      <c r="D30" s="72">
        <f t="shared" ca="1" si="1"/>
        <v>15.301573541915136</v>
      </c>
      <c r="E30" s="72">
        <f t="shared" ca="1" si="2"/>
        <v>15.102951074050413</v>
      </c>
      <c r="F30" s="72">
        <f t="shared" ca="1" si="3"/>
        <v>395.55373430801995</v>
      </c>
      <c r="G30" s="72">
        <f t="shared" ca="1" si="4"/>
        <v>86.878240144097788</v>
      </c>
      <c r="H30" s="72">
        <f t="shared" ca="1" si="5"/>
        <v>482.43197445211774</v>
      </c>
      <c r="I30" s="72">
        <f t="shared" ca="1" si="6"/>
        <v>497.53492552616814</v>
      </c>
      <c r="J30" s="72">
        <f t="shared" ca="1" si="7"/>
        <v>101.98119121814818</v>
      </c>
    </row>
    <row r="31" spans="1:10" x14ac:dyDescent="0.3">
      <c r="A31" s="30">
        <v>17</v>
      </c>
      <c r="B31" s="72">
        <f t="shared" ca="1" si="0"/>
        <v>0.76364758695440604</v>
      </c>
      <c r="C31" s="72">
        <f t="shared" ca="1" si="0"/>
        <v>0.74684679845975976</v>
      </c>
      <c r="D31" s="72">
        <f t="shared" ca="1" si="1"/>
        <v>36.060782804173527</v>
      </c>
      <c r="E31" s="72">
        <f t="shared" ca="1" si="2"/>
        <v>26.418469881443244</v>
      </c>
      <c r="F31" s="72">
        <f t="shared" ca="1" si="3"/>
        <v>431.61451711219348</v>
      </c>
      <c r="G31" s="72">
        <f t="shared" ca="1" si="4"/>
        <v>65.920408413974656</v>
      </c>
      <c r="H31" s="72">
        <f t="shared" ca="1" si="5"/>
        <v>497.53492552616814</v>
      </c>
      <c r="I31" s="72">
        <f t="shared" ca="1" si="6"/>
        <v>523.95339540761142</v>
      </c>
      <c r="J31" s="72">
        <f t="shared" ca="1" si="7"/>
        <v>92.338878295417942</v>
      </c>
    </row>
    <row r="32" spans="1:10" x14ac:dyDescent="0.3">
      <c r="A32" s="30">
        <v>18</v>
      </c>
      <c r="B32" s="72">
        <f t="shared" ca="1" si="0"/>
        <v>0.56632514534149492</v>
      </c>
      <c r="C32" s="72">
        <f t="shared" ca="1" si="0"/>
        <v>4.0502751494739031E-2</v>
      </c>
      <c r="D32" s="72">
        <f t="shared" ca="1" si="1"/>
        <v>20.886505211848149</v>
      </c>
      <c r="E32" s="72">
        <f t="shared" ca="1" si="2"/>
        <v>0.79511213793089508</v>
      </c>
      <c r="F32" s="72">
        <f t="shared" ca="1" si="3"/>
        <v>452.50102232404163</v>
      </c>
      <c r="G32" s="72">
        <f t="shared" ca="1" si="4"/>
        <v>71.452373083569796</v>
      </c>
      <c r="H32" s="72">
        <f t="shared" ca="1" si="5"/>
        <v>523.95339540761142</v>
      </c>
      <c r="I32" s="72">
        <f t="shared" ca="1" si="6"/>
        <v>524.74850754554234</v>
      </c>
      <c r="J32" s="72">
        <f t="shared" ca="1" si="7"/>
        <v>72.24748522150071</v>
      </c>
    </row>
    <row r="33" spans="1:10" x14ac:dyDescent="0.3">
      <c r="A33" s="30">
        <v>19</v>
      </c>
      <c r="B33" s="72">
        <f t="shared" ca="1" si="0"/>
        <v>0.3594233459780517</v>
      </c>
      <c r="C33" s="72">
        <f t="shared" ca="1" si="0"/>
        <v>0.69284559428227532</v>
      </c>
      <c r="D33" s="72">
        <f t="shared" ca="1" si="1"/>
        <v>11.134662159892544</v>
      </c>
      <c r="E33" s="72">
        <f t="shared" ca="1" si="2"/>
        <v>22.700090530988614</v>
      </c>
      <c r="F33" s="72">
        <f t="shared" ca="1" si="3"/>
        <v>463.6356844839342</v>
      </c>
      <c r="G33" s="72">
        <f t="shared" ca="1" si="4"/>
        <v>61.11282306160814</v>
      </c>
      <c r="H33" s="72">
        <f t="shared" ca="1" si="5"/>
        <v>524.74850754554234</v>
      </c>
      <c r="I33" s="72">
        <f t="shared" ca="1" si="6"/>
        <v>547.44859807653097</v>
      </c>
      <c r="J33" s="72">
        <f t="shared" ca="1" si="7"/>
        <v>83.812913592596772</v>
      </c>
    </row>
    <row r="34" spans="1:10" x14ac:dyDescent="0.3">
      <c r="A34" s="30">
        <v>20</v>
      </c>
      <c r="B34" s="72">
        <f t="shared" ca="1" si="0"/>
        <v>0.22348452079522441</v>
      </c>
      <c r="C34" s="72">
        <f t="shared" ca="1" si="0"/>
        <v>0.51363323476077294</v>
      </c>
      <c r="D34" s="72">
        <f t="shared" ca="1" si="1"/>
        <v>6.3234675501925173</v>
      </c>
      <c r="E34" s="72">
        <f t="shared" ca="1" si="2"/>
        <v>13.861389975173061</v>
      </c>
      <c r="F34" s="72">
        <f t="shared" ca="1" si="3"/>
        <v>469.9591520341267</v>
      </c>
      <c r="G34" s="72">
        <f t="shared" ca="1" si="4"/>
        <v>77.489446042404268</v>
      </c>
      <c r="H34" s="72">
        <f t="shared" ca="1" si="5"/>
        <v>547.44859807653097</v>
      </c>
      <c r="I34" s="72">
        <f t="shared" ca="1" si="6"/>
        <v>561.30998805170407</v>
      </c>
      <c r="J34" s="72">
        <f t="shared" ca="1" si="7"/>
        <v>91.350836017577365</v>
      </c>
    </row>
    <row r="35" spans="1:10" x14ac:dyDescent="0.3">
      <c r="A35" s="30">
        <v>21</v>
      </c>
      <c r="B35" s="72">
        <f t="shared" ca="1" si="0"/>
        <v>4.0022944686439521E-2</v>
      </c>
      <c r="C35" s="72">
        <f t="shared" ca="1" si="0"/>
        <v>0.4948167968822077</v>
      </c>
      <c r="D35" s="72">
        <f t="shared" ca="1" si="1"/>
        <v>1.0211473880230713</v>
      </c>
      <c r="E35" s="72">
        <f t="shared" ca="1" si="2"/>
        <v>13.131425712382597</v>
      </c>
      <c r="F35" s="72">
        <f t="shared" ca="1" si="3"/>
        <v>470.98029942214976</v>
      </c>
      <c r="G35" s="72">
        <f t="shared" ca="1" si="4"/>
        <v>90.329688629554312</v>
      </c>
      <c r="H35" s="72">
        <f t="shared" ca="1" si="5"/>
        <v>561.30998805170407</v>
      </c>
      <c r="I35" s="72">
        <f t="shared" ca="1" si="6"/>
        <v>574.44141376408663</v>
      </c>
      <c r="J35" s="72">
        <f t="shared" ca="1" si="7"/>
        <v>103.46111434193688</v>
      </c>
    </row>
    <row r="36" spans="1:10" x14ac:dyDescent="0.3">
      <c r="A36" s="30">
        <v>22</v>
      </c>
      <c r="B36" s="72">
        <f t="shared" ca="1" si="0"/>
        <v>0.34491852043996818</v>
      </c>
      <c r="C36" s="72">
        <f t="shared" ca="1" si="0"/>
        <v>7.4812831228387888E-2</v>
      </c>
      <c r="D36" s="72">
        <f t="shared" ca="1" si="1"/>
        <v>10.57489137021506</v>
      </c>
      <c r="E36" s="72">
        <f t="shared" ca="1" si="2"/>
        <v>1.4953695638589219</v>
      </c>
      <c r="F36" s="72">
        <f t="shared" ca="1" si="3"/>
        <v>481.55519079236484</v>
      </c>
      <c r="G36" s="72">
        <f t="shared" ca="1" si="4"/>
        <v>92.886222971721793</v>
      </c>
      <c r="H36" s="72">
        <f t="shared" ca="1" si="5"/>
        <v>574.44141376408663</v>
      </c>
      <c r="I36" s="72">
        <f t="shared" ca="1" si="6"/>
        <v>575.93678332794559</v>
      </c>
      <c r="J36" s="72">
        <f t="shared" ca="1" si="7"/>
        <v>94.381592535580751</v>
      </c>
    </row>
    <row r="37" spans="1:10" x14ac:dyDescent="0.3">
      <c r="A37" s="30">
        <v>23</v>
      </c>
      <c r="B37" s="72">
        <f t="shared" ca="1" si="0"/>
        <v>0.28583030868542536</v>
      </c>
      <c r="C37" s="72">
        <f t="shared" ca="1" si="0"/>
        <v>0.13301575217998629</v>
      </c>
      <c r="D37" s="72">
        <f t="shared" ca="1" si="1"/>
        <v>8.4158670493585124</v>
      </c>
      <c r="E37" s="72">
        <f t="shared" ca="1" si="2"/>
        <v>2.7448936725194883</v>
      </c>
      <c r="F37" s="72">
        <f t="shared" ca="1" si="3"/>
        <v>489.97105784172334</v>
      </c>
      <c r="G37" s="72">
        <f t="shared" ca="1" si="4"/>
        <v>85.965725486222254</v>
      </c>
      <c r="H37" s="72">
        <f t="shared" ca="1" si="5"/>
        <v>575.93678332794559</v>
      </c>
      <c r="I37" s="72">
        <f t="shared" ca="1" si="6"/>
        <v>578.68167700046513</v>
      </c>
      <c r="J37" s="72">
        <f t="shared" ca="1" si="7"/>
        <v>88.710619158741792</v>
      </c>
    </row>
    <row r="38" spans="1:10" x14ac:dyDescent="0.3">
      <c r="A38" s="30">
        <v>24</v>
      </c>
      <c r="B38" s="72">
        <f t="shared" ca="1" si="0"/>
        <v>0.28163244077306449</v>
      </c>
      <c r="C38" s="72">
        <f t="shared" ca="1" si="0"/>
        <v>0.82302975590932304</v>
      </c>
      <c r="D38" s="72">
        <f t="shared" ca="1" si="1"/>
        <v>8.2693479997962651</v>
      </c>
      <c r="E38" s="72">
        <f t="shared" ca="1" si="2"/>
        <v>33.303339865823965</v>
      </c>
      <c r="F38" s="72">
        <f t="shared" ca="1" si="3"/>
        <v>498.24040584151959</v>
      </c>
      <c r="G38" s="72">
        <f t="shared" ca="1" si="4"/>
        <v>80.44127115894554</v>
      </c>
      <c r="H38" s="72">
        <f t="shared" ca="1" si="5"/>
        <v>578.68167700046513</v>
      </c>
      <c r="I38" s="72">
        <f t="shared" ca="1" si="6"/>
        <v>611.98501686628913</v>
      </c>
      <c r="J38" s="72">
        <f t="shared" ca="1" si="7"/>
        <v>113.74461102476954</v>
      </c>
    </row>
    <row r="39" spans="1:10" x14ac:dyDescent="0.3">
      <c r="A39" s="30">
        <v>25</v>
      </c>
      <c r="B39" s="72">
        <f t="shared" ca="1" si="0"/>
        <v>0.23578705168527436</v>
      </c>
      <c r="C39" s="72">
        <f t="shared" ca="1" si="0"/>
        <v>7.4332142590478711E-2</v>
      </c>
      <c r="D39" s="72">
        <f t="shared" ca="1" si="1"/>
        <v>6.722720012311453</v>
      </c>
      <c r="E39" s="72">
        <f t="shared" ca="1" si="2"/>
        <v>1.4853806534963481</v>
      </c>
      <c r="F39" s="72">
        <f t="shared" ca="1" si="3"/>
        <v>504.96312585383106</v>
      </c>
      <c r="G39" s="72">
        <f t="shared" ca="1" si="4"/>
        <v>107.02189101245807</v>
      </c>
      <c r="H39" s="72">
        <f t="shared" ca="1" si="5"/>
        <v>611.98501686628913</v>
      </c>
      <c r="I39" s="72">
        <f t="shared" ca="1" si="6"/>
        <v>613.47039751978548</v>
      </c>
      <c r="J39" s="72">
        <f t="shared" ca="1" si="7"/>
        <v>108.50727166595442</v>
      </c>
    </row>
    <row r="40" spans="1:10" x14ac:dyDescent="0.3">
      <c r="A40" s="30">
        <v>26</v>
      </c>
      <c r="B40" s="72">
        <f t="shared" ca="1" si="0"/>
        <v>0.36423674941309503</v>
      </c>
      <c r="C40" s="72">
        <f t="shared" ca="1" si="0"/>
        <v>0.45154056519368102</v>
      </c>
      <c r="D40" s="72">
        <f t="shared" ca="1" si="1"/>
        <v>11.32322581120456</v>
      </c>
      <c r="E40" s="72">
        <f t="shared" ca="1" si="2"/>
        <v>11.550806896138251</v>
      </c>
      <c r="F40" s="72">
        <f t="shared" ca="1" si="3"/>
        <v>516.28635166503557</v>
      </c>
      <c r="G40" s="72">
        <f t="shared" ca="1" si="4"/>
        <v>97.184045854749911</v>
      </c>
      <c r="H40" s="72">
        <f t="shared" ca="1" si="5"/>
        <v>613.47039751978548</v>
      </c>
      <c r="I40" s="72">
        <f t="shared" ca="1" si="6"/>
        <v>625.02120441592376</v>
      </c>
      <c r="J40" s="72">
        <f t="shared" ca="1" si="7"/>
        <v>108.73485275088819</v>
      </c>
    </row>
    <row r="41" spans="1:10" x14ac:dyDescent="0.3">
      <c r="A41" s="30">
        <v>27</v>
      </c>
      <c r="B41" s="72">
        <f t="shared" ca="1" si="0"/>
        <v>0.28889052939192406</v>
      </c>
      <c r="C41" s="72">
        <f t="shared" ca="1" si="0"/>
        <v>0.51433040934941832</v>
      </c>
      <c r="D41" s="72">
        <f t="shared" ca="1" si="1"/>
        <v>8.5232223482661844</v>
      </c>
      <c r="E41" s="72">
        <f t="shared" ca="1" si="2"/>
        <v>13.888975786846748</v>
      </c>
      <c r="F41" s="72">
        <f t="shared" ca="1" si="3"/>
        <v>524.8095740133017</v>
      </c>
      <c r="G41" s="72">
        <f t="shared" ca="1" si="4"/>
        <v>100.21163040262206</v>
      </c>
      <c r="H41" s="72">
        <f t="shared" ca="1" si="5"/>
        <v>625.02120441592376</v>
      </c>
      <c r="I41" s="72">
        <f t="shared" ca="1" si="6"/>
        <v>638.91018020277056</v>
      </c>
      <c r="J41" s="72">
        <f t="shared" ca="1" si="7"/>
        <v>114.10060618946886</v>
      </c>
    </row>
    <row r="42" spans="1:10" x14ac:dyDescent="0.3">
      <c r="A42" s="30">
        <v>28</v>
      </c>
      <c r="B42" s="72">
        <f t="shared" ca="1" si="0"/>
        <v>0.67550113158989267</v>
      </c>
      <c r="C42" s="72">
        <f t="shared" ca="1" si="0"/>
        <v>0.33478335243999235</v>
      </c>
      <c r="D42" s="72">
        <f t="shared" ca="1" si="1"/>
        <v>28.136830750600478</v>
      </c>
      <c r="E42" s="72">
        <f t="shared" ca="1" si="2"/>
        <v>7.8392789534313891</v>
      </c>
      <c r="F42" s="72">
        <f t="shared" ca="1" si="3"/>
        <v>552.94640476390214</v>
      </c>
      <c r="G42" s="72">
        <f t="shared" ca="1" si="4"/>
        <v>85.963775438868424</v>
      </c>
      <c r="H42" s="72">
        <f t="shared" ca="1" si="5"/>
        <v>638.91018020277056</v>
      </c>
      <c r="I42" s="72">
        <f t="shared" ca="1" si="6"/>
        <v>646.74945915620197</v>
      </c>
      <c r="J42" s="72">
        <f t="shared" ca="1" si="7"/>
        <v>93.803054392299828</v>
      </c>
    </row>
    <row r="43" spans="1:10" x14ac:dyDescent="0.3">
      <c r="A43" s="30">
        <v>29</v>
      </c>
      <c r="B43" s="72">
        <f t="shared" ca="1" si="0"/>
        <v>0.72902826352028427</v>
      </c>
      <c r="C43" s="72">
        <f t="shared" ca="1" si="0"/>
        <v>0.72324783977856433</v>
      </c>
      <c r="D43" s="72">
        <f t="shared" ca="1" si="1"/>
        <v>32.643518924353941</v>
      </c>
      <c r="E43" s="72">
        <f t="shared" ca="1" si="2"/>
        <v>24.704478879724562</v>
      </c>
      <c r="F43" s="72">
        <f t="shared" ca="1" si="3"/>
        <v>585.58992368825602</v>
      </c>
      <c r="G43" s="72">
        <f t="shared" ca="1" si="4"/>
        <v>61.159535467945943</v>
      </c>
      <c r="H43" s="72">
        <f t="shared" ca="1" si="5"/>
        <v>646.74945915620197</v>
      </c>
      <c r="I43" s="72">
        <f t="shared" ca="1" si="6"/>
        <v>671.45393803592651</v>
      </c>
      <c r="J43" s="72">
        <f t="shared" ca="1" si="7"/>
        <v>85.864014347670491</v>
      </c>
    </row>
    <row r="44" spans="1:10" x14ac:dyDescent="0.3">
      <c r="A44" s="30">
        <v>30</v>
      </c>
      <c r="B44" s="72">
        <f t="shared" ca="1" si="0"/>
        <v>0.9425730187357817</v>
      </c>
      <c r="C44" s="72">
        <f t="shared" ca="1" si="0"/>
        <v>0.34528832606200244</v>
      </c>
      <c r="D44" s="72">
        <f t="shared" ca="1" si="1"/>
        <v>71.431025730770585</v>
      </c>
      <c r="E44" s="72">
        <f t="shared" ca="1" si="2"/>
        <v>8.1453910138673127</v>
      </c>
      <c r="F44" s="72">
        <f t="shared" ca="1" si="3"/>
        <v>657.02094941902658</v>
      </c>
      <c r="G44" s="72">
        <f t="shared" ca="1" si="4"/>
        <v>14.432988616899934</v>
      </c>
      <c r="H44" s="72">
        <f t="shared" ca="1" si="5"/>
        <v>671.45393803592651</v>
      </c>
      <c r="I44" s="72">
        <f t="shared" ca="1" si="6"/>
        <v>679.59932904979382</v>
      </c>
      <c r="J44" s="72">
        <f t="shared" ca="1" si="7"/>
        <v>22.578379630767245</v>
      </c>
    </row>
    <row r="45" spans="1:10" x14ac:dyDescent="0.3">
      <c r="A45" s="30">
        <v>31</v>
      </c>
      <c r="B45" s="72">
        <f t="shared" ca="1" si="0"/>
        <v>0.50002419369446194</v>
      </c>
      <c r="C45" s="72">
        <f t="shared" ca="1" si="0"/>
        <v>0.97641273494850778</v>
      </c>
      <c r="D45" s="72">
        <f t="shared" ca="1" si="1"/>
        <v>17.329889227989419</v>
      </c>
      <c r="E45" s="72">
        <f t="shared" ca="1" si="2"/>
        <v>72.05862171265629</v>
      </c>
      <c r="F45" s="72">
        <f t="shared" ca="1" si="3"/>
        <v>674.35083864701596</v>
      </c>
      <c r="G45" s="72">
        <f t="shared" ca="1" si="4"/>
        <v>5.2484904027778612</v>
      </c>
      <c r="H45" s="72">
        <f t="shared" ca="1" si="5"/>
        <v>679.59932904979382</v>
      </c>
      <c r="I45" s="72">
        <f t="shared" ca="1" si="6"/>
        <v>751.65795076245013</v>
      </c>
      <c r="J45" s="72">
        <f t="shared" ca="1" si="7"/>
        <v>77.307112115434165</v>
      </c>
    </row>
    <row r="46" spans="1:10" x14ac:dyDescent="0.3">
      <c r="A46" s="30">
        <v>32</v>
      </c>
      <c r="B46" s="72">
        <f t="shared" ca="1" si="0"/>
        <v>0.25927704014479025</v>
      </c>
      <c r="C46" s="72">
        <f t="shared" ca="1" si="0"/>
        <v>0.20870571803847149</v>
      </c>
      <c r="D46" s="72">
        <f t="shared" ca="1" si="1"/>
        <v>7.5032149233477563</v>
      </c>
      <c r="E46" s="72">
        <f t="shared" ca="1" si="2"/>
        <v>4.5016412024110748</v>
      </c>
      <c r="F46" s="72">
        <f t="shared" ca="1" si="3"/>
        <v>681.8540535703637</v>
      </c>
      <c r="G46" s="72">
        <f t="shared" ca="1" si="4"/>
        <v>69.803897192086424</v>
      </c>
      <c r="H46" s="72">
        <f t="shared" ca="1" si="5"/>
        <v>751.65795076245013</v>
      </c>
      <c r="I46" s="72">
        <f t="shared" ca="1" si="6"/>
        <v>756.15959196486119</v>
      </c>
      <c r="J46" s="72">
        <f t="shared" ca="1" si="7"/>
        <v>74.305538394497489</v>
      </c>
    </row>
    <row r="47" spans="1:10" x14ac:dyDescent="0.3">
      <c r="A47" s="30">
        <v>33</v>
      </c>
      <c r="B47" s="72">
        <f t="shared" ca="1" si="0"/>
        <v>0.74969122600507254</v>
      </c>
      <c r="C47" s="72">
        <f t="shared" ca="1" si="0"/>
        <v>0.83842429660022266</v>
      </c>
      <c r="D47" s="72">
        <f t="shared" ca="1" si="1"/>
        <v>34.626500681094271</v>
      </c>
      <c r="E47" s="72">
        <f t="shared" ca="1" si="2"/>
        <v>35.053490277841853</v>
      </c>
      <c r="F47" s="72">
        <f t="shared" ca="1" si="3"/>
        <v>716.48055425145799</v>
      </c>
      <c r="G47" s="72">
        <f t="shared" ca="1" si="4"/>
        <v>39.679037713403204</v>
      </c>
      <c r="H47" s="72">
        <f t="shared" ca="1" si="5"/>
        <v>756.15959196486119</v>
      </c>
      <c r="I47" s="72">
        <f t="shared" ca="1" si="6"/>
        <v>791.21308224270308</v>
      </c>
      <c r="J47" s="72">
        <f t="shared" ca="1" si="7"/>
        <v>74.732527991245092</v>
      </c>
    </row>
    <row r="48" spans="1:10" x14ac:dyDescent="0.3">
      <c r="A48" s="30">
        <v>34</v>
      </c>
      <c r="B48" s="72">
        <f t="shared" ca="1" si="0"/>
        <v>0.58439409637587059</v>
      </c>
      <c r="C48" s="72">
        <f t="shared" ca="1" si="0"/>
        <v>0.27246329379233769</v>
      </c>
      <c r="D48" s="72">
        <f t="shared" ca="1" si="1"/>
        <v>21.950445369877102</v>
      </c>
      <c r="E48" s="72">
        <f t="shared" ca="1" si="2"/>
        <v>6.1171312680971033</v>
      </c>
      <c r="F48" s="72">
        <f t="shared" ca="1" si="3"/>
        <v>738.4309996213351</v>
      </c>
      <c r="G48" s="72">
        <f t="shared" ca="1" si="4"/>
        <v>52.782082621367977</v>
      </c>
      <c r="H48" s="72">
        <f t="shared" ca="1" si="5"/>
        <v>791.21308224270308</v>
      </c>
      <c r="I48" s="72">
        <f t="shared" ca="1" si="6"/>
        <v>797.33021351080015</v>
      </c>
      <c r="J48" s="72">
        <f t="shared" ca="1" si="7"/>
        <v>58.899213889465045</v>
      </c>
    </row>
    <row r="49" spans="1:10" x14ac:dyDescent="0.3">
      <c r="A49" s="30">
        <v>35</v>
      </c>
      <c r="B49" s="72">
        <f t="shared" ca="1" si="0"/>
        <v>0.6161346358267229</v>
      </c>
      <c r="C49" s="72">
        <f t="shared" ca="1" si="0"/>
        <v>0.4149384377853228</v>
      </c>
      <c r="D49" s="72">
        <f t="shared" ca="1" si="1"/>
        <v>23.936585050150168</v>
      </c>
      <c r="E49" s="72">
        <f t="shared" ca="1" si="2"/>
        <v>10.308426975616234</v>
      </c>
      <c r="F49" s="72">
        <f t="shared" ca="1" si="3"/>
        <v>762.36758467148525</v>
      </c>
      <c r="G49" s="72">
        <f t="shared" ca="1" si="4"/>
        <v>34.962628839314903</v>
      </c>
      <c r="H49" s="72">
        <f t="shared" ca="1" si="5"/>
        <v>797.33021351080015</v>
      </c>
      <c r="I49" s="72">
        <f t="shared" ca="1" si="6"/>
        <v>807.63864048641642</v>
      </c>
      <c r="J49" s="72">
        <f t="shared" ca="1" si="7"/>
        <v>45.271055814931174</v>
      </c>
    </row>
    <row r="50" spans="1:10" x14ac:dyDescent="0.3">
      <c r="A50" s="30">
        <v>36</v>
      </c>
      <c r="B50" s="72">
        <f t="shared" ca="1" si="0"/>
        <v>0.96492110397302033</v>
      </c>
      <c r="C50" s="72">
        <f t="shared" ca="1" si="0"/>
        <v>0.12284231520606603</v>
      </c>
      <c r="D50" s="72">
        <f t="shared" ca="1" si="1"/>
        <v>83.753889553196601</v>
      </c>
      <c r="E50" s="72">
        <f t="shared" ca="1" si="2"/>
        <v>2.5205481259796767</v>
      </c>
      <c r="F50" s="72">
        <f t="shared" ca="1" si="3"/>
        <v>846.12147422468183</v>
      </c>
      <c r="G50" s="72">
        <f t="shared" ca="1" si="4"/>
        <v>0</v>
      </c>
      <c r="H50" s="72">
        <f t="shared" ca="1" si="5"/>
        <v>846.12147422468183</v>
      </c>
      <c r="I50" s="72">
        <f t="shared" ca="1" si="6"/>
        <v>848.64202235066148</v>
      </c>
      <c r="J50" s="72">
        <f t="shared" ca="1" si="7"/>
        <v>2.5205481259796443</v>
      </c>
    </row>
    <row r="51" spans="1:10" x14ac:dyDescent="0.3">
      <c r="A51" s="30">
        <v>37</v>
      </c>
      <c r="B51" s="72">
        <f t="shared" ca="1" si="0"/>
        <v>0.24561551845216478</v>
      </c>
      <c r="C51" s="72">
        <f t="shared" ca="1" si="0"/>
        <v>0.45374974679441682</v>
      </c>
      <c r="D51" s="72">
        <f t="shared" ca="1" si="1"/>
        <v>7.0463279615808077</v>
      </c>
      <c r="E51" s="72">
        <f t="shared" ca="1" si="2"/>
        <v>11.628424404580695</v>
      </c>
      <c r="F51" s="72">
        <f t="shared" ca="1" si="3"/>
        <v>853.16780218626263</v>
      </c>
      <c r="G51" s="72">
        <f t="shared" ca="1" si="4"/>
        <v>0</v>
      </c>
      <c r="H51" s="72">
        <f t="shared" ca="1" si="5"/>
        <v>853.16780218626263</v>
      </c>
      <c r="I51" s="72">
        <f t="shared" ca="1" si="6"/>
        <v>864.79622659084328</v>
      </c>
      <c r="J51" s="72">
        <f t="shared" ca="1" si="7"/>
        <v>11.628424404580642</v>
      </c>
    </row>
    <row r="52" spans="1:10" x14ac:dyDescent="0.3">
      <c r="A52" s="30">
        <v>38</v>
      </c>
      <c r="B52" s="72">
        <f t="shared" ca="1" si="0"/>
        <v>0.15038123570018325</v>
      </c>
      <c r="C52" s="72">
        <f t="shared" ca="1" si="0"/>
        <v>0.74749470199277912</v>
      </c>
      <c r="D52" s="72">
        <f t="shared" ca="1" si="1"/>
        <v>4.0741885674520422</v>
      </c>
      <c r="E52" s="72">
        <f t="shared" ca="1" si="2"/>
        <v>26.467750928462127</v>
      </c>
      <c r="F52" s="72">
        <f t="shared" ca="1" si="3"/>
        <v>857.24199075371473</v>
      </c>
      <c r="G52" s="72">
        <f t="shared" ca="1" si="4"/>
        <v>7.5542358371285445</v>
      </c>
      <c r="H52" s="72">
        <f t="shared" ca="1" si="5"/>
        <v>864.79622659084328</v>
      </c>
      <c r="I52" s="72">
        <f t="shared" ca="1" si="6"/>
        <v>891.2639775193054</v>
      </c>
      <c r="J52" s="72">
        <f t="shared" ca="1" si="7"/>
        <v>34.021986765590668</v>
      </c>
    </row>
    <row r="53" spans="1:10" x14ac:dyDescent="0.3">
      <c r="A53" s="30">
        <v>39</v>
      </c>
      <c r="B53" s="72">
        <f t="shared" ca="1" si="0"/>
        <v>7.1943920282336093E-2</v>
      </c>
      <c r="C53" s="72">
        <f t="shared" ca="1" si="0"/>
        <v>0.90708687480697647</v>
      </c>
      <c r="D53" s="72">
        <f t="shared" ca="1" si="1"/>
        <v>1.8665779322889562</v>
      </c>
      <c r="E53" s="72">
        <f t="shared" ca="1" si="2"/>
        <v>45.694045386862307</v>
      </c>
      <c r="F53" s="72">
        <f t="shared" ca="1" si="3"/>
        <v>859.10856868600365</v>
      </c>
      <c r="G53" s="72">
        <f t="shared" ca="1" si="4"/>
        <v>32.155408833301749</v>
      </c>
      <c r="H53" s="72">
        <f t="shared" ca="1" si="5"/>
        <v>891.2639775193054</v>
      </c>
      <c r="I53" s="72">
        <f t="shared" ca="1" si="6"/>
        <v>936.95802290616768</v>
      </c>
      <c r="J53" s="72">
        <f t="shared" ca="1" si="7"/>
        <v>77.849454220164034</v>
      </c>
    </row>
    <row r="54" spans="1:10" x14ac:dyDescent="0.3">
      <c r="A54" s="30">
        <v>40</v>
      </c>
      <c r="B54" s="72">
        <f t="shared" ca="1" si="0"/>
        <v>0.32684256379983301</v>
      </c>
      <c r="C54" s="72">
        <f t="shared" ca="1" si="0"/>
        <v>0.64978273434850797</v>
      </c>
      <c r="D54" s="72">
        <f t="shared" ca="1" si="1"/>
        <v>9.8944011187116079</v>
      </c>
      <c r="E54" s="72">
        <f t="shared" ca="1" si="2"/>
        <v>20.176953040107456</v>
      </c>
      <c r="F54" s="72">
        <f t="shared" ca="1" si="3"/>
        <v>869.00296980471524</v>
      </c>
      <c r="G54" s="72">
        <f t="shared" ca="1" si="4"/>
        <v>67.955053101452449</v>
      </c>
      <c r="H54" s="72">
        <f t="shared" ca="1" si="5"/>
        <v>936.95802290616768</v>
      </c>
      <c r="I54" s="72">
        <f t="shared" ca="1" si="6"/>
        <v>957.13497594627518</v>
      </c>
      <c r="J54" s="72">
        <f t="shared" ca="1" si="7"/>
        <v>88.132006141559941</v>
      </c>
    </row>
    <row r="55" spans="1:10" x14ac:dyDescent="0.3">
      <c r="A55" s="30">
        <v>41</v>
      </c>
      <c r="B55" s="72">
        <f t="shared" ca="1" si="0"/>
        <v>0.41659755983014934</v>
      </c>
      <c r="C55" s="72">
        <f t="shared" ca="1" si="0"/>
        <v>0.35923186243444016</v>
      </c>
      <c r="D55" s="72">
        <f t="shared" ca="1" si="1"/>
        <v>13.471950972174188</v>
      </c>
      <c r="E55" s="72">
        <f t="shared" ca="1" si="2"/>
        <v>8.5593770646999889</v>
      </c>
      <c r="F55" s="72">
        <f t="shared" ca="1" si="3"/>
        <v>882.47492077688946</v>
      </c>
      <c r="G55" s="72">
        <f t="shared" ca="1" si="4"/>
        <v>74.660055169385714</v>
      </c>
      <c r="H55" s="72">
        <f t="shared" ca="1" si="5"/>
        <v>957.13497594627518</v>
      </c>
      <c r="I55" s="72">
        <f t="shared" ca="1" si="6"/>
        <v>965.69435301097519</v>
      </c>
      <c r="J55" s="72">
        <f t="shared" ca="1" si="7"/>
        <v>83.21943223408573</v>
      </c>
    </row>
    <row r="56" spans="1:10" x14ac:dyDescent="0.3">
      <c r="A56" s="30">
        <v>42</v>
      </c>
      <c r="B56" s="72">
        <f t="shared" ca="1" si="0"/>
        <v>0.71240069155297314</v>
      </c>
      <c r="C56" s="72">
        <f t="shared" ca="1" si="0"/>
        <v>0.7514835248451629</v>
      </c>
      <c r="D56" s="72">
        <f t="shared" ca="1" si="1"/>
        <v>31.154676442585288</v>
      </c>
      <c r="E56" s="72">
        <f t="shared" ca="1" si="2"/>
        <v>26.773964177563247</v>
      </c>
      <c r="F56" s="72">
        <f t="shared" ca="1" si="3"/>
        <v>913.6295972194747</v>
      </c>
      <c r="G56" s="72">
        <f t="shared" ca="1" si="4"/>
        <v>52.064755791500488</v>
      </c>
      <c r="H56" s="72">
        <f t="shared" ca="1" si="5"/>
        <v>965.69435301097519</v>
      </c>
      <c r="I56" s="72">
        <f t="shared" ca="1" si="6"/>
        <v>992.46831718853844</v>
      </c>
      <c r="J56" s="72">
        <f t="shared" ca="1" si="7"/>
        <v>78.838719969063732</v>
      </c>
    </row>
    <row r="57" spans="1:10" x14ac:dyDescent="0.3">
      <c r="A57" s="30">
        <v>43</v>
      </c>
      <c r="B57" s="72">
        <f t="shared" ca="1" si="0"/>
        <v>0.19616366143347663</v>
      </c>
      <c r="C57" s="72">
        <f t="shared" ca="1" si="0"/>
        <v>7.7275613628474904E-2</v>
      </c>
      <c r="D57" s="72">
        <f t="shared" ca="1" si="1"/>
        <v>5.4589897380244174</v>
      </c>
      <c r="E57" s="72">
        <f t="shared" ca="1" si="2"/>
        <v>1.54662875741798</v>
      </c>
      <c r="F57" s="72">
        <f t="shared" ca="1" si="3"/>
        <v>919.08858695749916</v>
      </c>
      <c r="G57" s="72">
        <f t="shared" ca="1" si="4"/>
        <v>73.379730231039275</v>
      </c>
      <c r="H57" s="72">
        <f t="shared" ca="1" si="5"/>
        <v>992.46831718853844</v>
      </c>
      <c r="I57" s="72">
        <f t="shared" ca="1" si="6"/>
        <v>994.01494594595647</v>
      </c>
      <c r="J57" s="72">
        <f t="shared" ca="1" si="7"/>
        <v>74.926358988457309</v>
      </c>
    </row>
    <row r="58" spans="1:10" x14ac:dyDescent="0.3">
      <c r="A58" s="30">
        <v>44</v>
      </c>
      <c r="B58" s="72">
        <f t="shared" ca="1" si="0"/>
        <v>7.5577086317363262E-2</v>
      </c>
      <c r="C58" s="72">
        <f t="shared" ca="1" si="0"/>
        <v>0.33748308040466346</v>
      </c>
      <c r="D58" s="72">
        <f t="shared" ca="1" si="1"/>
        <v>1.9646403315465526</v>
      </c>
      <c r="E58" s="72">
        <f t="shared" ca="1" si="2"/>
        <v>7.9174842776162695</v>
      </c>
      <c r="F58" s="72">
        <f t="shared" ca="1" si="3"/>
        <v>921.05322728904571</v>
      </c>
      <c r="G58" s="72">
        <f t="shared" ca="1" si="4"/>
        <v>72.961718656910762</v>
      </c>
      <c r="H58" s="72">
        <f t="shared" ca="1" si="5"/>
        <v>994.01494594595647</v>
      </c>
      <c r="I58" s="72">
        <f t="shared" ca="1" si="6"/>
        <v>1001.9324302235727</v>
      </c>
      <c r="J58" s="72">
        <f t="shared" ca="1" si="7"/>
        <v>80.879202934527029</v>
      </c>
    </row>
    <row r="59" spans="1:10" x14ac:dyDescent="0.3">
      <c r="A59" s="30">
        <v>45</v>
      </c>
      <c r="B59" s="72">
        <f t="shared" ca="1" si="0"/>
        <v>9.1424919044985176E-2</v>
      </c>
      <c r="C59" s="72">
        <f t="shared" ca="1" si="0"/>
        <v>0.16223575638042764</v>
      </c>
      <c r="D59" s="72">
        <f t="shared" ca="1" si="1"/>
        <v>2.3969437948080219</v>
      </c>
      <c r="E59" s="72">
        <f t="shared" ca="1" si="2"/>
        <v>3.4042028899537393</v>
      </c>
      <c r="F59" s="72">
        <f t="shared" ca="1" si="3"/>
        <v>923.45017108385377</v>
      </c>
      <c r="G59" s="72">
        <f t="shared" ca="1" si="4"/>
        <v>78.482259139718963</v>
      </c>
      <c r="H59" s="72">
        <f t="shared" ca="1" si="5"/>
        <v>1001.9324302235727</v>
      </c>
      <c r="I59" s="72">
        <f t="shared" ca="1" si="6"/>
        <v>1005.3366331135264</v>
      </c>
      <c r="J59" s="72">
        <f t="shared" ca="1" si="7"/>
        <v>81.886462029672657</v>
      </c>
    </row>
    <row r="60" spans="1:10" x14ac:dyDescent="0.3">
      <c r="A60" s="30">
        <v>46</v>
      </c>
      <c r="B60" s="72">
        <f t="shared" ca="1" si="0"/>
        <v>0.8205230528146209</v>
      </c>
      <c r="C60" s="72">
        <f t="shared" ca="1" si="0"/>
        <v>0.43101800050533479</v>
      </c>
      <c r="D60" s="72">
        <f t="shared" ca="1" si="1"/>
        <v>42.942712680949597</v>
      </c>
      <c r="E60" s="72">
        <f t="shared" ca="1" si="2"/>
        <v>10.844355397898488</v>
      </c>
      <c r="F60" s="72">
        <f t="shared" ca="1" si="3"/>
        <v>966.3928837648034</v>
      </c>
      <c r="G60" s="72">
        <f t="shared" ca="1" si="4"/>
        <v>38.943749348723031</v>
      </c>
      <c r="H60" s="72">
        <f t="shared" ca="1" si="5"/>
        <v>1005.3366331135264</v>
      </c>
      <c r="I60" s="72">
        <f t="shared" ca="1" si="6"/>
        <v>1016.180988511425</v>
      </c>
      <c r="J60" s="72">
        <f t="shared" ca="1" si="7"/>
        <v>49.78810474662157</v>
      </c>
    </row>
    <row r="61" spans="1:10" x14ac:dyDescent="0.3">
      <c r="A61" s="30">
        <v>47</v>
      </c>
      <c r="B61" s="72">
        <f t="shared" ca="1" si="0"/>
        <v>0.3363882592212557</v>
      </c>
      <c r="C61" s="72">
        <f t="shared" ca="1" si="0"/>
        <v>8.4630501587460438E-3</v>
      </c>
      <c r="D61" s="72">
        <f t="shared" ca="1" si="1"/>
        <v>10.251450706712369</v>
      </c>
      <c r="E61" s="72">
        <f t="shared" ca="1" si="2"/>
        <v>0.16344355979331088</v>
      </c>
      <c r="F61" s="72">
        <f t="shared" ca="1" si="3"/>
        <v>976.64433447151578</v>
      </c>
      <c r="G61" s="72">
        <f t="shared" ca="1" si="4"/>
        <v>39.536654039909195</v>
      </c>
      <c r="H61" s="72">
        <f t="shared" ca="1" si="5"/>
        <v>1016.180988511425</v>
      </c>
      <c r="I61" s="72">
        <f t="shared" ca="1" si="6"/>
        <v>1016.3444320712183</v>
      </c>
      <c r="J61" s="72">
        <f t="shared" ca="1" si="7"/>
        <v>39.700097599702531</v>
      </c>
    </row>
    <row r="62" spans="1:10" x14ac:dyDescent="0.3">
      <c r="A62" s="30">
        <v>48</v>
      </c>
      <c r="B62" s="72">
        <f t="shared" ca="1" si="0"/>
        <v>0.41592720775663128</v>
      </c>
      <c r="C62" s="72">
        <f t="shared" ca="1" si="0"/>
        <v>0.67212852250758182</v>
      </c>
      <c r="D62" s="72">
        <f t="shared" ca="1" si="1"/>
        <v>13.443241491725392</v>
      </c>
      <c r="E62" s="72">
        <f t="shared" ca="1" si="2"/>
        <v>21.44487662114414</v>
      </c>
      <c r="F62" s="72">
        <f t="shared" ca="1" si="3"/>
        <v>990.08757596324119</v>
      </c>
      <c r="G62" s="72">
        <f t="shared" ca="1" si="4"/>
        <v>26.256856107977114</v>
      </c>
      <c r="H62" s="72">
        <f t="shared" ca="1" si="5"/>
        <v>1016.3444320712183</v>
      </c>
      <c r="I62" s="72">
        <f t="shared" ca="1" si="6"/>
        <v>1037.7893086923625</v>
      </c>
      <c r="J62" s="72">
        <f t="shared" ca="1" si="7"/>
        <v>47.701732729121318</v>
      </c>
    </row>
    <row r="63" spans="1:10" x14ac:dyDescent="0.3">
      <c r="A63" s="30">
        <v>49</v>
      </c>
      <c r="B63" s="72">
        <f t="shared" ca="1" si="0"/>
        <v>0.6576225838361075</v>
      </c>
      <c r="C63" s="72">
        <f t="shared" ca="1" si="0"/>
        <v>0.73481926507809403</v>
      </c>
      <c r="D63" s="72">
        <f t="shared" ca="1" si="1"/>
        <v>26.796039858877663</v>
      </c>
      <c r="E63" s="72">
        <f t="shared" ca="1" si="2"/>
        <v>25.525839747916521</v>
      </c>
      <c r="F63" s="72">
        <f t="shared" ca="1" si="3"/>
        <v>1016.8836158221188</v>
      </c>
      <c r="G63" s="72">
        <f t="shared" ca="1" si="4"/>
        <v>20.905692870243684</v>
      </c>
      <c r="H63" s="72">
        <f t="shared" ca="1" si="5"/>
        <v>1037.7893086923625</v>
      </c>
      <c r="I63" s="72">
        <f t="shared" ca="1" si="6"/>
        <v>1063.315148440279</v>
      </c>
      <c r="J63" s="72">
        <f t="shared" ca="1" si="7"/>
        <v>46.43153261816019</v>
      </c>
    </row>
    <row r="64" spans="1:10" x14ac:dyDescent="0.3">
      <c r="A64" s="30">
        <v>50</v>
      </c>
      <c r="B64" s="72">
        <f t="shared" ca="1" si="0"/>
        <v>0.22701560843028645</v>
      </c>
      <c r="C64" s="72">
        <f t="shared" ca="1" si="0"/>
        <v>0.68284145847466093</v>
      </c>
      <c r="D64" s="72">
        <f t="shared" ca="1" si="1"/>
        <v>6.4374105654264602</v>
      </c>
      <c r="E64" s="72">
        <f t="shared" ca="1" si="2"/>
        <v>22.083721137190732</v>
      </c>
      <c r="F64" s="72">
        <f t="shared" ca="1" si="3"/>
        <v>1023.3210263875453</v>
      </c>
      <c r="G64" s="72">
        <f t="shared" ca="1" si="4"/>
        <v>39.994122052733701</v>
      </c>
      <c r="H64" s="72">
        <f t="shared" ca="1" si="5"/>
        <v>1063.315148440279</v>
      </c>
      <c r="I64" s="73">
        <f t="shared" ca="1" si="6"/>
        <v>1085.3988695774697</v>
      </c>
      <c r="J64" s="72">
        <f t="shared" ca="1" si="7"/>
        <v>62.077843189924351</v>
      </c>
    </row>
    <row r="65" spans="4:10" x14ac:dyDescent="0.3">
      <c r="D65" s="72">
        <f t="shared" ref="D65:E65" ca="1" si="8">AVERAGE(AVERAGE(D15:D64))</f>
        <v>20.466420527750905</v>
      </c>
      <c r="E65" s="72">
        <f t="shared" ca="1" si="8"/>
        <v>19.733352659049931</v>
      </c>
      <c r="G65" s="72">
        <f ca="1">AVERAGE(AVERAGE(G15:G64))</f>
        <v>65.241544575766568</v>
      </c>
      <c r="J65" s="74">
        <f ca="1">AVERAGE(AVERAGE(J15:J64))</f>
        <v>84.974897234816495</v>
      </c>
    </row>
    <row r="66" spans="4:10" x14ac:dyDescent="0.3">
      <c r="D66" s="72">
        <f ca="1">1/D65</f>
        <v>4.8860522466255212E-2</v>
      </c>
      <c r="E66" s="72">
        <f ca="1">1/E65</f>
        <v>5.0675626046818203E-2</v>
      </c>
      <c r="G66" s="72">
        <f ca="1">SUM(G15:G64)/$I$64</f>
        <v>3.0054179345683383</v>
      </c>
      <c r="J66" s="72">
        <f ca="1">SUM(J15:J64)/$I$64</f>
        <v>3.9144548431258275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3553" r:id="rId4" name="CommandButton1">
          <controlPr defaultSize="0" autoLine="0" r:id="rId5">
            <anchor moveWithCells="1">
              <from>
                <xdr:col>9</xdr:col>
                <xdr:colOff>822960</xdr:colOff>
                <xdr:row>1</xdr:row>
                <xdr:rowOff>144780</xdr:rowOff>
              </from>
              <to>
                <xdr:col>10</xdr:col>
                <xdr:colOff>320040</xdr:colOff>
                <xdr:row>5</xdr:row>
                <xdr:rowOff>15240</xdr:rowOff>
              </to>
            </anchor>
          </controlPr>
        </control>
      </mc:Choice>
      <mc:Fallback>
        <control shapeId="23553" r:id="rId4" name="CommandButton1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0"/>
  <dimension ref="A2:J54"/>
  <sheetViews>
    <sheetView workbookViewId="0">
      <selection activeCell="A14" sqref="A14"/>
    </sheetView>
  </sheetViews>
  <sheetFormatPr defaultRowHeight="14.4" x14ac:dyDescent="0.3"/>
  <cols>
    <col min="2" max="2" width="14.109375" customWidth="1"/>
    <col min="3" max="3" width="14" customWidth="1"/>
    <col min="4" max="4" width="15.6640625" customWidth="1"/>
    <col min="5" max="5" width="13.6640625" customWidth="1"/>
    <col min="6" max="6" width="14.6640625" customWidth="1"/>
    <col min="7" max="7" width="17" customWidth="1"/>
    <col min="8" max="8" width="15.33203125" customWidth="1"/>
    <col min="9" max="9" width="15" customWidth="1"/>
    <col min="10" max="10" width="14.6640625" customWidth="1"/>
  </cols>
  <sheetData>
    <row r="2" spans="1:10" ht="43.2" x14ac:dyDescent="0.3">
      <c r="D2" s="2" t="s">
        <v>1</v>
      </c>
      <c r="E2" s="3" t="s">
        <v>2</v>
      </c>
      <c r="F2" s="4">
        <v>0.04</v>
      </c>
      <c r="H2" s="5" t="s">
        <v>3</v>
      </c>
      <c r="I2" s="6" t="s">
        <v>4</v>
      </c>
      <c r="J2" s="42">
        <v>5.5E-2</v>
      </c>
    </row>
    <row r="6" spans="1:10" x14ac:dyDescent="0.3">
      <c r="D6" t="s">
        <v>6</v>
      </c>
    </row>
    <row r="7" spans="1:10" ht="18.600000000000001" x14ac:dyDescent="0.3">
      <c r="D7" s="8" t="s">
        <v>7</v>
      </c>
      <c r="E7" s="7" t="s">
        <v>8</v>
      </c>
    </row>
    <row r="8" spans="1:10" ht="18.600000000000001" x14ac:dyDescent="0.3">
      <c r="D8" s="8" t="s">
        <v>9</v>
      </c>
      <c r="E8" s="7" t="s">
        <v>10</v>
      </c>
    </row>
    <row r="9" spans="1:10" ht="18" x14ac:dyDescent="0.3">
      <c r="D9" s="9" t="s">
        <v>11</v>
      </c>
      <c r="E9" s="7" t="s">
        <v>12</v>
      </c>
    </row>
    <row r="10" spans="1:10" ht="18.600000000000001" x14ac:dyDescent="0.3">
      <c r="D10" s="8" t="s">
        <v>13</v>
      </c>
      <c r="E10" s="7" t="s">
        <v>14</v>
      </c>
    </row>
    <row r="11" spans="1:10" ht="18" x14ac:dyDescent="0.3">
      <c r="D11" s="9" t="s">
        <v>15</v>
      </c>
      <c r="E11" s="7" t="s">
        <v>16</v>
      </c>
    </row>
    <row r="12" spans="1:10" ht="18.600000000000001" x14ac:dyDescent="0.3">
      <c r="D12" s="8" t="s">
        <v>17</v>
      </c>
      <c r="E12" s="7" t="s">
        <v>18</v>
      </c>
    </row>
    <row r="14" spans="1:10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</row>
    <row r="15" spans="1:10" x14ac:dyDescent="0.3">
      <c r="A15" s="30">
        <v>1</v>
      </c>
      <c r="B15" s="72">
        <f ca="1">RAND()</f>
        <v>0.98608681130245202</v>
      </c>
      <c r="C15" s="72">
        <f ca="1">RAND()</f>
        <v>0.34456844302220013</v>
      </c>
      <c r="D15" s="72">
        <f ca="1">(1/$F$2)*LN(1/(1-B15))</f>
        <v>106.87295153839311</v>
      </c>
      <c r="E15" s="72">
        <f ca="1">(1/$J$2)*LN(1/(1-C15))</f>
        <v>7.6811162670651134</v>
      </c>
      <c r="F15" s="72">
        <f ca="1">D15</f>
        <v>106.87295153839311</v>
      </c>
      <c r="G15" s="72">
        <v>0</v>
      </c>
      <c r="H15" s="72">
        <f ca="1">F15+G15</f>
        <v>106.87295153839311</v>
      </c>
      <c r="I15" s="72">
        <f ca="1">H15+E15</f>
        <v>114.55406780545822</v>
      </c>
      <c r="J15" s="72">
        <f ca="1">I15-F15</f>
        <v>7.6811162670651072</v>
      </c>
    </row>
    <row r="16" spans="1:10" x14ac:dyDescent="0.3">
      <c r="A16" s="30">
        <v>2</v>
      </c>
      <c r="B16" s="72">
        <f ca="1">RAND()</f>
        <v>0.51223560759116049</v>
      </c>
      <c r="C16" s="72">
        <f ca="1">RAND()</f>
        <v>0.55821372931230617</v>
      </c>
      <c r="D16" s="72">
        <f ca="1">(1/$F$2)*LN(1/(1-B16))</f>
        <v>17.948069803912954</v>
      </c>
      <c r="E16" s="72">
        <f ca="1">(1/$J$2)*LN(1/(1-C16))</f>
        <v>14.853255715145545</v>
      </c>
      <c r="F16" s="72">
        <f ca="1">F15+D16</f>
        <v>124.82102134230607</v>
      </c>
      <c r="G16" s="72">
        <f ca="1">IF(I15&gt;F16,I15-F16,0)</f>
        <v>0</v>
      </c>
      <c r="H16" s="72">
        <f ca="1">F16+G16</f>
        <v>124.82102134230607</v>
      </c>
      <c r="I16" s="72">
        <f ca="1">H16+E16</f>
        <v>139.6742770574516</v>
      </c>
      <c r="J16" s="72">
        <f ca="1">I16-F16</f>
        <v>14.853255715145536</v>
      </c>
    </row>
    <row r="17" spans="1:10" x14ac:dyDescent="0.3">
      <c r="A17" s="30">
        <v>3</v>
      </c>
      <c r="B17" s="72">
        <f t="shared" ref="B17:C54" ca="1" si="0">RAND()</f>
        <v>0.65259265341900652</v>
      </c>
      <c r="C17" s="72">
        <f t="shared" ca="1" si="0"/>
        <v>5.4867981320779635E-2</v>
      </c>
      <c r="D17" s="72">
        <f t="shared" ref="D17:D54" ca="1" si="1">(1/$F$2)*LN(1/(1-B17))</f>
        <v>26.431431951822592</v>
      </c>
      <c r="E17" s="72">
        <f t="shared" ref="E17:E54" ca="1" si="2">(1/$J$2)*LN(1/(1-C17))</f>
        <v>1.0260119807236272</v>
      </c>
      <c r="F17" s="72">
        <f t="shared" ref="F17:F54" ca="1" si="3">F16+D17</f>
        <v>151.25245329412866</v>
      </c>
      <c r="G17" s="72">
        <f t="shared" ref="G17:G54" ca="1" si="4">IF(I16&gt;F17,I16-F17,0)</f>
        <v>0</v>
      </c>
      <c r="H17" s="72">
        <f t="shared" ref="H17:H54" ca="1" si="5">F17+G17</f>
        <v>151.25245329412866</v>
      </c>
      <c r="I17" s="72">
        <f t="shared" ref="I17:I54" ca="1" si="6">H17+E17</f>
        <v>152.27846527485229</v>
      </c>
      <c r="J17" s="72">
        <f t="shared" ref="J17:J54" ca="1" si="7">I17-F17</f>
        <v>1.0260119807236379</v>
      </c>
    </row>
    <row r="18" spans="1:10" x14ac:dyDescent="0.3">
      <c r="A18" s="30">
        <v>4</v>
      </c>
      <c r="B18" s="72">
        <f t="shared" ca="1" si="0"/>
        <v>0.22048493241455025</v>
      </c>
      <c r="C18" s="72">
        <f t="shared" ca="1" si="0"/>
        <v>0.97189045273979802</v>
      </c>
      <c r="D18" s="72">
        <f t="shared" ca="1" si="1"/>
        <v>6.2270815215744548</v>
      </c>
      <c r="E18" s="72">
        <f t="shared" ca="1" si="2"/>
        <v>64.939018185423819</v>
      </c>
      <c r="F18" s="72">
        <f t="shared" ca="1" si="3"/>
        <v>157.47953481570312</v>
      </c>
      <c r="G18" s="72">
        <f t="shared" ca="1" si="4"/>
        <v>0</v>
      </c>
      <c r="H18" s="72">
        <f t="shared" ca="1" si="5"/>
        <v>157.47953481570312</v>
      </c>
      <c r="I18" s="72">
        <f t="shared" ca="1" si="6"/>
        <v>222.41855300112695</v>
      </c>
      <c r="J18" s="72">
        <f t="shared" ca="1" si="7"/>
        <v>64.939018185423834</v>
      </c>
    </row>
    <row r="19" spans="1:10" x14ac:dyDescent="0.3">
      <c r="A19" s="30">
        <v>5</v>
      </c>
      <c r="B19" s="72">
        <f t="shared" ca="1" si="0"/>
        <v>0.62567420776451643</v>
      </c>
      <c r="C19" s="72">
        <f t="shared" ca="1" si="0"/>
        <v>4.3324477053890864E-2</v>
      </c>
      <c r="D19" s="72">
        <f t="shared" ca="1" si="1"/>
        <v>24.565718963076254</v>
      </c>
      <c r="E19" s="72">
        <f t="shared" ca="1" si="2"/>
        <v>0.80529093644495253</v>
      </c>
      <c r="F19" s="72">
        <f t="shared" ca="1" si="3"/>
        <v>182.04525377877937</v>
      </c>
      <c r="G19" s="72">
        <f t="shared" ca="1" si="4"/>
        <v>40.373299222347583</v>
      </c>
      <c r="H19" s="72">
        <f t="shared" ca="1" si="5"/>
        <v>222.41855300112695</v>
      </c>
      <c r="I19" s="72">
        <f t="shared" ca="1" si="6"/>
        <v>223.2238439375719</v>
      </c>
      <c r="J19" s="72">
        <f t="shared" ca="1" si="7"/>
        <v>41.178590158792531</v>
      </c>
    </row>
    <row r="20" spans="1:10" x14ac:dyDescent="0.3">
      <c r="A20" s="30">
        <v>6</v>
      </c>
      <c r="B20" s="72">
        <f t="shared" ca="1" si="0"/>
        <v>7.9331985297390273E-2</v>
      </c>
      <c r="C20" s="72">
        <f t="shared" ca="1" si="0"/>
        <v>8.8097677906888383E-2</v>
      </c>
      <c r="D20" s="72">
        <f t="shared" ca="1" si="1"/>
        <v>2.0663942371658153</v>
      </c>
      <c r="E20" s="72">
        <f t="shared" ca="1" si="2"/>
        <v>1.6767708656694089</v>
      </c>
      <c r="F20" s="72">
        <f t="shared" ca="1" si="3"/>
        <v>184.11164801594518</v>
      </c>
      <c r="G20" s="72">
        <f t="shared" ca="1" si="4"/>
        <v>39.112195921626721</v>
      </c>
      <c r="H20" s="72">
        <f t="shared" ca="1" si="5"/>
        <v>223.2238439375719</v>
      </c>
      <c r="I20" s="72">
        <f t="shared" ca="1" si="6"/>
        <v>224.9006148032413</v>
      </c>
      <c r="J20" s="72">
        <f t="shared" ca="1" si="7"/>
        <v>40.788966787296118</v>
      </c>
    </row>
    <row r="21" spans="1:10" x14ac:dyDescent="0.3">
      <c r="A21" s="30">
        <v>7</v>
      </c>
      <c r="B21" s="72">
        <f t="shared" ca="1" si="0"/>
        <v>0.959765282479633</v>
      </c>
      <c r="C21" s="72">
        <f t="shared" ca="1" si="0"/>
        <v>0.17692802880751646</v>
      </c>
      <c r="D21" s="72">
        <f t="shared" ca="1" si="1"/>
        <v>80.325625903816018</v>
      </c>
      <c r="E21" s="72">
        <f t="shared" ca="1" si="2"/>
        <v>3.5402114967267626</v>
      </c>
      <c r="F21" s="72">
        <f t="shared" ca="1" si="3"/>
        <v>264.4372739197612</v>
      </c>
      <c r="G21" s="72">
        <f t="shared" ca="1" si="4"/>
        <v>0</v>
      </c>
      <c r="H21" s="72">
        <f t="shared" ca="1" si="5"/>
        <v>264.4372739197612</v>
      </c>
      <c r="I21" s="72">
        <f t="shared" ca="1" si="6"/>
        <v>267.97748541648798</v>
      </c>
      <c r="J21" s="72">
        <f t="shared" ca="1" si="7"/>
        <v>3.5402114967267835</v>
      </c>
    </row>
    <row r="22" spans="1:10" x14ac:dyDescent="0.3">
      <c r="A22" s="30">
        <v>8</v>
      </c>
      <c r="B22" s="72">
        <f t="shared" ca="1" si="0"/>
        <v>0.411423606594573</v>
      </c>
      <c r="C22" s="72">
        <f t="shared" ca="1" si="0"/>
        <v>0.82677742733801551</v>
      </c>
      <c r="D22" s="72">
        <f t="shared" ca="1" si="1"/>
        <v>13.251213758297146</v>
      </c>
      <c r="E22" s="72">
        <f t="shared" ca="1" si="2"/>
        <v>31.875962985416926</v>
      </c>
      <c r="F22" s="72">
        <f t="shared" ca="1" si="3"/>
        <v>277.68848767805832</v>
      </c>
      <c r="G22" s="72">
        <f t="shared" ca="1" si="4"/>
        <v>0</v>
      </c>
      <c r="H22" s="72">
        <f t="shared" ca="1" si="5"/>
        <v>277.68848767805832</v>
      </c>
      <c r="I22" s="72">
        <f t="shared" ca="1" si="6"/>
        <v>309.56445066347527</v>
      </c>
      <c r="J22" s="72">
        <f t="shared" ca="1" si="7"/>
        <v>31.875962985416948</v>
      </c>
    </row>
    <row r="23" spans="1:10" x14ac:dyDescent="0.3">
      <c r="A23" s="30">
        <v>9</v>
      </c>
      <c r="B23" s="72">
        <f t="shared" ca="1" si="0"/>
        <v>0.23227572328868484</v>
      </c>
      <c r="C23" s="72">
        <f t="shared" ca="1" si="0"/>
        <v>0.58134562482373375</v>
      </c>
      <c r="D23" s="72">
        <f t="shared" ca="1" si="1"/>
        <v>6.6081156248619779</v>
      </c>
      <c r="E23" s="72">
        <f t="shared" ca="1" si="2"/>
        <v>15.831083267427122</v>
      </c>
      <c r="F23" s="72">
        <f t="shared" ca="1" si="3"/>
        <v>284.29660330292029</v>
      </c>
      <c r="G23" s="72">
        <f t="shared" ca="1" si="4"/>
        <v>25.267847360554981</v>
      </c>
      <c r="H23" s="72">
        <f t="shared" ca="1" si="5"/>
        <v>309.56445066347527</v>
      </c>
      <c r="I23" s="72">
        <f t="shared" ca="1" si="6"/>
        <v>325.39553393090239</v>
      </c>
      <c r="J23" s="72">
        <f t="shared" ca="1" si="7"/>
        <v>41.098930627982099</v>
      </c>
    </row>
    <row r="24" spans="1:10" x14ac:dyDescent="0.3">
      <c r="A24" s="30">
        <v>10</v>
      </c>
      <c r="B24" s="72">
        <f t="shared" ca="1" si="0"/>
        <v>0.7893910387005928</v>
      </c>
      <c r="C24" s="72">
        <f t="shared" ca="1" si="0"/>
        <v>0.81535742751729567</v>
      </c>
      <c r="D24" s="72">
        <f t="shared" ca="1" si="1"/>
        <v>38.943803222707636</v>
      </c>
      <c r="E24" s="72">
        <f t="shared" ca="1" si="2"/>
        <v>30.715152060650894</v>
      </c>
      <c r="F24" s="72">
        <f t="shared" ca="1" si="3"/>
        <v>323.24040652562792</v>
      </c>
      <c r="G24" s="72">
        <f t="shared" ca="1" si="4"/>
        <v>2.1551274052744702</v>
      </c>
      <c r="H24" s="72">
        <f t="shared" ca="1" si="5"/>
        <v>325.39553393090239</v>
      </c>
      <c r="I24" s="72">
        <f t="shared" ca="1" si="6"/>
        <v>356.11068599155328</v>
      </c>
      <c r="J24" s="72">
        <f t="shared" ca="1" si="7"/>
        <v>32.870279465925364</v>
      </c>
    </row>
    <row r="25" spans="1:10" x14ac:dyDescent="0.3">
      <c r="A25" s="30">
        <v>11</v>
      </c>
      <c r="B25" s="72">
        <f t="shared" ca="1" si="0"/>
        <v>0.78756484655293502</v>
      </c>
      <c r="C25" s="72">
        <f t="shared" ca="1" si="0"/>
        <v>0.66070329587359322</v>
      </c>
      <c r="D25" s="72">
        <f t="shared" ca="1" si="1"/>
        <v>38.727962435940874</v>
      </c>
      <c r="E25" s="72">
        <f t="shared" ca="1" si="2"/>
        <v>19.652369472434184</v>
      </c>
      <c r="F25" s="72">
        <f t="shared" ca="1" si="3"/>
        <v>361.96836896156879</v>
      </c>
      <c r="G25" s="72">
        <f t="shared" ca="1" si="4"/>
        <v>0</v>
      </c>
      <c r="H25" s="72">
        <f t="shared" ca="1" si="5"/>
        <v>361.96836896156879</v>
      </c>
      <c r="I25" s="72">
        <f t="shared" ca="1" si="6"/>
        <v>381.62073843400299</v>
      </c>
      <c r="J25" s="72">
        <f t="shared" ca="1" si="7"/>
        <v>19.652369472434202</v>
      </c>
    </row>
    <row r="26" spans="1:10" x14ac:dyDescent="0.3">
      <c r="A26" s="30">
        <v>12</v>
      </c>
      <c r="B26" s="72">
        <f t="shared" ca="1" si="0"/>
        <v>4.0588344219247285E-2</v>
      </c>
      <c r="C26" s="72">
        <f t="shared" ca="1" si="0"/>
        <v>0.95551133509063846</v>
      </c>
      <c r="D26" s="72">
        <f t="shared" ca="1" si="1"/>
        <v>1.0358760239135936</v>
      </c>
      <c r="E26" s="72">
        <f t="shared" ca="1" si="2"/>
        <v>56.591288061724086</v>
      </c>
      <c r="F26" s="72">
        <f t="shared" ca="1" si="3"/>
        <v>363.00424498548239</v>
      </c>
      <c r="G26" s="72">
        <f t="shared" ca="1" si="4"/>
        <v>18.6164934485206</v>
      </c>
      <c r="H26" s="72">
        <f t="shared" ca="1" si="5"/>
        <v>381.62073843400299</v>
      </c>
      <c r="I26" s="72">
        <f t="shared" ca="1" si="6"/>
        <v>438.21202649572706</v>
      </c>
      <c r="J26" s="72">
        <f t="shared" ca="1" si="7"/>
        <v>75.207781510244672</v>
      </c>
    </row>
    <row r="27" spans="1:10" x14ac:dyDescent="0.3">
      <c r="A27" s="30">
        <v>13</v>
      </c>
      <c r="B27" s="72">
        <f t="shared" ca="1" si="0"/>
        <v>1.9895970061888257E-2</v>
      </c>
      <c r="C27" s="72">
        <f t="shared" ca="1" si="0"/>
        <v>0.59520536366043175</v>
      </c>
      <c r="D27" s="72">
        <f t="shared" ca="1" si="1"/>
        <v>0.50241399883192528</v>
      </c>
      <c r="E27" s="72">
        <f t="shared" ca="1" si="2"/>
        <v>16.443189295380972</v>
      </c>
      <c r="F27" s="72">
        <f t="shared" ca="1" si="3"/>
        <v>363.5066589843143</v>
      </c>
      <c r="G27" s="72">
        <f t="shared" ca="1" si="4"/>
        <v>74.70536751141276</v>
      </c>
      <c r="H27" s="72">
        <f t="shared" ca="1" si="5"/>
        <v>438.21202649572706</v>
      </c>
      <c r="I27" s="72">
        <f t="shared" ca="1" si="6"/>
        <v>454.65521579110805</v>
      </c>
      <c r="J27" s="72">
        <f t="shared" ca="1" si="7"/>
        <v>91.148556806793749</v>
      </c>
    </row>
    <row r="28" spans="1:10" x14ac:dyDescent="0.3">
      <c r="A28" s="30">
        <v>14</v>
      </c>
      <c r="B28" s="72">
        <f t="shared" ca="1" si="0"/>
        <v>0.91988644999070956</v>
      </c>
      <c r="C28" s="72">
        <f t="shared" ca="1" si="0"/>
        <v>0.51648455938822124</v>
      </c>
      <c r="D28" s="72">
        <f t="shared" ca="1" si="1"/>
        <v>63.107756888820724</v>
      </c>
      <c r="E28" s="72">
        <f t="shared" ca="1" si="2"/>
        <v>13.212218718499338</v>
      </c>
      <c r="F28" s="72">
        <f t="shared" ca="1" si="3"/>
        <v>426.61441587313504</v>
      </c>
      <c r="G28" s="72">
        <f t="shared" ca="1" si="4"/>
        <v>28.040799917973004</v>
      </c>
      <c r="H28" s="72">
        <f t="shared" ca="1" si="5"/>
        <v>454.65521579110805</v>
      </c>
      <c r="I28" s="72">
        <f t="shared" ca="1" si="6"/>
        <v>467.86743450960739</v>
      </c>
      <c r="J28" s="72">
        <f t="shared" ca="1" si="7"/>
        <v>41.253018636472348</v>
      </c>
    </row>
    <row r="29" spans="1:10" x14ac:dyDescent="0.3">
      <c r="A29" s="30">
        <v>15</v>
      </c>
      <c r="B29" s="72">
        <f t="shared" ca="1" si="0"/>
        <v>6.3333289303381446E-2</v>
      </c>
      <c r="C29" s="72">
        <f t="shared" ca="1" si="0"/>
        <v>0.8335244206807183</v>
      </c>
      <c r="D29" s="72">
        <f t="shared" ca="1" si="1"/>
        <v>1.6356939578847582</v>
      </c>
      <c r="E29" s="72">
        <f t="shared" ca="1" si="2"/>
        <v>32.598302746798375</v>
      </c>
      <c r="F29" s="72">
        <f t="shared" ca="1" si="3"/>
        <v>428.25010983101981</v>
      </c>
      <c r="G29" s="72">
        <f t="shared" ca="1" si="4"/>
        <v>39.617324678587579</v>
      </c>
      <c r="H29" s="72">
        <f t="shared" ca="1" si="5"/>
        <v>467.86743450960739</v>
      </c>
      <c r="I29" s="72">
        <f t="shared" ca="1" si="6"/>
        <v>500.46573725640576</v>
      </c>
      <c r="J29" s="72">
        <f t="shared" ca="1" si="7"/>
        <v>72.215627425385946</v>
      </c>
    </row>
    <row r="30" spans="1:10" x14ac:dyDescent="0.3">
      <c r="A30" s="30">
        <v>16</v>
      </c>
      <c r="B30" s="72">
        <f t="shared" ca="1" si="0"/>
        <v>0.54809940589872108</v>
      </c>
      <c r="C30" s="72">
        <f t="shared" ca="1" si="0"/>
        <v>0.89763620360733998</v>
      </c>
      <c r="D30" s="72">
        <f t="shared" ca="1" si="1"/>
        <v>19.857326197288742</v>
      </c>
      <c r="E30" s="72">
        <f t="shared" ca="1" si="2"/>
        <v>41.440403268063584</v>
      </c>
      <c r="F30" s="72">
        <f t="shared" ca="1" si="3"/>
        <v>448.10743602830854</v>
      </c>
      <c r="G30" s="72">
        <f t="shared" ca="1" si="4"/>
        <v>52.358301228097218</v>
      </c>
      <c r="H30" s="72">
        <f t="shared" ca="1" si="5"/>
        <v>500.46573725640576</v>
      </c>
      <c r="I30" s="72">
        <f t="shared" ca="1" si="6"/>
        <v>541.90614052446938</v>
      </c>
      <c r="J30" s="72">
        <f t="shared" ca="1" si="7"/>
        <v>93.798704496160838</v>
      </c>
    </row>
    <row r="31" spans="1:10" x14ac:dyDescent="0.3">
      <c r="A31" s="30">
        <v>17</v>
      </c>
      <c r="B31" s="72">
        <f t="shared" ca="1" si="0"/>
        <v>0.69815016326802926</v>
      </c>
      <c r="C31" s="72">
        <f t="shared" ca="1" si="0"/>
        <v>0.86174002996831545</v>
      </c>
      <c r="D31" s="72">
        <f t="shared" ca="1" si="1"/>
        <v>29.945640365777905</v>
      </c>
      <c r="E31" s="72">
        <f t="shared" ca="1" si="2"/>
        <v>35.974900458515862</v>
      </c>
      <c r="F31" s="72">
        <f t="shared" ca="1" si="3"/>
        <v>478.05307639408647</v>
      </c>
      <c r="G31" s="72">
        <f t="shared" ca="1" si="4"/>
        <v>63.853064130382904</v>
      </c>
      <c r="H31" s="72">
        <f t="shared" ca="1" si="5"/>
        <v>541.90614052446938</v>
      </c>
      <c r="I31" s="72">
        <f t="shared" ca="1" si="6"/>
        <v>577.88104098298527</v>
      </c>
      <c r="J31" s="72">
        <f t="shared" ca="1" si="7"/>
        <v>99.827964588898794</v>
      </c>
    </row>
    <row r="32" spans="1:10" x14ac:dyDescent="0.3">
      <c r="A32" s="30">
        <v>18</v>
      </c>
      <c r="B32" s="72">
        <f t="shared" ca="1" si="0"/>
        <v>0.78211982850877193</v>
      </c>
      <c r="C32" s="72">
        <f t="shared" ca="1" si="0"/>
        <v>0.20078148143927399</v>
      </c>
      <c r="D32" s="72">
        <f t="shared" ca="1" si="1"/>
        <v>38.095250984417575</v>
      </c>
      <c r="E32" s="72">
        <f t="shared" ca="1" si="2"/>
        <v>4.0749251007993754</v>
      </c>
      <c r="F32" s="72">
        <f t="shared" ca="1" si="3"/>
        <v>516.14832737850406</v>
      </c>
      <c r="G32" s="72">
        <f t="shared" ca="1" si="4"/>
        <v>61.732713604481205</v>
      </c>
      <c r="H32" s="72">
        <f t="shared" ca="1" si="5"/>
        <v>577.88104098298527</v>
      </c>
      <c r="I32" s="72">
        <f t="shared" ca="1" si="6"/>
        <v>581.95596608378469</v>
      </c>
      <c r="J32" s="72">
        <f t="shared" ca="1" si="7"/>
        <v>65.807638705280624</v>
      </c>
    </row>
    <row r="33" spans="1:10" x14ac:dyDescent="0.3">
      <c r="A33" s="30">
        <v>19</v>
      </c>
      <c r="B33" s="72">
        <f t="shared" ca="1" si="0"/>
        <v>0.12685924091411904</v>
      </c>
      <c r="C33" s="72">
        <f t="shared" ca="1" si="0"/>
        <v>0.22328772263879515</v>
      </c>
      <c r="D33" s="72">
        <f t="shared" ca="1" si="1"/>
        <v>3.3914625018342783</v>
      </c>
      <c r="E33" s="72">
        <f t="shared" ca="1" si="2"/>
        <v>4.5942781199758844</v>
      </c>
      <c r="F33" s="72">
        <f t="shared" ca="1" si="3"/>
        <v>519.53978988033839</v>
      </c>
      <c r="G33" s="72">
        <f t="shared" ca="1" si="4"/>
        <v>62.416176203446298</v>
      </c>
      <c r="H33" s="72">
        <f t="shared" ca="1" si="5"/>
        <v>581.95596608378469</v>
      </c>
      <c r="I33" s="72">
        <f t="shared" ca="1" si="6"/>
        <v>586.5502442037606</v>
      </c>
      <c r="J33" s="72">
        <f t="shared" ca="1" si="7"/>
        <v>67.010454323422209</v>
      </c>
    </row>
    <row r="34" spans="1:10" x14ac:dyDescent="0.3">
      <c r="A34" s="30">
        <v>20</v>
      </c>
      <c r="B34" s="72">
        <f t="shared" ca="1" si="0"/>
        <v>2.9317832950393585E-2</v>
      </c>
      <c r="C34" s="72">
        <f t="shared" ca="1" si="0"/>
        <v>0.94431040351230289</v>
      </c>
      <c r="D34" s="72">
        <f t="shared" ca="1" si="1"/>
        <v>0.74390474150161567</v>
      </c>
      <c r="E34" s="72">
        <f t="shared" ca="1" si="2"/>
        <v>52.508398674430907</v>
      </c>
      <c r="F34" s="72">
        <f t="shared" ca="1" si="3"/>
        <v>520.28369462184003</v>
      </c>
      <c r="G34" s="72">
        <f t="shared" ca="1" si="4"/>
        <v>66.266549581920572</v>
      </c>
      <c r="H34" s="72">
        <f t="shared" ca="1" si="5"/>
        <v>586.5502442037606</v>
      </c>
      <c r="I34" s="72">
        <f t="shared" ca="1" si="6"/>
        <v>639.05864287819145</v>
      </c>
      <c r="J34" s="72">
        <f t="shared" ca="1" si="7"/>
        <v>118.77494825635142</v>
      </c>
    </row>
    <row r="35" spans="1:10" x14ac:dyDescent="0.3">
      <c r="A35" s="30">
        <v>21</v>
      </c>
      <c r="B35" s="72">
        <f t="shared" ca="1" si="0"/>
        <v>9.5303393510613787E-2</v>
      </c>
      <c r="C35" s="72">
        <f t="shared" ca="1" si="0"/>
        <v>0.52696933835983539</v>
      </c>
      <c r="D35" s="72">
        <f t="shared" ca="1" si="1"/>
        <v>2.5038908234094825</v>
      </c>
      <c r="E35" s="72">
        <f t="shared" ca="1" si="2"/>
        <v>13.610819433229308</v>
      </c>
      <c r="F35" s="72">
        <f t="shared" ca="1" si="3"/>
        <v>522.78758544524953</v>
      </c>
      <c r="G35" s="72">
        <f t="shared" ca="1" si="4"/>
        <v>116.27105743294192</v>
      </c>
      <c r="H35" s="72">
        <f t="shared" ca="1" si="5"/>
        <v>639.05864287819145</v>
      </c>
      <c r="I35" s="72">
        <f t="shared" ca="1" si="6"/>
        <v>652.66946231142072</v>
      </c>
      <c r="J35" s="72">
        <f t="shared" ca="1" si="7"/>
        <v>129.88187686617118</v>
      </c>
    </row>
    <row r="36" spans="1:10" x14ac:dyDescent="0.3">
      <c r="A36" s="30">
        <v>22</v>
      </c>
      <c r="B36" s="72">
        <f t="shared" ca="1" si="0"/>
        <v>0.67834047812041687</v>
      </c>
      <c r="C36" s="72">
        <f t="shared" ca="1" si="0"/>
        <v>0.38687468526062729</v>
      </c>
      <c r="D36" s="72">
        <f t="shared" ca="1" si="1"/>
        <v>28.356541958281561</v>
      </c>
      <c r="E36" s="72">
        <f t="shared" ca="1" si="2"/>
        <v>8.8942897332046122</v>
      </c>
      <c r="F36" s="72">
        <f t="shared" ca="1" si="3"/>
        <v>551.14412740353112</v>
      </c>
      <c r="G36" s="72">
        <f t="shared" ca="1" si="4"/>
        <v>101.5253349078896</v>
      </c>
      <c r="H36" s="72">
        <f t="shared" ca="1" si="5"/>
        <v>652.66946231142072</v>
      </c>
      <c r="I36" s="72">
        <f t="shared" ca="1" si="6"/>
        <v>661.56375204462529</v>
      </c>
      <c r="J36" s="72">
        <f t="shared" ca="1" si="7"/>
        <v>110.41962464109417</v>
      </c>
    </row>
    <row r="37" spans="1:10" x14ac:dyDescent="0.3">
      <c r="A37" s="30">
        <v>23</v>
      </c>
      <c r="B37" s="72">
        <f t="shared" ca="1" si="0"/>
        <v>0.95392956490013614</v>
      </c>
      <c r="C37" s="72">
        <f t="shared" ca="1" si="0"/>
        <v>0.46282155061840069</v>
      </c>
      <c r="D37" s="72">
        <f t="shared" ca="1" si="1"/>
        <v>76.939596393950211</v>
      </c>
      <c r="E37" s="72">
        <f t="shared" ca="1" si="2"/>
        <v>11.298635121857361</v>
      </c>
      <c r="F37" s="72">
        <f t="shared" ca="1" si="3"/>
        <v>628.0837237974813</v>
      </c>
      <c r="G37" s="72">
        <f t="shared" ca="1" si="4"/>
        <v>33.480028247143991</v>
      </c>
      <c r="H37" s="72">
        <f t="shared" ca="1" si="5"/>
        <v>661.56375204462529</v>
      </c>
      <c r="I37" s="72">
        <f t="shared" ca="1" si="6"/>
        <v>672.86238716648268</v>
      </c>
      <c r="J37" s="72">
        <f t="shared" ca="1" si="7"/>
        <v>44.778663369001379</v>
      </c>
    </row>
    <row r="38" spans="1:10" x14ac:dyDescent="0.3">
      <c r="A38" s="30">
        <v>24</v>
      </c>
      <c r="B38" s="72">
        <f t="shared" ca="1" si="0"/>
        <v>0.88466417486653548</v>
      </c>
      <c r="C38" s="72">
        <f t="shared" ca="1" si="0"/>
        <v>0.26546228117900239</v>
      </c>
      <c r="D38" s="72">
        <f t="shared" ca="1" si="1"/>
        <v>53.997679690561554</v>
      </c>
      <c r="E38" s="72">
        <f t="shared" ca="1" si="2"/>
        <v>5.6093442114339833</v>
      </c>
      <c r="F38" s="72">
        <f t="shared" ca="1" si="3"/>
        <v>682.08140348804284</v>
      </c>
      <c r="G38" s="72">
        <f t="shared" ca="1" si="4"/>
        <v>0</v>
      </c>
      <c r="H38" s="72">
        <f t="shared" ca="1" si="5"/>
        <v>682.08140348804284</v>
      </c>
      <c r="I38" s="72">
        <f t="shared" ca="1" si="6"/>
        <v>687.69074769947679</v>
      </c>
      <c r="J38" s="72">
        <f t="shared" ca="1" si="7"/>
        <v>5.6093442114339496</v>
      </c>
    </row>
    <row r="39" spans="1:10" x14ac:dyDescent="0.3">
      <c r="A39" s="30">
        <v>25</v>
      </c>
      <c r="B39" s="72">
        <f t="shared" ca="1" si="0"/>
        <v>0.26897597754553693</v>
      </c>
      <c r="C39" s="72">
        <f t="shared" ca="1" si="0"/>
        <v>0.97668810200473255</v>
      </c>
      <c r="D39" s="72">
        <f t="shared" ca="1" si="1"/>
        <v>7.8327239329377853</v>
      </c>
      <c r="E39" s="72">
        <f t="shared" ca="1" si="2"/>
        <v>68.341661912196983</v>
      </c>
      <c r="F39" s="72">
        <f t="shared" ca="1" si="3"/>
        <v>689.91412742098066</v>
      </c>
      <c r="G39" s="72">
        <f t="shared" ca="1" si="4"/>
        <v>0</v>
      </c>
      <c r="H39" s="72">
        <f t="shared" ca="1" si="5"/>
        <v>689.91412742098066</v>
      </c>
      <c r="I39" s="72">
        <f t="shared" ca="1" si="6"/>
        <v>758.25578933317763</v>
      </c>
      <c r="J39" s="72">
        <f t="shared" ca="1" si="7"/>
        <v>68.341661912196969</v>
      </c>
    </row>
    <row r="40" spans="1:10" x14ac:dyDescent="0.3">
      <c r="A40" s="30">
        <v>26</v>
      </c>
      <c r="B40" s="72">
        <f t="shared" ca="1" si="0"/>
        <v>0.4345588952104279</v>
      </c>
      <c r="C40" s="72">
        <f t="shared" ca="1" si="0"/>
        <v>0.73340216704857242</v>
      </c>
      <c r="D40" s="72">
        <f t="shared" ca="1" si="1"/>
        <v>14.253728399863233</v>
      </c>
      <c r="E40" s="72">
        <f t="shared" ca="1" si="2"/>
        <v>24.036618176996864</v>
      </c>
      <c r="F40" s="72">
        <f t="shared" ca="1" si="3"/>
        <v>704.1678558208439</v>
      </c>
      <c r="G40" s="72">
        <f t="shared" ca="1" si="4"/>
        <v>54.087933512333734</v>
      </c>
      <c r="H40" s="72">
        <f t="shared" ca="1" si="5"/>
        <v>758.25578933317763</v>
      </c>
      <c r="I40" s="72">
        <f t="shared" ca="1" si="6"/>
        <v>782.29240751017448</v>
      </c>
      <c r="J40" s="72">
        <f t="shared" ca="1" si="7"/>
        <v>78.124551689330588</v>
      </c>
    </row>
    <row r="41" spans="1:10" x14ac:dyDescent="0.3">
      <c r="A41" s="30">
        <v>27</v>
      </c>
      <c r="B41" s="72">
        <f t="shared" ca="1" si="0"/>
        <v>0.32882519318099757</v>
      </c>
      <c r="C41" s="72">
        <f t="shared" ca="1" si="0"/>
        <v>0.78201774881586716</v>
      </c>
      <c r="D41" s="72">
        <f t="shared" ca="1" si="1"/>
        <v>9.9681414767556547</v>
      </c>
      <c r="E41" s="72">
        <f t="shared" ca="1" si="2"/>
        <v>27.697120656256452</v>
      </c>
      <c r="F41" s="72">
        <f t="shared" ca="1" si="3"/>
        <v>714.1359972975996</v>
      </c>
      <c r="G41" s="72">
        <f t="shared" ca="1" si="4"/>
        <v>68.156410212574883</v>
      </c>
      <c r="H41" s="72">
        <f t="shared" ca="1" si="5"/>
        <v>782.29240751017448</v>
      </c>
      <c r="I41" s="72">
        <f t="shared" ca="1" si="6"/>
        <v>809.98952816643089</v>
      </c>
      <c r="J41" s="72">
        <f t="shared" ca="1" si="7"/>
        <v>95.853530868831285</v>
      </c>
    </row>
    <row r="42" spans="1:10" x14ac:dyDescent="0.3">
      <c r="A42" s="30">
        <v>28</v>
      </c>
      <c r="B42" s="72">
        <f t="shared" ca="1" si="0"/>
        <v>6.3773525156142097E-2</v>
      </c>
      <c r="C42" s="72">
        <f t="shared" ca="1" si="0"/>
        <v>0.15946611805056154</v>
      </c>
      <c r="D42" s="72">
        <f t="shared" ca="1" si="1"/>
        <v>1.6474467867237799</v>
      </c>
      <c r="E42" s="72">
        <f t="shared" ca="1" si="2"/>
        <v>3.1585093688527559</v>
      </c>
      <c r="F42" s="72">
        <f t="shared" ca="1" si="3"/>
        <v>715.78344408432338</v>
      </c>
      <c r="G42" s="72">
        <f t="shared" ca="1" si="4"/>
        <v>94.206084082107509</v>
      </c>
      <c r="H42" s="72">
        <f t="shared" ca="1" si="5"/>
        <v>809.98952816643089</v>
      </c>
      <c r="I42" s="72">
        <f t="shared" ca="1" si="6"/>
        <v>813.14803753528361</v>
      </c>
      <c r="J42" s="72">
        <f t="shared" ca="1" si="7"/>
        <v>97.364593450960228</v>
      </c>
    </row>
    <row r="43" spans="1:10" x14ac:dyDescent="0.3">
      <c r="A43" s="30">
        <v>29</v>
      </c>
      <c r="B43" s="72">
        <f t="shared" ca="1" si="0"/>
        <v>0.24328933452386858</v>
      </c>
      <c r="C43" s="72">
        <f t="shared" ca="1" si="0"/>
        <v>0.6924558281015033</v>
      </c>
      <c r="D43" s="72">
        <f t="shared" ca="1" si="1"/>
        <v>6.9693577664749666</v>
      </c>
      <c r="E43" s="72">
        <f t="shared" ca="1" si="2"/>
        <v>21.438846429120353</v>
      </c>
      <c r="F43" s="72">
        <f t="shared" ca="1" si="3"/>
        <v>722.75280185079839</v>
      </c>
      <c r="G43" s="72">
        <f t="shared" ca="1" si="4"/>
        <v>90.395235684485215</v>
      </c>
      <c r="H43" s="72">
        <f t="shared" ca="1" si="5"/>
        <v>813.14803753528361</v>
      </c>
      <c r="I43" s="72">
        <f t="shared" ca="1" si="6"/>
        <v>834.58688396440391</v>
      </c>
      <c r="J43" s="72">
        <f t="shared" ca="1" si="7"/>
        <v>111.83408211360552</v>
      </c>
    </row>
    <row r="44" spans="1:10" x14ac:dyDescent="0.3">
      <c r="A44" s="30">
        <v>30</v>
      </c>
      <c r="B44" s="72">
        <f t="shared" ca="1" si="0"/>
        <v>0.18134063138691914</v>
      </c>
      <c r="C44" s="72">
        <f t="shared" ca="1" si="0"/>
        <v>9.9757021716513017E-2</v>
      </c>
      <c r="D44" s="72">
        <f t="shared" ca="1" si="1"/>
        <v>5.0021798245879374</v>
      </c>
      <c r="E44" s="72">
        <f t="shared" ca="1" si="2"/>
        <v>1.9107377495311377</v>
      </c>
      <c r="F44" s="72">
        <f t="shared" ca="1" si="3"/>
        <v>727.75498167538638</v>
      </c>
      <c r="G44" s="72">
        <f t="shared" ca="1" si="4"/>
        <v>106.83190228901753</v>
      </c>
      <c r="H44" s="72">
        <f t="shared" ca="1" si="5"/>
        <v>834.58688396440391</v>
      </c>
      <c r="I44" s="72">
        <f t="shared" ca="1" si="6"/>
        <v>836.49762171393502</v>
      </c>
      <c r="J44" s="72">
        <f t="shared" ca="1" si="7"/>
        <v>108.74264003854864</v>
      </c>
    </row>
    <row r="45" spans="1:10" x14ac:dyDescent="0.3">
      <c r="A45" s="30">
        <v>31</v>
      </c>
      <c r="B45" s="72">
        <f t="shared" ca="1" si="0"/>
        <v>0.3424591753932027</v>
      </c>
      <c r="C45" s="72">
        <f t="shared" ca="1" si="0"/>
        <v>0.41232152333062366</v>
      </c>
      <c r="D45" s="72">
        <f t="shared" ca="1" si="1"/>
        <v>10.481210655025913</v>
      </c>
      <c r="E45" s="72">
        <f t="shared" ca="1" si="2"/>
        <v>9.6650052549663741</v>
      </c>
      <c r="F45" s="72">
        <f t="shared" ca="1" si="3"/>
        <v>738.23619233041234</v>
      </c>
      <c r="G45" s="72">
        <f t="shared" ca="1" si="4"/>
        <v>98.261429383522682</v>
      </c>
      <c r="H45" s="72">
        <f t="shared" ca="1" si="5"/>
        <v>836.49762171393502</v>
      </c>
      <c r="I45" s="72">
        <f t="shared" ca="1" si="6"/>
        <v>846.16262696890135</v>
      </c>
      <c r="J45" s="72">
        <f t="shared" ca="1" si="7"/>
        <v>107.92643463848901</v>
      </c>
    </row>
    <row r="46" spans="1:10" x14ac:dyDescent="0.3">
      <c r="A46" s="30">
        <v>32</v>
      </c>
      <c r="B46" s="72">
        <f t="shared" ca="1" si="0"/>
        <v>0.31959280622780717</v>
      </c>
      <c r="C46" s="72">
        <f t="shared" ca="1" si="0"/>
        <v>0.35721033382137479</v>
      </c>
      <c r="D46" s="72">
        <f t="shared" ca="1" si="1"/>
        <v>9.6265961414724099</v>
      </c>
      <c r="E46" s="72">
        <f t="shared" ca="1" si="2"/>
        <v>8.0352313001864513</v>
      </c>
      <c r="F46" s="72">
        <f t="shared" ca="1" si="3"/>
        <v>747.86278847188476</v>
      </c>
      <c r="G46" s="72">
        <f t="shared" ca="1" si="4"/>
        <v>98.299838497016594</v>
      </c>
      <c r="H46" s="72">
        <f t="shared" ca="1" si="5"/>
        <v>846.16262696890135</v>
      </c>
      <c r="I46" s="72">
        <f t="shared" ca="1" si="6"/>
        <v>854.19785826908776</v>
      </c>
      <c r="J46" s="72">
        <f t="shared" ca="1" si="7"/>
        <v>106.335069797203</v>
      </c>
    </row>
    <row r="47" spans="1:10" x14ac:dyDescent="0.3">
      <c r="A47" s="30">
        <v>33</v>
      </c>
      <c r="B47" s="72">
        <f t="shared" ca="1" si="0"/>
        <v>0.71089931394881367</v>
      </c>
      <c r="C47" s="72">
        <f t="shared" ca="1" si="0"/>
        <v>0.48028856366646322</v>
      </c>
      <c r="D47" s="72">
        <f t="shared" ca="1" si="1"/>
        <v>31.024506422606059</v>
      </c>
      <c r="E47" s="72">
        <f t="shared" ca="1" si="2"/>
        <v>11.899664573912512</v>
      </c>
      <c r="F47" s="72">
        <f t="shared" ca="1" si="3"/>
        <v>778.88729489449076</v>
      </c>
      <c r="G47" s="72">
        <f t="shared" ca="1" si="4"/>
        <v>75.310563374596995</v>
      </c>
      <c r="H47" s="72">
        <f t="shared" ca="1" si="5"/>
        <v>854.19785826908776</v>
      </c>
      <c r="I47" s="72">
        <f t="shared" ca="1" si="6"/>
        <v>866.09752284300032</v>
      </c>
      <c r="J47" s="72">
        <f t="shared" ca="1" si="7"/>
        <v>87.210227948509555</v>
      </c>
    </row>
    <row r="48" spans="1:10" x14ac:dyDescent="0.3">
      <c r="A48" s="30">
        <v>34</v>
      </c>
      <c r="B48" s="72">
        <f t="shared" ca="1" si="0"/>
        <v>5.4730295292798603E-3</v>
      </c>
      <c r="C48" s="72">
        <f t="shared" ca="1" si="0"/>
        <v>0.84524529973008278</v>
      </c>
      <c r="D48" s="72">
        <f t="shared" ca="1" si="1"/>
        <v>0.13720153567907201</v>
      </c>
      <c r="E48" s="72">
        <f t="shared" ca="1" si="2"/>
        <v>33.925708992135142</v>
      </c>
      <c r="F48" s="72">
        <f t="shared" ca="1" si="3"/>
        <v>779.02449643016985</v>
      </c>
      <c r="G48" s="72">
        <f t="shared" ca="1" si="4"/>
        <v>87.073026412830473</v>
      </c>
      <c r="H48" s="72">
        <f t="shared" ca="1" si="5"/>
        <v>866.09752284300032</v>
      </c>
      <c r="I48" s="72">
        <f t="shared" ca="1" si="6"/>
        <v>900.02323183513545</v>
      </c>
      <c r="J48" s="72">
        <f t="shared" ca="1" si="7"/>
        <v>120.9987354049656</v>
      </c>
    </row>
    <row r="49" spans="1:10" x14ac:dyDescent="0.3">
      <c r="A49" s="30">
        <v>35</v>
      </c>
      <c r="B49" s="72">
        <f t="shared" ca="1" si="0"/>
        <v>0.225299217200846</v>
      </c>
      <c r="C49" s="72">
        <f t="shared" ca="1" si="0"/>
        <v>0.91996682045648925</v>
      </c>
      <c r="D49" s="72">
        <f t="shared" ca="1" si="1"/>
        <v>6.3819602722555642</v>
      </c>
      <c r="E49" s="72">
        <f t="shared" ca="1" si="2"/>
        <v>45.914799745400231</v>
      </c>
      <c r="F49" s="72">
        <f t="shared" ca="1" si="3"/>
        <v>785.40645670242543</v>
      </c>
      <c r="G49" s="72">
        <f t="shared" ca="1" si="4"/>
        <v>114.61677513271002</v>
      </c>
      <c r="H49" s="72">
        <f t="shared" ca="1" si="5"/>
        <v>900.02323183513545</v>
      </c>
      <c r="I49" s="72">
        <f t="shared" ca="1" si="6"/>
        <v>945.93803158053572</v>
      </c>
      <c r="J49" s="72">
        <f t="shared" ca="1" si="7"/>
        <v>160.53157487811029</v>
      </c>
    </row>
    <row r="50" spans="1:10" x14ac:dyDescent="0.3">
      <c r="A50" s="30">
        <v>36</v>
      </c>
      <c r="B50" s="72">
        <f t="shared" ca="1" si="0"/>
        <v>0.10315420846242829</v>
      </c>
      <c r="C50" s="72">
        <f t="shared" ca="1" si="0"/>
        <v>0.40878890012524682</v>
      </c>
      <c r="D50" s="72">
        <f t="shared" ca="1" si="1"/>
        <v>2.72178368728036</v>
      </c>
      <c r="E50" s="72">
        <f t="shared" ca="1" si="2"/>
        <v>9.5560388066204283</v>
      </c>
      <c r="F50" s="72">
        <f t="shared" ca="1" si="3"/>
        <v>788.12824038970575</v>
      </c>
      <c r="G50" s="72">
        <f t="shared" ca="1" si="4"/>
        <v>157.80979119082997</v>
      </c>
      <c r="H50" s="72">
        <f t="shared" ca="1" si="5"/>
        <v>945.93803158053572</v>
      </c>
      <c r="I50" s="72">
        <f t="shared" ca="1" si="6"/>
        <v>955.49407038715617</v>
      </c>
      <c r="J50" s="72">
        <f t="shared" ca="1" si="7"/>
        <v>167.36582999745042</v>
      </c>
    </row>
    <row r="51" spans="1:10" x14ac:dyDescent="0.3">
      <c r="A51" s="30">
        <v>37</v>
      </c>
      <c r="B51" s="72">
        <f t="shared" ca="1" si="0"/>
        <v>0.73005738751203852</v>
      </c>
      <c r="C51" s="72">
        <f t="shared" ca="1" si="0"/>
        <v>0.26491271660854232</v>
      </c>
      <c r="D51" s="72">
        <f t="shared" ca="1" si="1"/>
        <v>32.738647222895509</v>
      </c>
      <c r="E51" s="72">
        <f t="shared" ca="1" si="2"/>
        <v>5.5957460710240303</v>
      </c>
      <c r="F51" s="72">
        <f t="shared" ca="1" si="3"/>
        <v>820.8668876126012</v>
      </c>
      <c r="G51" s="72">
        <f t="shared" ca="1" si="4"/>
        <v>134.62718277455497</v>
      </c>
      <c r="H51" s="72">
        <f t="shared" ca="1" si="5"/>
        <v>955.49407038715617</v>
      </c>
      <c r="I51" s="72">
        <f t="shared" ca="1" si="6"/>
        <v>961.08981645818017</v>
      </c>
      <c r="J51" s="72">
        <f t="shared" ca="1" si="7"/>
        <v>140.22292884557896</v>
      </c>
    </row>
    <row r="52" spans="1:10" x14ac:dyDescent="0.3">
      <c r="A52" s="30">
        <v>38</v>
      </c>
      <c r="B52" s="72">
        <f t="shared" ca="1" si="0"/>
        <v>0.39263721725831391</v>
      </c>
      <c r="C52" s="72">
        <f t="shared" ca="1" si="0"/>
        <v>5.6536756743513106E-2</v>
      </c>
      <c r="D52" s="72">
        <f t="shared" ca="1" si="1"/>
        <v>12.46572503276272</v>
      </c>
      <c r="E52" s="72">
        <f t="shared" ca="1" si="2"/>
        <v>1.0581431417303335</v>
      </c>
      <c r="F52" s="72">
        <f t="shared" ca="1" si="3"/>
        <v>833.33261264536395</v>
      </c>
      <c r="G52" s="72">
        <f t="shared" ca="1" si="4"/>
        <v>127.75720381281621</v>
      </c>
      <c r="H52" s="72">
        <f t="shared" ca="1" si="5"/>
        <v>961.08981645818017</v>
      </c>
      <c r="I52" s="72">
        <f t="shared" ca="1" si="6"/>
        <v>962.14795959991045</v>
      </c>
      <c r="J52" s="72">
        <f t="shared" ca="1" si="7"/>
        <v>128.8153469545465</v>
      </c>
    </row>
    <row r="53" spans="1:10" x14ac:dyDescent="0.3">
      <c r="A53" s="30">
        <v>39</v>
      </c>
      <c r="B53" s="72">
        <f t="shared" ca="1" si="0"/>
        <v>0.2808095593659039</v>
      </c>
      <c r="C53" s="72">
        <f t="shared" ca="1" si="0"/>
        <v>0.22580758007735491</v>
      </c>
      <c r="D53" s="72">
        <f t="shared" ca="1" si="1"/>
        <v>8.2407271894666909</v>
      </c>
      <c r="E53" s="72">
        <f t="shared" ca="1" si="2"/>
        <v>4.6533605770578124</v>
      </c>
      <c r="F53" s="72">
        <f t="shared" ca="1" si="3"/>
        <v>841.57333983483068</v>
      </c>
      <c r="G53" s="72">
        <f t="shared" ca="1" si="4"/>
        <v>120.57461976507977</v>
      </c>
      <c r="H53" s="72">
        <f t="shared" ca="1" si="5"/>
        <v>962.14795959991045</v>
      </c>
      <c r="I53" s="72">
        <f t="shared" ca="1" si="6"/>
        <v>966.80132017696826</v>
      </c>
      <c r="J53" s="72">
        <f t="shared" ca="1" si="7"/>
        <v>125.22798034213758</v>
      </c>
    </row>
    <row r="54" spans="1:10" x14ac:dyDescent="0.3">
      <c r="A54" s="30">
        <v>40</v>
      </c>
      <c r="B54" s="72">
        <f t="shared" ca="1" si="0"/>
        <v>0.28015001680584106</v>
      </c>
      <c r="C54" s="72">
        <f t="shared" ca="1" si="0"/>
        <v>0.18258999954800825</v>
      </c>
      <c r="D54" s="72">
        <f t="shared" ca="1" si="1"/>
        <v>8.217811133902071</v>
      </c>
      <c r="E54" s="72">
        <f t="shared" ca="1" si="2"/>
        <v>3.6657176992987743</v>
      </c>
      <c r="F54" s="72">
        <f t="shared" ca="1" si="3"/>
        <v>849.79115096873272</v>
      </c>
      <c r="G54" s="72">
        <f t="shared" ca="1" si="4"/>
        <v>117.01016920823554</v>
      </c>
      <c r="H54" s="72">
        <f t="shared" ca="1" si="5"/>
        <v>966.80132017696826</v>
      </c>
      <c r="I54" s="72">
        <f t="shared" ca="1" si="6"/>
        <v>970.467037876267</v>
      </c>
      <c r="J54" s="72">
        <f t="shared" ca="1" si="7"/>
        <v>120.67588690753428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7" r:id="rId4" name="CommandButton1">
          <controlPr defaultSize="0" autoLine="0" r:id="rId5">
            <anchor moveWithCells="1">
              <from>
                <xdr:col>10</xdr:col>
                <xdr:colOff>472440</xdr:colOff>
                <xdr:row>1</xdr:row>
                <xdr:rowOff>30480</xdr:rowOff>
              </from>
              <to>
                <xdr:col>11</xdr:col>
                <xdr:colOff>289560</xdr:colOff>
                <xdr:row>2</xdr:row>
                <xdr:rowOff>15240</xdr:rowOff>
              </to>
            </anchor>
          </controlPr>
        </control>
      </mc:Choice>
      <mc:Fallback>
        <control shapeId="24577" r:id="rId4" name="CommandButton1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1"/>
  <dimension ref="A2:K54"/>
  <sheetViews>
    <sheetView workbookViewId="0">
      <selection activeCell="A14" sqref="A14:J14"/>
    </sheetView>
  </sheetViews>
  <sheetFormatPr defaultRowHeight="14.4" x14ac:dyDescent="0.3"/>
  <cols>
    <col min="2" max="2" width="10.33203125" customWidth="1"/>
    <col min="3" max="3" width="10" customWidth="1"/>
    <col min="4" max="4" width="15" customWidth="1"/>
    <col min="5" max="5" width="13.6640625" customWidth="1"/>
    <col min="6" max="6" width="13" customWidth="1"/>
    <col min="7" max="7" width="12.6640625" customWidth="1"/>
    <col min="8" max="8" width="14.5546875" customWidth="1"/>
    <col min="9" max="9" width="14" customWidth="1"/>
    <col min="10" max="10" width="12.44140625" customWidth="1"/>
    <col min="11" max="11" width="11.88671875" customWidth="1"/>
  </cols>
  <sheetData>
    <row r="2" spans="1:11" ht="43.2" x14ac:dyDescent="0.3">
      <c r="D2" s="2" t="s">
        <v>1</v>
      </c>
      <c r="E2" s="3" t="s">
        <v>2</v>
      </c>
      <c r="F2" s="4">
        <v>0.04</v>
      </c>
      <c r="H2" s="5" t="s">
        <v>3</v>
      </c>
      <c r="I2" s="6" t="s">
        <v>4</v>
      </c>
      <c r="J2" s="42">
        <v>4.4999999999999998E-2</v>
      </c>
    </row>
    <row r="6" spans="1:11" x14ac:dyDescent="0.3">
      <c r="D6" t="s">
        <v>6</v>
      </c>
    </row>
    <row r="7" spans="1:11" ht="18.600000000000001" x14ac:dyDescent="0.3">
      <c r="D7" s="8" t="s">
        <v>7</v>
      </c>
      <c r="E7" s="7" t="s">
        <v>8</v>
      </c>
    </row>
    <row r="8" spans="1:11" ht="18.600000000000001" x14ac:dyDescent="0.3">
      <c r="D8" s="8" t="s">
        <v>9</v>
      </c>
      <c r="E8" s="7" t="s">
        <v>10</v>
      </c>
    </row>
    <row r="9" spans="1:11" ht="18" x14ac:dyDescent="0.3">
      <c r="D9" s="9" t="s">
        <v>11</v>
      </c>
      <c r="E9" s="7" t="s">
        <v>12</v>
      </c>
    </row>
    <row r="10" spans="1:11" ht="18.600000000000001" x14ac:dyDescent="0.3">
      <c r="D10" s="8" t="s">
        <v>13</v>
      </c>
      <c r="E10" s="7" t="s">
        <v>14</v>
      </c>
    </row>
    <row r="11" spans="1:11" ht="18" x14ac:dyDescent="0.3">
      <c r="D11" s="9" t="s">
        <v>15</v>
      </c>
      <c r="E11" s="7" t="s">
        <v>16</v>
      </c>
    </row>
    <row r="12" spans="1:11" ht="18.600000000000001" x14ac:dyDescent="0.3">
      <c r="D12" s="8" t="s">
        <v>17</v>
      </c>
      <c r="E12" s="7" t="s">
        <v>18</v>
      </c>
    </row>
    <row r="14" spans="1:11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  <c r="K14" s="8" t="s">
        <v>196</v>
      </c>
    </row>
    <row r="15" spans="1:11" x14ac:dyDescent="0.3">
      <c r="A15" s="30">
        <v>1</v>
      </c>
      <c r="B15" s="72">
        <f ca="1">RAND()</f>
        <v>0.98596815567035101</v>
      </c>
      <c r="C15" s="72">
        <f ca="1">RAND()</f>
        <v>0.98984329737359278</v>
      </c>
      <c r="D15" s="72">
        <f ca="1">(1/$F$2)*LN(1/(1-B15))</f>
        <v>106.66064843417568</v>
      </c>
      <c r="E15" s="72">
        <f ca="1">(1/$J$2)*LN(1/(1-C15))</f>
        <v>101.99158742561713</v>
      </c>
      <c r="F15" s="72">
        <f ca="1">D15</f>
        <v>106.66064843417568</v>
      </c>
      <c r="G15" s="72">
        <v>0</v>
      </c>
      <c r="H15" s="72">
        <f ca="1">F15+G15</f>
        <v>106.66064843417568</v>
      </c>
      <c r="I15" s="72">
        <f ca="1">H15+E15</f>
        <v>208.65223585979282</v>
      </c>
      <c r="J15" s="72">
        <f ca="1">I15-F15</f>
        <v>101.99158742561714</v>
      </c>
      <c r="K15" s="72"/>
    </row>
    <row r="16" spans="1:11" x14ac:dyDescent="0.3">
      <c r="A16" s="30">
        <v>2</v>
      </c>
      <c r="B16" s="72">
        <f ca="1">RAND()</f>
        <v>0.64050241986075174</v>
      </c>
      <c r="C16" s="72">
        <f ca="1">RAND()</f>
        <v>1.791659063846196E-2</v>
      </c>
      <c r="D16" s="72">
        <f ca="1">(1/$F$2)*LN(1/(1-B16))</f>
        <v>25.576195825699465</v>
      </c>
      <c r="E16" s="72">
        <f ca="1">(1/$J$2)*LN(1/(1-C16))</f>
        <v>0.40175635521514302</v>
      </c>
      <c r="F16" s="72">
        <f ca="1">F15+D16</f>
        <v>132.23684425987514</v>
      </c>
      <c r="G16" s="72">
        <f ca="1">IF(I15&gt;F16,I15-F16,0)</f>
        <v>76.415391599917683</v>
      </c>
      <c r="H16" s="72">
        <f ca="1">F16+G16</f>
        <v>208.65223585979282</v>
      </c>
      <c r="I16" s="72">
        <f ca="1">H16+E16</f>
        <v>209.05399221500798</v>
      </c>
      <c r="J16" s="72">
        <f ca="1">I16-F16</f>
        <v>76.817147955132839</v>
      </c>
      <c r="K16" s="72"/>
    </row>
    <row r="17" spans="1:11" x14ac:dyDescent="0.3">
      <c r="A17" s="30">
        <v>3</v>
      </c>
      <c r="B17" s="72">
        <f t="shared" ref="B17:C50" ca="1" si="0">RAND()</f>
        <v>0.86250946726769484</v>
      </c>
      <c r="C17" s="72">
        <f t="shared" ca="1" si="0"/>
        <v>0.88227709926272113</v>
      </c>
      <c r="D17" s="72">
        <f t="shared" ref="D17:D50" ca="1" si="1">(1/$F$2)*LN(1/(1-B17))</f>
        <v>49.605005427548505</v>
      </c>
      <c r="E17" s="72">
        <f t="shared" ref="E17:E50" ca="1" si="2">(1/$J$2)*LN(1/(1-C17))</f>
        <v>47.542704776244271</v>
      </c>
      <c r="F17" s="72">
        <f t="shared" ref="F17:F50" ca="1" si="3">F16+D17</f>
        <v>181.84184968742363</v>
      </c>
      <c r="G17" s="72">
        <f t="shared" ref="G17:G50" ca="1" si="4">IF(I16&gt;F17,I16-F17,0)</f>
        <v>27.212142527584348</v>
      </c>
      <c r="H17" s="72">
        <f t="shared" ref="H17:H50" ca="1" si="5">F17+G17</f>
        <v>209.05399221500798</v>
      </c>
      <c r="I17" s="72">
        <f t="shared" ref="I17:I50" ca="1" si="6">H17+E17</f>
        <v>256.59669699125226</v>
      </c>
      <c r="J17" s="72">
        <f t="shared" ref="J17:J50" ca="1" si="7">I17-F17</f>
        <v>74.754847303828626</v>
      </c>
      <c r="K17" s="72"/>
    </row>
    <row r="18" spans="1:11" x14ac:dyDescent="0.3">
      <c r="A18" s="30">
        <v>4</v>
      </c>
      <c r="B18" s="72">
        <f t="shared" ca="1" si="0"/>
        <v>0.48810646857186302</v>
      </c>
      <c r="C18" s="72">
        <f t="shared" ca="1" si="0"/>
        <v>0.64477424826566299</v>
      </c>
      <c r="D18" s="72">
        <f t="shared" ca="1" si="1"/>
        <v>16.740965549897645</v>
      </c>
      <c r="E18" s="72">
        <f t="shared" ca="1" si="2"/>
        <v>23.000039360888685</v>
      </c>
      <c r="F18" s="72">
        <f t="shared" ca="1" si="3"/>
        <v>198.58281523732128</v>
      </c>
      <c r="G18" s="72">
        <f t="shared" ca="1" si="4"/>
        <v>58.013881753930974</v>
      </c>
      <c r="H18" s="72">
        <f t="shared" ca="1" si="5"/>
        <v>256.59669699125226</v>
      </c>
      <c r="I18" s="72">
        <f t="shared" ca="1" si="6"/>
        <v>279.59673635214097</v>
      </c>
      <c r="J18" s="72">
        <f t="shared" ca="1" si="7"/>
        <v>81.013921114819681</v>
      </c>
      <c r="K18" s="72"/>
    </row>
    <row r="19" spans="1:11" x14ac:dyDescent="0.3">
      <c r="A19" s="30">
        <v>5</v>
      </c>
      <c r="B19" s="72">
        <f t="shared" ca="1" si="0"/>
        <v>0.9362674794659438</v>
      </c>
      <c r="C19" s="72">
        <f t="shared" ca="1" si="0"/>
        <v>0.59065904632569177</v>
      </c>
      <c r="D19" s="72">
        <f t="shared" ca="1" si="1"/>
        <v>68.826508006025023</v>
      </c>
      <c r="E19" s="72">
        <f t="shared" ca="1" si="2"/>
        <v>19.849040947739191</v>
      </c>
      <c r="F19" s="72">
        <f t="shared" ca="1" si="3"/>
        <v>267.40932324334631</v>
      </c>
      <c r="G19" s="72">
        <f t="shared" ca="1" si="4"/>
        <v>12.187413108794658</v>
      </c>
      <c r="H19" s="72">
        <f t="shared" ca="1" si="5"/>
        <v>279.59673635214097</v>
      </c>
      <c r="I19" s="72">
        <f t="shared" ca="1" si="6"/>
        <v>299.44577729988015</v>
      </c>
      <c r="J19" s="72">
        <f t="shared" ca="1" si="7"/>
        <v>32.036454056533842</v>
      </c>
      <c r="K19" s="72"/>
    </row>
    <row r="20" spans="1:11" x14ac:dyDescent="0.3">
      <c r="A20" s="30">
        <v>6</v>
      </c>
      <c r="B20" s="72">
        <f t="shared" ca="1" si="0"/>
        <v>0.75608655613108977</v>
      </c>
      <c r="C20" s="72">
        <f t="shared" ca="1" si="0"/>
        <v>0.93122237549030595</v>
      </c>
      <c r="D20" s="72">
        <f t="shared" ca="1" si="1"/>
        <v>35.273546371640016</v>
      </c>
      <c r="E20" s="72">
        <f t="shared" ca="1" si="2"/>
        <v>59.486151379773396</v>
      </c>
      <c r="F20" s="72">
        <f t="shared" ca="1" si="3"/>
        <v>302.68286961498632</v>
      </c>
      <c r="G20" s="72">
        <f t="shared" ca="1" si="4"/>
        <v>0</v>
      </c>
      <c r="H20" s="72">
        <f t="shared" ca="1" si="5"/>
        <v>302.68286961498632</v>
      </c>
      <c r="I20" s="72">
        <f t="shared" ca="1" si="6"/>
        <v>362.16902099475971</v>
      </c>
      <c r="J20" s="72">
        <f t="shared" ca="1" si="7"/>
        <v>59.486151379773389</v>
      </c>
      <c r="K20" s="72"/>
    </row>
    <row r="21" spans="1:11" x14ac:dyDescent="0.3">
      <c r="A21" s="30">
        <v>7</v>
      </c>
      <c r="B21" s="72">
        <f t="shared" ca="1" si="0"/>
        <v>0.1238382958559765</v>
      </c>
      <c r="C21" s="72">
        <f t="shared" ca="1" si="0"/>
        <v>0.46608386804323754</v>
      </c>
      <c r="D21" s="72">
        <f t="shared" ca="1" si="1"/>
        <v>3.3051152827340808</v>
      </c>
      <c r="E21" s="72">
        <f t="shared" ca="1" si="2"/>
        <v>13.944811302606947</v>
      </c>
      <c r="F21" s="72">
        <f t="shared" ca="1" si="3"/>
        <v>305.98798489772042</v>
      </c>
      <c r="G21" s="72">
        <f t="shared" ca="1" si="4"/>
        <v>56.181036097039282</v>
      </c>
      <c r="H21" s="72">
        <f t="shared" ca="1" si="5"/>
        <v>362.16902099475971</v>
      </c>
      <c r="I21" s="72">
        <f t="shared" ca="1" si="6"/>
        <v>376.11383229736663</v>
      </c>
      <c r="J21" s="72">
        <f t="shared" ca="1" si="7"/>
        <v>70.125847399646204</v>
      </c>
      <c r="K21" s="72"/>
    </row>
    <row r="22" spans="1:11" x14ac:dyDescent="0.3">
      <c r="A22" s="30">
        <v>8</v>
      </c>
      <c r="B22" s="72">
        <f t="shared" ca="1" si="0"/>
        <v>4.168237708307132E-2</v>
      </c>
      <c r="C22" s="72">
        <f t="shared" ca="1" si="0"/>
        <v>3.5234875413985733E-2</v>
      </c>
      <c r="D22" s="72">
        <f t="shared" ca="1" si="1"/>
        <v>1.0644002007789504</v>
      </c>
      <c r="E22" s="72">
        <f t="shared" ca="1" si="2"/>
        <v>0.79712447732696878</v>
      </c>
      <c r="F22" s="72">
        <f t="shared" ca="1" si="3"/>
        <v>307.05238509849937</v>
      </c>
      <c r="G22" s="72">
        <f t="shared" ca="1" si="4"/>
        <v>69.061447198867256</v>
      </c>
      <c r="H22" s="72">
        <f t="shared" ca="1" si="5"/>
        <v>376.11383229736663</v>
      </c>
      <c r="I22" s="72">
        <f t="shared" ca="1" si="6"/>
        <v>376.9109567746936</v>
      </c>
      <c r="J22" s="72">
        <f t="shared" ca="1" si="7"/>
        <v>69.858571676194231</v>
      </c>
      <c r="K22" s="72"/>
    </row>
    <row r="23" spans="1:11" x14ac:dyDescent="0.3">
      <c r="A23" s="30">
        <v>9</v>
      </c>
      <c r="B23" s="72">
        <f t="shared" ca="1" si="0"/>
        <v>0.48594760096152867</v>
      </c>
      <c r="C23" s="72">
        <f t="shared" ca="1" si="0"/>
        <v>0.81654387849389154</v>
      </c>
      <c r="D23" s="72">
        <f t="shared" ca="1" si="1"/>
        <v>16.635751876706493</v>
      </c>
      <c r="E23" s="72">
        <f t="shared" ca="1" si="2"/>
        <v>37.683994665309847</v>
      </c>
      <c r="F23" s="72">
        <f t="shared" ca="1" si="3"/>
        <v>323.68813697520585</v>
      </c>
      <c r="G23" s="72">
        <f t="shared" ca="1" si="4"/>
        <v>53.222819799487752</v>
      </c>
      <c r="H23" s="72">
        <f t="shared" ca="1" si="5"/>
        <v>376.9109567746936</v>
      </c>
      <c r="I23" s="72">
        <f t="shared" ca="1" si="6"/>
        <v>414.59495144000346</v>
      </c>
      <c r="J23" s="72">
        <f t="shared" ca="1" si="7"/>
        <v>90.906814464797606</v>
      </c>
      <c r="K23" s="72"/>
    </row>
    <row r="24" spans="1:11" x14ac:dyDescent="0.3">
      <c r="A24" s="30">
        <v>10</v>
      </c>
      <c r="B24" s="72">
        <f t="shared" ca="1" si="0"/>
        <v>0.39295000132240421</v>
      </c>
      <c r="C24" s="72">
        <f t="shared" ca="1" si="0"/>
        <v>0.25286635060534457</v>
      </c>
      <c r="D24" s="72">
        <f t="shared" ca="1" si="1"/>
        <v>12.478603029264086</v>
      </c>
      <c r="E24" s="72">
        <f t="shared" ca="1" si="2"/>
        <v>6.4780265555642229</v>
      </c>
      <c r="F24" s="72">
        <f t="shared" ca="1" si="3"/>
        <v>336.16674000446994</v>
      </c>
      <c r="G24" s="72">
        <f t="shared" ca="1" si="4"/>
        <v>78.428211435533512</v>
      </c>
      <c r="H24" s="72">
        <f t="shared" ca="1" si="5"/>
        <v>414.59495144000346</v>
      </c>
      <c r="I24" s="72">
        <f t="shared" ca="1" si="6"/>
        <v>421.07297799556767</v>
      </c>
      <c r="J24" s="72">
        <f t="shared" ca="1" si="7"/>
        <v>84.906237991097726</v>
      </c>
      <c r="K24" s="72"/>
    </row>
    <row r="25" spans="1:11" x14ac:dyDescent="0.3">
      <c r="A25" s="30">
        <v>11</v>
      </c>
      <c r="B25" s="72">
        <f t="shared" ca="1" si="0"/>
        <v>0.49419486461141571</v>
      </c>
      <c r="C25" s="72">
        <f t="shared" ca="1" si="0"/>
        <v>6.3066134001493968E-2</v>
      </c>
      <c r="D25" s="72">
        <f t="shared" ca="1" si="1"/>
        <v>17.040094794886805</v>
      </c>
      <c r="E25" s="72">
        <f t="shared" ca="1" si="2"/>
        <v>1.4476128847231737</v>
      </c>
      <c r="F25" s="72">
        <f t="shared" ca="1" si="3"/>
        <v>353.20683479935673</v>
      </c>
      <c r="G25" s="72">
        <f t="shared" ca="1" si="4"/>
        <v>67.866143196210942</v>
      </c>
      <c r="H25" s="72">
        <f t="shared" ca="1" si="5"/>
        <v>421.07297799556767</v>
      </c>
      <c r="I25" s="72">
        <f t="shared" ca="1" si="6"/>
        <v>422.52059088029085</v>
      </c>
      <c r="J25" s="72">
        <f t="shared" ca="1" si="7"/>
        <v>69.313756080934127</v>
      </c>
      <c r="K25" s="72"/>
    </row>
    <row r="26" spans="1:11" x14ac:dyDescent="0.3">
      <c r="A26" s="30">
        <v>12</v>
      </c>
      <c r="B26" s="72">
        <f t="shared" ca="1" si="0"/>
        <v>0.46784697341891179</v>
      </c>
      <c r="C26" s="72">
        <f t="shared" ca="1" si="0"/>
        <v>0.90653395685612059</v>
      </c>
      <c r="D26" s="72">
        <f t="shared" ca="1" si="1"/>
        <v>15.770604676316704</v>
      </c>
      <c r="E26" s="72">
        <f t="shared" ca="1" si="2"/>
        <v>52.670157412961188</v>
      </c>
      <c r="F26" s="72">
        <f t="shared" ca="1" si="3"/>
        <v>368.97743947567341</v>
      </c>
      <c r="G26" s="72">
        <f t="shared" ca="1" si="4"/>
        <v>53.543151404617447</v>
      </c>
      <c r="H26" s="72">
        <f t="shared" ca="1" si="5"/>
        <v>422.52059088029085</v>
      </c>
      <c r="I26" s="72">
        <f t="shared" ca="1" si="6"/>
        <v>475.19074829325206</v>
      </c>
      <c r="J26" s="72">
        <f t="shared" ca="1" si="7"/>
        <v>106.21330881757865</v>
      </c>
      <c r="K26" s="72"/>
    </row>
    <row r="27" spans="1:11" x14ac:dyDescent="0.3">
      <c r="A27" s="30">
        <v>13</v>
      </c>
      <c r="B27" s="72">
        <f t="shared" ca="1" si="0"/>
        <v>0.75798836782544354</v>
      </c>
      <c r="C27" s="72">
        <f t="shared" ca="1" si="0"/>
        <v>0.72713536005302681</v>
      </c>
      <c r="D27" s="72">
        <f t="shared" ca="1" si="1"/>
        <v>35.469237178590348</v>
      </c>
      <c r="E27" s="72">
        <f t="shared" ca="1" si="2"/>
        <v>28.861765136195295</v>
      </c>
      <c r="F27" s="72">
        <f t="shared" ca="1" si="3"/>
        <v>404.44667665426374</v>
      </c>
      <c r="G27" s="72">
        <f t="shared" ca="1" si="4"/>
        <v>70.744071638988316</v>
      </c>
      <c r="H27" s="72">
        <f t="shared" ca="1" si="5"/>
        <v>475.19074829325206</v>
      </c>
      <c r="I27" s="72">
        <f t="shared" ca="1" si="6"/>
        <v>504.05251342944734</v>
      </c>
      <c r="J27" s="72">
        <f t="shared" ca="1" si="7"/>
        <v>99.605836775183604</v>
      </c>
      <c r="K27" s="72"/>
    </row>
    <row r="28" spans="1:11" x14ac:dyDescent="0.3">
      <c r="A28" s="30">
        <v>14</v>
      </c>
      <c r="B28" s="72">
        <f t="shared" ca="1" si="0"/>
        <v>0.76181582009770143</v>
      </c>
      <c r="C28" s="72">
        <f t="shared" ca="1" si="0"/>
        <v>0.56217665347992862</v>
      </c>
      <c r="D28" s="72">
        <f t="shared" ca="1" si="1"/>
        <v>35.867775986354673</v>
      </c>
      <c r="E28" s="72">
        <f t="shared" ca="1" si="2"/>
        <v>18.354217075728375</v>
      </c>
      <c r="F28" s="72">
        <f t="shared" ca="1" si="3"/>
        <v>440.31445264061841</v>
      </c>
      <c r="G28" s="72">
        <f t="shared" ca="1" si="4"/>
        <v>63.738060788828932</v>
      </c>
      <c r="H28" s="72">
        <f t="shared" ca="1" si="5"/>
        <v>504.05251342944734</v>
      </c>
      <c r="I28" s="72">
        <f t="shared" ca="1" si="6"/>
        <v>522.40673050517569</v>
      </c>
      <c r="J28" s="72">
        <f t="shared" ca="1" si="7"/>
        <v>82.092277864557275</v>
      </c>
      <c r="K28" s="72"/>
    </row>
    <row r="29" spans="1:11" x14ac:dyDescent="0.3">
      <c r="A29" s="30">
        <v>15</v>
      </c>
      <c r="B29" s="72">
        <f t="shared" ca="1" si="0"/>
        <v>0.47469107746399053</v>
      </c>
      <c r="C29" s="72">
        <f t="shared" ca="1" si="0"/>
        <v>0.26149379514189008</v>
      </c>
      <c r="D29" s="72">
        <f t="shared" ca="1" si="1"/>
        <v>16.094219139146194</v>
      </c>
      <c r="E29" s="72">
        <f t="shared" ca="1" si="2"/>
        <v>6.7361283349239534</v>
      </c>
      <c r="F29" s="72">
        <f t="shared" ca="1" si="3"/>
        <v>456.40867177976463</v>
      </c>
      <c r="G29" s="72">
        <f t="shared" ca="1" si="4"/>
        <v>65.998058725411056</v>
      </c>
      <c r="H29" s="72">
        <f t="shared" ca="1" si="5"/>
        <v>522.40673050517569</v>
      </c>
      <c r="I29" s="72">
        <f t="shared" ca="1" si="6"/>
        <v>529.14285884009962</v>
      </c>
      <c r="J29" s="72">
        <f t="shared" ca="1" si="7"/>
        <v>72.734187060334989</v>
      </c>
      <c r="K29" s="72"/>
    </row>
    <row r="30" spans="1:11" x14ac:dyDescent="0.3">
      <c r="A30" s="30">
        <v>16</v>
      </c>
      <c r="B30" s="72">
        <f t="shared" ca="1" si="0"/>
        <v>0.68570214693152653</v>
      </c>
      <c r="C30" s="72">
        <f t="shared" ca="1" si="0"/>
        <v>0.33563130368514693</v>
      </c>
      <c r="D30" s="72">
        <f t="shared" ca="1" si="1"/>
        <v>28.935354150930475</v>
      </c>
      <c r="E30" s="72">
        <f t="shared" ca="1" si="2"/>
        <v>9.0870670683144468</v>
      </c>
      <c r="F30" s="72">
        <f t="shared" ca="1" si="3"/>
        <v>485.34402593069512</v>
      </c>
      <c r="G30" s="72">
        <f t="shared" ca="1" si="4"/>
        <v>43.798832909404496</v>
      </c>
      <c r="H30" s="72">
        <f t="shared" ca="1" si="5"/>
        <v>529.14285884009962</v>
      </c>
      <c r="I30" s="72">
        <f t="shared" ca="1" si="6"/>
        <v>538.22992590841409</v>
      </c>
      <c r="J30" s="72">
        <f t="shared" ca="1" si="7"/>
        <v>52.885899977718964</v>
      </c>
      <c r="K30" s="72"/>
    </row>
    <row r="31" spans="1:11" x14ac:dyDescent="0.3">
      <c r="A31" s="30">
        <v>17</v>
      </c>
      <c r="B31" s="72">
        <f t="shared" ca="1" si="0"/>
        <v>3.5809668933645122E-2</v>
      </c>
      <c r="C31" s="72">
        <f t="shared" ca="1" si="0"/>
        <v>0.77526677217686224</v>
      </c>
      <c r="D31" s="72">
        <f t="shared" ca="1" si="1"/>
        <v>0.91166412486414405</v>
      </c>
      <c r="E31" s="72">
        <f t="shared" ca="1" si="2"/>
        <v>33.174249652022944</v>
      </c>
      <c r="F31" s="72">
        <f t="shared" ca="1" si="3"/>
        <v>486.25569005555928</v>
      </c>
      <c r="G31" s="72">
        <f t="shared" ca="1" si="4"/>
        <v>51.974235852854804</v>
      </c>
      <c r="H31" s="72">
        <f t="shared" ca="1" si="5"/>
        <v>538.22992590841409</v>
      </c>
      <c r="I31" s="72">
        <f t="shared" ca="1" si="6"/>
        <v>571.40417556043701</v>
      </c>
      <c r="J31" s="72">
        <f t="shared" ca="1" si="7"/>
        <v>85.148485504877726</v>
      </c>
      <c r="K31" s="72"/>
    </row>
    <row r="32" spans="1:11" x14ac:dyDescent="0.3">
      <c r="A32" s="30">
        <v>18</v>
      </c>
      <c r="B32" s="72">
        <f t="shared" ca="1" si="0"/>
        <v>5.7212803701734871E-2</v>
      </c>
      <c r="C32" s="72">
        <f t="shared" ca="1" si="0"/>
        <v>0.96887169193165712</v>
      </c>
      <c r="D32" s="72">
        <f t="shared" ca="1" si="1"/>
        <v>1.4728672129774012</v>
      </c>
      <c r="E32" s="72">
        <f t="shared" ca="1" si="2"/>
        <v>77.10305881165965</v>
      </c>
      <c r="F32" s="72">
        <f t="shared" ca="1" si="3"/>
        <v>487.72855726853669</v>
      </c>
      <c r="G32" s="72">
        <f t="shared" ca="1" si="4"/>
        <v>83.675618291900321</v>
      </c>
      <c r="H32" s="72">
        <f t="shared" ca="1" si="5"/>
        <v>571.40417556043701</v>
      </c>
      <c r="I32" s="72">
        <f t="shared" ca="1" si="6"/>
        <v>648.50723437209672</v>
      </c>
      <c r="J32" s="72">
        <f t="shared" ca="1" si="7"/>
        <v>160.77867710356003</v>
      </c>
      <c r="K32" s="72"/>
    </row>
    <row r="33" spans="1:11" x14ac:dyDescent="0.3">
      <c r="A33" s="30">
        <v>19</v>
      </c>
      <c r="B33" s="72">
        <f t="shared" ca="1" si="0"/>
        <v>0.55909943393602457</v>
      </c>
      <c r="C33" s="72">
        <f t="shared" ca="1" si="0"/>
        <v>0.98274423313085724</v>
      </c>
      <c r="D33" s="72">
        <f t="shared" ca="1" si="1"/>
        <v>20.473397568403961</v>
      </c>
      <c r="E33" s="72">
        <f t="shared" ca="1" si="2"/>
        <v>90.213530669326019</v>
      </c>
      <c r="F33" s="72">
        <f t="shared" ca="1" si="3"/>
        <v>508.20195483694067</v>
      </c>
      <c r="G33" s="72">
        <f t="shared" ca="1" si="4"/>
        <v>140.30527953515605</v>
      </c>
      <c r="H33" s="72">
        <f t="shared" ca="1" si="5"/>
        <v>648.50723437209672</v>
      </c>
      <c r="I33" s="72">
        <f t="shared" ca="1" si="6"/>
        <v>738.72076504142274</v>
      </c>
      <c r="J33" s="72">
        <f t="shared" ca="1" si="7"/>
        <v>230.51881020448207</v>
      </c>
      <c r="K33" s="72"/>
    </row>
    <row r="34" spans="1:11" x14ac:dyDescent="0.3">
      <c r="A34" s="30">
        <v>20</v>
      </c>
      <c r="B34" s="72">
        <f t="shared" ca="1" si="0"/>
        <v>0.31417090430164296</v>
      </c>
      <c r="C34" s="72">
        <f t="shared" ca="1" si="0"/>
        <v>0.16564964675689875</v>
      </c>
      <c r="D34" s="72">
        <f t="shared" ca="1" si="1"/>
        <v>9.4281703482435208</v>
      </c>
      <c r="E34" s="72">
        <f t="shared" ca="1" si="2"/>
        <v>4.0244861558691341</v>
      </c>
      <c r="F34" s="72">
        <f t="shared" ca="1" si="3"/>
        <v>517.63012518518417</v>
      </c>
      <c r="G34" s="72">
        <f t="shared" ca="1" si="4"/>
        <v>221.09063985623857</v>
      </c>
      <c r="H34" s="72">
        <f t="shared" ca="1" si="5"/>
        <v>738.72076504142274</v>
      </c>
      <c r="I34" s="72">
        <f t="shared" ca="1" si="6"/>
        <v>742.74525119729185</v>
      </c>
      <c r="J34" s="72">
        <f t="shared" ca="1" si="7"/>
        <v>225.11512601210768</v>
      </c>
      <c r="K34" s="72"/>
    </row>
    <row r="35" spans="1:11" x14ac:dyDescent="0.3">
      <c r="A35" s="30">
        <v>21</v>
      </c>
      <c r="B35" s="72">
        <f t="shared" ca="1" si="0"/>
        <v>0.91546113889031799</v>
      </c>
      <c r="C35" s="72">
        <f t="shared" ca="1" si="0"/>
        <v>0.64732675149339347</v>
      </c>
      <c r="D35" s="72">
        <f t="shared" ca="1" si="1"/>
        <v>61.763598888726733</v>
      </c>
      <c r="E35" s="72">
        <f t="shared" ca="1" si="2"/>
        <v>23.160295385420966</v>
      </c>
      <c r="F35" s="72">
        <f t="shared" ca="1" si="3"/>
        <v>579.3937240739109</v>
      </c>
      <c r="G35" s="72">
        <f t="shared" ca="1" si="4"/>
        <v>163.35152712338095</v>
      </c>
      <c r="H35" s="72">
        <f t="shared" ca="1" si="5"/>
        <v>742.74525119729185</v>
      </c>
      <c r="I35" s="72">
        <f t="shared" ca="1" si="6"/>
        <v>765.90554658271276</v>
      </c>
      <c r="J35" s="72">
        <f t="shared" ca="1" si="7"/>
        <v>186.51182250880186</v>
      </c>
      <c r="K35" s="72"/>
    </row>
    <row r="36" spans="1:11" x14ac:dyDescent="0.3">
      <c r="A36" s="30">
        <v>22</v>
      </c>
      <c r="B36" s="72">
        <f t="shared" ca="1" si="0"/>
        <v>0.63854212117620768</v>
      </c>
      <c r="C36" s="72">
        <f t="shared" ca="1" si="0"/>
        <v>9.3256580805291311E-2</v>
      </c>
      <c r="D36" s="72">
        <f t="shared" ca="1" si="1"/>
        <v>25.44024404871373</v>
      </c>
      <c r="E36" s="72">
        <f t="shared" ca="1" si="2"/>
        <v>2.1754612982118946</v>
      </c>
      <c r="F36" s="72">
        <f t="shared" ca="1" si="3"/>
        <v>604.83396812262458</v>
      </c>
      <c r="G36" s="72">
        <f t="shared" ca="1" si="4"/>
        <v>161.07157846008818</v>
      </c>
      <c r="H36" s="72">
        <f t="shared" ca="1" si="5"/>
        <v>765.90554658271276</v>
      </c>
      <c r="I36" s="72">
        <f t="shared" ca="1" si="6"/>
        <v>768.08100788092463</v>
      </c>
      <c r="J36" s="72">
        <f t="shared" ca="1" si="7"/>
        <v>163.24703975830005</v>
      </c>
      <c r="K36" s="72"/>
    </row>
    <row r="37" spans="1:11" x14ac:dyDescent="0.3">
      <c r="A37" s="30">
        <v>23</v>
      </c>
      <c r="B37" s="72">
        <f t="shared" ca="1" si="0"/>
        <v>9.150140585044686E-2</v>
      </c>
      <c r="C37" s="72">
        <f t="shared" ca="1" si="0"/>
        <v>0.54422716064849663</v>
      </c>
      <c r="D37" s="72">
        <f t="shared" ca="1" si="1"/>
        <v>2.3990484647109223</v>
      </c>
      <c r="E37" s="72">
        <f t="shared" ca="1" si="2"/>
        <v>17.461350064604567</v>
      </c>
      <c r="F37" s="72">
        <f t="shared" ca="1" si="3"/>
        <v>607.23301658733556</v>
      </c>
      <c r="G37" s="72">
        <f t="shared" ca="1" si="4"/>
        <v>160.84799129358908</v>
      </c>
      <c r="H37" s="72">
        <f t="shared" ca="1" si="5"/>
        <v>768.08100788092463</v>
      </c>
      <c r="I37" s="72">
        <f t="shared" ca="1" si="6"/>
        <v>785.54235794552915</v>
      </c>
      <c r="J37" s="72">
        <f t="shared" ca="1" si="7"/>
        <v>178.30934135819359</v>
      </c>
      <c r="K37" s="72"/>
    </row>
    <row r="38" spans="1:11" x14ac:dyDescent="0.3">
      <c r="A38" s="30">
        <v>24</v>
      </c>
      <c r="B38" s="72">
        <f t="shared" ca="1" si="0"/>
        <v>0.72810196431352725</v>
      </c>
      <c r="C38" s="72">
        <f t="shared" ca="1" si="0"/>
        <v>0.18748980565340012</v>
      </c>
      <c r="D38" s="72">
        <f t="shared" ca="1" si="1"/>
        <v>32.558203794168634</v>
      </c>
      <c r="E38" s="72">
        <f t="shared" ca="1" si="2"/>
        <v>4.6139292881962897</v>
      </c>
      <c r="F38" s="72">
        <f t="shared" ca="1" si="3"/>
        <v>639.79122038150422</v>
      </c>
      <c r="G38" s="72">
        <f t="shared" ca="1" si="4"/>
        <v>145.75113756402493</v>
      </c>
      <c r="H38" s="72">
        <f t="shared" ca="1" si="5"/>
        <v>785.54235794552915</v>
      </c>
      <c r="I38" s="72">
        <f t="shared" ca="1" si="6"/>
        <v>790.15628723372549</v>
      </c>
      <c r="J38" s="72">
        <f t="shared" ca="1" si="7"/>
        <v>150.36506685222128</v>
      </c>
      <c r="K38" s="72"/>
    </row>
    <row r="39" spans="1:11" x14ac:dyDescent="0.3">
      <c r="A39" s="30">
        <v>25</v>
      </c>
      <c r="B39" s="72">
        <f t="shared" ca="1" si="0"/>
        <v>0.81884102415879334</v>
      </c>
      <c r="C39" s="72">
        <f t="shared" ca="1" si="0"/>
        <v>0.91219520749155747</v>
      </c>
      <c r="D39" s="72">
        <f t="shared" ca="1" si="1"/>
        <v>42.709507841213821</v>
      </c>
      <c r="E39" s="72">
        <f t="shared" ca="1" si="2"/>
        <v>54.058648787824943</v>
      </c>
      <c r="F39" s="72">
        <f t="shared" ca="1" si="3"/>
        <v>682.50072822271807</v>
      </c>
      <c r="G39" s="72">
        <f t="shared" ca="1" si="4"/>
        <v>107.65555901100743</v>
      </c>
      <c r="H39" s="72">
        <f t="shared" ca="1" si="5"/>
        <v>790.15628723372549</v>
      </c>
      <c r="I39" s="72">
        <f t="shared" ca="1" si="6"/>
        <v>844.21493602155044</v>
      </c>
      <c r="J39" s="72">
        <f t="shared" ca="1" si="7"/>
        <v>161.71420779883238</v>
      </c>
      <c r="K39" s="72"/>
    </row>
    <row r="40" spans="1:11" x14ac:dyDescent="0.3">
      <c r="A40" s="30">
        <v>26</v>
      </c>
      <c r="B40" s="72">
        <f t="shared" ca="1" si="0"/>
        <v>0.21454833721669919</v>
      </c>
      <c r="C40" s="72">
        <f t="shared" ca="1" si="0"/>
        <v>0.44599504764959097</v>
      </c>
      <c r="D40" s="72">
        <f t="shared" ca="1" si="1"/>
        <v>6.0374090014174442</v>
      </c>
      <c r="E40" s="72">
        <f t="shared" ca="1" si="2"/>
        <v>13.1240367336476</v>
      </c>
      <c r="F40" s="72">
        <f t="shared" ca="1" si="3"/>
        <v>688.53813722413554</v>
      </c>
      <c r="G40" s="72">
        <f t="shared" ca="1" si="4"/>
        <v>155.6767987974149</v>
      </c>
      <c r="H40" s="72">
        <f t="shared" ca="1" si="5"/>
        <v>844.21493602155044</v>
      </c>
      <c r="I40" s="72">
        <f t="shared" ca="1" si="6"/>
        <v>857.33897275519803</v>
      </c>
      <c r="J40" s="72">
        <f t="shared" ca="1" si="7"/>
        <v>168.80083553106249</v>
      </c>
      <c r="K40" s="72"/>
    </row>
    <row r="41" spans="1:11" x14ac:dyDescent="0.3">
      <c r="A41" s="30">
        <v>27</v>
      </c>
      <c r="B41" s="72">
        <f t="shared" ca="1" si="0"/>
        <v>0.48702153967360151</v>
      </c>
      <c r="C41" s="72">
        <f t="shared" ca="1" si="0"/>
        <v>0.12813641062383085</v>
      </c>
      <c r="D41" s="72">
        <f t="shared" ca="1" si="1"/>
        <v>16.688035559017838</v>
      </c>
      <c r="E41" s="72">
        <f t="shared" ca="1" si="2"/>
        <v>3.0471622558200941</v>
      </c>
      <c r="F41" s="72">
        <f t="shared" ca="1" si="3"/>
        <v>705.2261727831534</v>
      </c>
      <c r="G41" s="72">
        <f t="shared" ca="1" si="4"/>
        <v>152.11279997204463</v>
      </c>
      <c r="H41" s="72">
        <f t="shared" ca="1" si="5"/>
        <v>857.33897275519803</v>
      </c>
      <c r="I41" s="72">
        <f t="shared" ca="1" si="6"/>
        <v>860.38613501101815</v>
      </c>
      <c r="J41" s="72">
        <f t="shared" ca="1" si="7"/>
        <v>155.15996222786475</v>
      </c>
      <c r="K41" s="72"/>
    </row>
    <row r="42" spans="1:11" x14ac:dyDescent="0.3">
      <c r="A42" s="30">
        <v>28</v>
      </c>
      <c r="B42" s="72">
        <f t="shared" ca="1" si="0"/>
        <v>1.0718261424717324E-2</v>
      </c>
      <c r="C42" s="72">
        <f t="shared" ca="1" si="0"/>
        <v>0.83398092958850045</v>
      </c>
      <c r="D42" s="72">
        <f t="shared" ca="1" si="1"/>
        <v>0.26940289396634015</v>
      </c>
      <c r="E42" s="72">
        <f t="shared" ca="1" si="2"/>
        <v>39.903391449489774</v>
      </c>
      <c r="F42" s="72">
        <f t="shared" ca="1" si="3"/>
        <v>705.49557567711975</v>
      </c>
      <c r="G42" s="72">
        <f t="shared" ca="1" si="4"/>
        <v>154.89055933389841</v>
      </c>
      <c r="H42" s="72">
        <f t="shared" ca="1" si="5"/>
        <v>860.38613501101815</v>
      </c>
      <c r="I42" s="72">
        <f t="shared" ca="1" si="6"/>
        <v>900.28952646050789</v>
      </c>
      <c r="J42" s="72">
        <f t="shared" ca="1" si="7"/>
        <v>194.79395078338814</v>
      </c>
      <c r="K42" s="72"/>
    </row>
    <row r="43" spans="1:11" x14ac:dyDescent="0.3">
      <c r="A43" s="30">
        <v>29</v>
      </c>
      <c r="B43" s="72">
        <f t="shared" ca="1" si="0"/>
        <v>6.9784215430143681E-2</v>
      </c>
      <c r="C43" s="72">
        <f t="shared" ca="1" si="0"/>
        <v>0.48143425432999165</v>
      </c>
      <c r="D43" s="72">
        <f t="shared" ca="1" si="1"/>
        <v>1.8084673332400412</v>
      </c>
      <c r="E43" s="72">
        <f t="shared" ca="1" si="2"/>
        <v>14.593076880037129</v>
      </c>
      <c r="F43" s="72">
        <f t="shared" ca="1" si="3"/>
        <v>707.30404301035981</v>
      </c>
      <c r="G43" s="72">
        <f t="shared" ca="1" si="4"/>
        <v>192.98548345014808</v>
      </c>
      <c r="H43" s="72">
        <f t="shared" ca="1" si="5"/>
        <v>900.28952646050789</v>
      </c>
      <c r="I43" s="72">
        <f t="shared" ca="1" si="6"/>
        <v>914.88260334054496</v>
      </c>
      <c r="J43" s="72">
        <f t="shared" ca="1" si="7"/>
        <v>207.57856033018516</v>
      </c>
      <c r="K43" s="72"/>
    </row>
    <row r="44" spans="1:11" x14ac:dyDescent="0.3">
      <c r="A44" s="30">
        <v>30</v>
      </c>
      <c r="B44" s="72">
        <f t="shared" ca="1" si="0"/>
        <v>0.19011585919355622</v>
      </c>
      <c r="C44" s="72">
        <f t="shared" ca="1" si="0"/>
        <v>0.57315379535941569</v>
      </c>
      <c r="D44" s="72">
        <f t="shared" ca="1" si="1"/>
        <v>5.271601939692756</v>
      </c>
      <c r="E44" s="72">
        <f t="shared" ca="1" si="2"/>
        <v>18.91847793596429</v>
      </c>
      <c r="F44" s="72">
        <f t="shared" ca="1" si="3"/>
        <v>712.57564495005261</v>
      </c>
      <c r="G44" s="72">
        <f t="shared" ca="1" si="4"/>
        <v>202.30695839049235</v>
      </c>
      <c r="H44" s="72">
        <f t="shared" ca="1" si="5"/>
        <v>914.88260334054496</v>
      </c>
      <c r="I44" s="72">
        <f t="shared" ca="1" si="6"/>
        <v>933.80108127650919</v>
      </c>
      <c r="J44" s="72">
        <f t="shared" ca="1" si="7"/>
        <v>221.22543632645659</v>
      </c>
      <c r="K44" s="72"/>
    </row>
    <row r="45" spans="1:11" x14ac:dyDescent="0.3">
      <c r="A45" s="30">
        <v>31</v>
      </c>
      <c r="B45" s="72">
        <f t="shared" ca="1" si="0"/>
        <v>0.10677502189644683</v>
      </c>
      <c r="C45" s="72">
        <f t="shared" ca="1" si="0"/>
        <v>0.12408854099817423</v>
      </c>
      <c r="D45" s="72">
        <f t="shared" ca="1" si="1"/>
        <v>2.8229198667404978</v>
      </c>
      <c r="E45" s="72">
        <f t="shared" ca="1" si="2"/>
        <v>2.9442281633981282</v>
      </c>
      <c r="F45" s="72">
        <f t="shared" ca="1" si="3"/>
        <v>715.39856481679305</v>
      </c>
      <c r="G45" s="72">
        <f t="shared" ca="1" si="4"/>
        <v>218.40251645971614</v>
      </c>
      <c r="H45" s="72">
        <f t="shared" ca="1" si="5"/>
        <v>933.80108127650919</v>
      </c>
      <c r="I45" s="72">
        <f t="shared" ca="1" si="6"/>
        <v>936.74530943990737</v>
      </c>
      <c r="J45" s="72">
        <f t="shared" ca="1" si="7"/>
        <v>221.34674462311432</v>
      </c>
      <c r="K45" s="72"/>
    </row>
    <row r="46" spans="1:11" x14ac:dyDescent="0.3">
      <c r="A46" s="30">
        <v>32</v>
      </c>
      <c r="B46" s="72">
        <f t="shared" ca="1" si="0"/>
        <v>0.88336039049093618</v>
      </c>
      <c r="C46" s="72">
        <f t="shared" ca="1" si="0"/>
        <v>8.7552774463839356E-2</v>
      </c>
      <c r="D46" s="72">
        <f t="shared" ca="1" si="1"/>
        <v>53.716658963944461</v>
      </c>
      <c r="E46" s="72">
        <f t="shared" ca="1" si="2"/>
        <v>2.0361117828192277</v>
      </c>
      <c r="F46" s="72">
        <f t="shared" ca="1" si="3"/>
        <v>769.11522378073755</v>
      </c>
      <c r="G46" s="72">
        <f t="shared" ca="1" si="4"/>
        <v>167.63008565916982</v>
      </c>
      <c r="H46" s="72">
        <f t="shared" ca="1" si="5"/>
        <v>936.74530943990737</v>
      </c>
      <c r="I46" s="72">
        <f t="shared" ca="1" si="6"/>
        <v>938.78142122272664</v>
      </c>
      <c r="J46" s="72">
        <f t="shared" ca="1" si="7"/>
        <v>169.66619744198908</v>
      </c>
      <c r="K46" s="72"/>
    </row>
    <row r="47" spans="1:11" x14ac:dyDescent="0.3">
      <c r="A47" s="30">
        <v>33</v>
      </c>
      <c r="B47" s="72">
        <f t="shared" ca="1" si="0"/>
        <v>0.18472906193117034</v>
      </c>
      <c r="C47" s="72">
        <f t="shared" ca="1" si="0"/>
        <v>0.94747057287564052</v>
      </c>
      <c r="D47" s="72">
        <f t="shared" ca="1" si="1"/>
        <v>5.1058695409683423</v>
      </c>
      <c r="E47" s="72">
        <f t="shared" ca="1" si="2"/>
        <v>65.475149994686149</v>
      </c>
      <c r="F47" s="72">
        <f t="shared" ca="1" si="3"/>
        <v>774.22109332170589</v>
      </c>
      <c r="G47" s="72">
        <f t="shared" ca="1" si="4"/>
        <v>164.56032790102074</v>
      </c>
      <c r="H47" s="72">
        <f t="shared" ca="1" si="5"/>
        <v>938.78142122272664</v>
      </c>
      <c r="I47" s="72">
        <f t="shared" ca="1" si="6"/>
        <v>1004.2565712174128</v>
      </c>
      <c r="J47" s="72">
        <f t="shared" ca="1" si="7"/>
        <v>230.03547789570689</v>
      </c>
      <c r="K47" s="72"/>
    </row>
    <row r="48" spans="1:11" x14ac:dyDescent="0.3">
      <c r="A48" s="30">
        <v>34</v>
      </c>
      <c r="B48" s="72">
        <f t="shared" ca="1" si="0"/>
        <v>0.10276118149724345</v>
      </c>
      <c r="C48" s="72">
        <f t="shared" ca="1" si="0"/>
        <v>0.2206343304291063</v>
      </c>
      <c r="D48" s="72">
        <f t="shared" ca="1" si="1"/>
        <v>2.710830274903024</v>
      </c>
      <c r="E48" s="72">
        <f t="shared" ca="1" si="2"/>
        <v>5.5394429844619673</v>
      </c>
      <c r="F48" s="72">
        <f t="shared" ca="1" si="3"/>
        <v>776.93192359660895</v>
      </c>
      <c r="G48" s="72">
        <f t="shared" ca="1" si="4"/>
        <v>227.32464762080383</v>
      </c>
      <c r="H48" s="72">
        <f t="shared" ca="1" si="5"/>
        <v>1004.2565712174128</v>
      </c>
      <c r="I48" s="72">
        <f t="shared" ca="1" si="6"/>
        <v>1009.7960142018748</v>
      </c>
      <c r="J48" s="72">
        <f t="shared" ca="1" si="7"/>
        <v>232.8640906052658</v>
      </c>
      <c r="K48" s="72"/>
    </row>
    <row r="49" spans="1:11" x14ac:dyDescent="0.3">
      <c r="A49" s="30">
        <v>35</v>
      </c>
      <c r="B49" s="72">
        <f t="shared" ca="1" si="0"/>
        <v>0.10889441205697037</v>
      </c>
      <c r="C49" s="72">
        <f t="shared" ca="1" si="0"/>
        <v>0.41861036844335375</v>
      </c>
      <c r="D49" s="72">
        <f t="shared" ca="1" si="1"/>
        <v>2.8823088386480928</v>
      </c>
      <c r="E49" s="72">
        <f t="shared" ca="1" si="2"/>
        <v>12.051869435472922</v>
      </c>
      <c r="F49" s="72">
        <f t="shared" ca="1" si="3"/>
        <v>779.81423243525705</v>
      </c>
      <c r="G49" s="72">
        <f t="shared" ca="1" si="4"/>
        <v>229.9817817666177</v>
      </c>
      <c r="H49" s="72">
        <f t="shared" ca="1" si="5"/>
        <v>1009.7960142018748</v>
      </c>
      <c r="I49" s="72">
        <f t="shared" ca="1" si="6"/>
        <v>1021.8478836373476</v>
      </c>
      <c r="J49" s="72">
        <f t="shared" ca="1" si="7"/>
        <v>242.0336512020906</v>
      </c>
      <c r="K49" s="72"/>
    </row>
    <row r="50" spans="1:11" x14ac:dyDescent="0.3">
      <c r="A50" s="30">
        <v>36</v>
      </c>
      <c r="B50" s="72">
        <f t="shared" ca="1" si="0"/>
        <v>0.48740885377056176</v>
      </c>
      <c r="C50" s="72">
        <f t="shared" ca="1" si="0"/>
        <v>0.35565189816267229</v>
      </c>
      <c r="D50" s="72">
        <f t="shared" ca="1" si="1"/>
        <v>16.706918437025241</v>
      </c>
      <c r="E50" s="72">
        <f t="shared" ca="1" si="2"/>
        <v>9.7670259579696133</v>
      </c>
      <c r="F50" s="72">
        <f t="shared" ca="1" si="3"/>
        <v>796.52115087228231</v>
      </c>
      <c r="G50" s="72">
        <f t="shared" ca="1" si="4"/>
        <v>225.32673276506534</v>
      </c>
      <c r="H50" s="72">
        <f t="shared" ca="1" si="5"/>
        <v>1021.8478836373476</v>
      </c>
      <c r="I50" s="73">
        <f t="shared" ca="1" si="6"/>
        <v>1031.6149095953172</v>
      </c>
      <c r="J50" s="72">
        <f t="shared" ca="1" si="7"/>
        <v>235.09375872303485</v>
      </c>
      <c r="K50" s="72"/>
    </row>
    <row r="51" spans="1:11" ht="18.600000000000001" x14ac:dyDescent="0.3">
      <c r="D51" s="8" t="s">
        <v>197</v>
      </c>
      <c r="E51" s="8" t="s">
        <v>197</v>
      </c>
      <c r="G51" s="8" t="s">
        <v>200</v>
      </c>
      <c r="J51" s="8" t="s">
        <v>201</v>
      </c>
    </row>
    <row r="52" spans="1:11" x14ac:dyDescent="0.3">
      <c r="D52" s="75">
        <f ca="1">AVERAGE(D15:D50)</f>
        <v>22.125587524230063</v>
      </c>
      <c r="E52" s="75">
        <f ca="1">AVERAGE(E15:E50)</f>
        <v>25.603254690167649</v>
      </c>
      <c r="G52" s="75">
        <f ca="1">AVERAGE(G15:G50)</f>
        <v>114.53702559136799</v>
      </c>
      <c r="J52" s="75">
        <f ca="1">AVERAGE(J15:J50)</f>
        <v>140.14028028153567</v>
      </c>
    </row>
    <row r="53" spans="1:11" ht="17.399999999999999" x14ac:dyDescent="0.3">
      <c r="D53" s="3" t="s">
        <v>198</v>
      </c>
      <c r="E53" s="6" t="s">
        <v>199</v>
      </c>
      <c r="G53" s="8" t="s">
        <v>202</v>
      </c>
      <c r="J53" s="8" t="s">
        <v>203</v>
      </c>
    </row>
    <row r="54" spans="1:11" x14ac:dyDescent="0.3">
      <c r="D54" s="75">
        <f ca="1">1/D52</f>
        <v>4.5196539929386506E-2</v>
      </c>
      <c r="E54" s="75">
        <f ca="1">1/E52</f>
        <v>3.9057534368239027E-2</v>
      </c>
      <c r="G54" s="75">
        <f ca="1">SUM(G15:G50)/$I$50</f>
        <v>3.9969691043984161</v>
      </c>
      <c r="J54" s="75">
        <f ca="1">SUM(J15:J50)/$I$50</f>
        <v>4.8904392939748815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601" r:id="rId3" name="CommandButton1">
          <controlPr defaultSize="0" autoLine="0" r:id="rId4">
            <anchor moveWithCells="1">
              <from>
                <xdr:col>10</xdr:col>
                <xdr:colOff>464820</xdr:colOff>
                <xdr:row>1</xdr:row>
                <xdr:rowOff>60960</xdr:rowOff>
              </from>
              <to>
                <xdr:col>11</xdr:col>
                <xdr:colOff>495300</xdr:colOff>
                <xdr:row>3</xdr:row>
                <xdr:rowOff>144780</xdr:rowOff>
              </to>
            </anchor>
          </controlPr>
        </control>
      </mc:Choice>
      <mc:Fallback>
        <control shapeId="25601" r:id="rId3" name="CommandButton1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/>
  <dimension ref="A2:N68"/>
  <sheetViews>
    <sheetView topLeftCell="C1" workbookViewId="0">
      <selection activeCell="C1" sqref="C1"/>
    </sheetView>
  </sheetViews>
  <sheetFormatPr defaultRowHeight="14.4" x14ac:dyDescent="0.3"/>
  <cols>
    <col min="2" max="2" width="11.44140625" customWidth="1"/>
    <col min="3" max="3" width="11.5546875" customWidth="1"/>
    <col min="4" max="4" width="12.6640625" customWidth="1"/>
    <col min="5" max="5" width="14.5546875" customWidth="1"/>
    <col min="6" max="6" width="13.88671875" customWidth="1"/>
    <col min="7" max="7" width="9.5546875" customWidth="1"/>
    <col min="8" max="8" width="12.88671875" customWidth="1"/>
    <col min="9" max="9" width="14.6640625" customWidth="1"/>
    <col min="10" max="10" width="13.44140625" customWidth="1"/>
    <col min="11" max="11" width="9.6640625" customWidth="1"/>
    <col min="12" max="12" width="9.5546875" bestFit="1" customWidth="1"/>
  </cols>
  <sheetData>
    <row r="2" spans="1:11" ht="43.2" x14ac:dyDescent="0.3">
      <c r="E2" s="2" t="s">
        <v>1</v>
      </c>
      <c r="F2" s="3" t="s">
        <v>2</v>
      </c>
      <c r="G2" s="85">
        <v>0.04</v>
      </c>
      <c r="I2" s="5" t="s">
        <v>3</v>
      </c>
      <c r="J2" s="6" t="s">
        <v>4</v>
      </c>
      <c r="K2" s="42">
        <v>4.4999999999999998E-2</v>
      </c>
    </row>
    <row r="6" spans="1:11" x14ac:dyDescent="0.3">
      <c r="E6" t="s">
        <v>6</v>
      </c>
    </row>
    <row r="7" spans="1:11" ht="18.600000000000001" x14ac:dyDescent="0.3">
      <c r="E7" s="8" t="s">
        <v>7</v>
      </c>
      <c r="F7" s="7" t="s">
        <v>8</v>
      </c>
    </row>
    <row r="8" spans="1:11" ht="18.600000000000001" x14ac:dyDescent="0.3">
      <c r="E8" s="8" t="s">
        <v>9</v>
      </c>
      <c r="F8" s="7" t="s">
        <v>10</v>
      </c>
    </row>
    <row r="9" spans="1:11" ht="18" x14ac:dyDescent="0.3">
      <c r="E9" s="9" t="s">
        <v>11</v>
      </c>
      <c r="F9" s="7" t="s">
        <v>12</v>
      </c>
    </row>
    <row r="10" spans="1:11" ht="18.600000000000001" x14ac:dyDescent="0.3">
      <c r="E10" s="8" t="s">
        <v>13</v>
      </c>
      <c r="F10" s="7" t="s">
        <v>14</v>
      </c>
    </row>
    <row r="11" spans="1:11" ht="18" x14ac:dyDescent="0.3">
      <c r="E11" s="9" t="s">
        <v>15</v>
      </c>
      <c r="F11" s="7" t="s">
        <v>16</v>
      </c>
    </row>
    <row r="12" spans="1:11" ht="18.600000000000001" x14ac:dyDescent="0.3">
      <c r="E12" s="8" t="s">
        <v>17</v>
      </c>
      <c r="F12" s="7" t="s">
        <v>18</v>
      </c>
    </row>
    <row r="14" spans="1:11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</row>
    <row r="15" spans="1:11" x14ac:dyDescent="0.3">
      <c r="A15" s="30">
        <v>1</v>
      </c>
      <c r="B15" s="72">
        <f ca="1">RAND()</f>
        <v>0.16924652208120183</v>
      </c>
      <c r="C15" s="72">
        <f ca="1">RAND()</f>
        <v>0.62280277730995093</v>
      </c>
      <c r="D15" s="72">
        <f ca="1">(1/$G$2)*LN(1/(1-B15))</f>
        <v>4.6355546318887235</v>
      </c>
      <c r="E15" s="72">
        <f ca="1">(1/$K$2)*LN(1/(1-C15))</f>
        <v>21.666379804750136</v>
      </c>
      <c r="F15" s="72">
        <f ca="1">D15</f>
        <v>4.6355546318887235</v>
      </c>
      <c r="G15" s="72">
        <v>0</v>
      </c>
      <c r="H15" s="72">
        <f ca="1">F15+G15</f>
        <v>4.6355546318887235</v>
      </c>
      <c r="I15" s="72">
        <f ca="1">H15+E15</f>
        <v>26.301934436638859</v>
      </c>
      <c r="J15" s="72">
        <f ca="1">I15-F15</f>
        <v>21.666379804750136</v>
      </c>
    </row>
    <row r="16" spans="1:11" x14ac:dyDescent="0.3">
      <c r="A16" s="30">
        <v>2</v>
      </c>
      <c r="B16" s="72">
        <f ca="1">RAND()</f>
        <v>0.88436181728397101</v>
      </c>
      <c r="C16" s="72">
        <f ca="1">RAND()</f>
        <v>0.12473797145515642</v>
      </c>
      <c r="D16" s="72">
        <f ca="1">(1/$G$2)*LN(1/(1-B16))</f>
        <v>53.932226924233241</v>
      </c>
      <c r="E16" s="72">
        <f ca="1">(1/$K$2)*LN(1/(1-C16))</f>
        <v>2.9607105835548762</v>
      </c>
      <c r="F16" s="72">
        <f ca="1">F15+D16</f>
        <v>58.567781556121965</v>
      </c>
      <c r="G16" s="72">
        <f ca="1">IF(I15&gt;F16,I15-F16,0)</f>
        <v>0</v>
      </c>
      <c r="H16" s="72">
        <f ca="1">F16+G16</f>
        <v>58.567781556121965</v>
      </c>
      <c r="I16" s="72">
        <f ca="1">H16+E16</f>
        <v>61.528492139676842</v>
      </c>
      <c r="J16" s="72">
        <f ca="1">I16-F16</f>
        <v>2.9607105835548779</v>
      </c>
    </row>
    <row r="17" spans="1:14" x14ac:dyDescent="0.3">
      <c r="A17" s="30">
        <v>3</v>
      </c>
      <c r="B17" s="72">
        <f t="shared" ref="B17:C64" ca="1" si="0">RAND()</f>
        <v>0.11941821973944755</v>
      </c>
      <c r="C17" s="72">
        <f t="shared" ca="1" si="0"/>
        <v>0.72459259317304203</v>
      </c>
      <c r="D17" s="72">
        <f t="shared" ref="D17:D64" ca="1" si="1">(1/$G$2)*LN(1/(1-B17))</f>
        <v>3.1793119004246124</v>
      </c>
      <c r="E17" s="72">
        <f t="shared" ref="E17:E64" ca="1" si="2">(1/$K$2)*LN(1/(1-C17))</f>
        <v>28.655639961171872</v>
      </c>
      <c r="F17" s="72">
        <f t="shared" ref="F17:F64" ca="1" si="3">F16+D17</f>
        <v>61.74709345654658</v>
      </c>
      <c r="G17" s="72">
        <f t="shared" ref="G17:G64" ca="1" si="4">IF(I16&gt;F17,I16-F17,0)</f>
        <v>0</v>
      </c>
      <c r="H17" s="72">
        <f t="shared" ref="H17:H64" ca="1" si="5">F17+G17</f>
        <v>61.74709345654658</v>
      </c>
      <c r="I17" s="72">
        <f t="shared" ref="I17:I64" ca="1" si="6">H17+E17</f>
        <v>90.402733417718451</v>
      </c>
      <c r="J17" s="72">
        <f t="shared" ref="J17:J64" ca="1" si="7">I17-F17</f>
        <v>28.655639961171872</v>
      </c>
    </row>
    <row r="18" spans="1:14" x14ac:dyDescent="0.3">
      <c r="A18" s="30">
        <v>4</v>
      </c>
      <c r="B18" s="72">
        <f t="shared" ca="1" si="0"/>
        <v>2.647812893438406E-2</v>
      </c>
      <c r="C18" s="72">
        <f t="shared" ca="1" si="0"/>
        <v>0.9939597182137776</v>
      </c>
      <c r="D18" s="72">
        <f t="shared" ca="1" si="1"/>
        <v>0.67087469990866722</v>
      </c>
      <c r="E18" s="72">
        <f t="shared" ca="1" si="2"/>
        <v>113.54010255056815</v>
      </c>
      <c r="F18" s="72">
        <f t="shared" ca="1" si="3"/>
        <v>62.417968156455245</v>
      </c>
      <c r="G18" s="72">
        <f t="shared" ca="1" si="4"/>
        <v>27.984765261263206</v>
      </c>
      <c r="H18" s="72">
        <f t="shared" ca="1" si="5"/>
        <v>90.402733417718451</v>
      </c>
      <c r="I18" s="72">
        <f t="shared" ca="1" si="6"/>
        <v>203.9428359682866</v>
      </c>
      <c r="J18" s="72">
        <f t="shared" ca="1" si="7"/>
        <v>141.52486781183137</v>
      </c>
    </row>
    <row r="19" spans="1:14" x14ac:dyDescent="0.3">
      <c r="A19" s="30">
        <v>5</v>
      </c>
      <c r="B19" s="72">
        <f t="shared" ca="1" si="0"/>
        <v>0.58858262883694279</v>
      </c>
      <c r="C19" s="72">
        <f t="shared" ca="1" si="0"/>
        <v>0.22634600893705825</v>
      </c>
      <c r="D19" s="72">
        <f t="shared" ca="1" si="1"/>
        <v>22.203676953639427</v>
      </c>
      <c r="E19" s="72">
        <f t="shared" ca="1" si="2"/>
        <v>5.7029010069983679</v>
      </c>
      <c r="F19" s="72">
        <f t="shared" ca="1" si="3"/>
        <v>84.621645110094676</v>
      </c>
      <c r="G19" s="72">
        <f t="shared" ca="1" si="4"/>
        <v>119.32119085819193</v>
      </c>
      <c r="H19" s="72">
        <f t="shared" ca="1" si="5"/>
        <v>203.9428359682866</v>
      </c>
      <c r="I19" s="72">
        <f t="shared" ca="1" si="6"/>
        <v>209.64573697528496</v>
      </c>
      <c r="J19" s="72">
        <f t="shared" ca="1" si="7"/>
        <v>125.02409186519029</v>
      </c>
    </row>
    <row r="20" spans="1:14" x14ac:dyDescent="0.3">
      <c r="A20" s="30">
        <v>6</v>
      </c>
      <c r="B20" s="72">
        <f t="shared" ca="1" si="0"/>
        <v>0.36893554769914738</v>
      </c>
      <c r="C20" s="72">
        <f t="shared" ca="1" si="0"/>
        <v>0.32607268454048322</v>
      </c>
      <c r="D20" s="72">
        <f t="shared" ca="1" si="1"/>
        <v>11.5086819637411</v>
      </c>
      <c r="E20" s="72">
        <f t="shared" ca="1" si="2"/>
        <v>8.7696225433234858</v>
      </c>
      <c r="F20" s="72">
        <f t="shared" ca="1" si="3"/>
        <v>96.130327073835772</v>
      </c>
      <c r="G20" s="72">
        <f t="shared" ca="1" si="4"/>
        <v>113.51540990144919</v>
      </c>
      <c r="H20" s="72">
        <f t="shared" ca="1" si="5"/>
        <v>209.64573697528496</v>
      </c>
      <c r="I20" s="72">
        <f t="shared" ca="1" si="6"/>
        <v>218.41535951860845</v>
      </c>
      <c r="J20" s="72">
        <f t="shared" ca="1" si="7"/>
        <v>122.28503244477268</v>
      </c>
    </row>
    <row r="21" spans="1:14" x14ac:dyDescent="0.3">
      <c r="A21" s="30">
        <v>7</v>
      </c>
      <c r="B21" s="72">
        <f t="shared" ca="1" si="0"/>
        <v>0.31187625634154348</v>
      </c>
      <c r="C21" s="72">
        <f t="shared" ca="1" si="0"/>
        <v>4.4683098390220999E-2</v>
      </c>
      <c r="D21" s="72">
        <f t="shared" ca="1" si="1"/>
        <v>9.3446649313242904</v>
      </c>
      <c r="E21" s="72">
        <f t="shared" ca="1" si="2"/>
        <v>1.0158257644403312</v>
      </c>
      <c r="F21" s="72">
        <f t="shared" ca="1" si="3"/>
        <v>105.47499200516006</v>
      </c>
      <c r="G21" s="72">
        <f t="shared" ca="1" si="4"/>
        <v>112.94036751344839</v>
      </c>
      <c r="H21" s="72">
        <f t="shared" ca="1" si="5"/>
        <v>218.41535951860845</v>
      </c>
      <c r="I21" s="72">
        <f t="shared" ca="1" si="6"/>
        <v>219.43118528304879</v>
      </c>
      <c r="J21" s="72">
        <f t="shared" ca="1" si="7"/>
        <v>113.95619327788873</v>
      </c>
    </row>
    <row r="22" spans="1:14" x14ac:dyDescent="0.3">
      <c r="A22" s="30">
        <v>8</v>
      </c>
      <c r="B22" s="72">
        <f t="shared" ca="1" si="0"/>
        <v>1.1422417396290685E-3</v>
      </c>
      <c r="C22" s="72">
        <f t="shared" ca="1" si="0"/>
        <v>0.47369199493039693</v>
      </c>
      <c r="D22" s="72">
        <f t="shared" ca="1" si="1"/>
        <v>2.8572364872949969E-2</v>
      </c>
      <c r="E22" s="72">
        <f t="shared" ca="1" si="2"/>
        <v>14.2637483699895</v>
      </c>
      <c r="F22" s="72">
        <f t="shared" ca="1" si="3"/>
        <v>105.503564370033</v>
      </c>
      <c r="G22" s="72">
        <f t="shared" ca="1" si="4"/>
        <v>113.92762091301579</v>
      </c>
      <c r="H22" s="72">
        <f t="shared" ca="1" si="5"/>
        <v>219.43118528304879</v>
      </c>
      <c r="I22" s="72">
        <f t="shared" ca="1" si="6"/>
        <v>233.69493365303828</v>
      </c>
      <c r="J22" s="72">
        <f t="shared" ca="1" si="7"/>
        <v>128.19136928300526</v>
      </c>
    </row>
    <row r="23" spans="1:14" x14ac:dyDescent="0.3">
      <c r="A23" s="30">
        <v>9</v>
      </c>
      <c r="B23" s="72">
        <f t="shared" ca="1" si="0"/>
        <v>0.76993546857250583</v>
      </c>
      <c r="C23" s="72">
        <f t="shared" ca="1" si="0"/>
        <v>4.1090469204932978E-3</v>
      </c>
      <c r="D23" s="72">
        <f t="shared" ca="1" si="1"/>
        <v>36.734885949696384</v>
      </c>
      <c r="E23" s="72">
        <f t="shared" ca="1" si="2"/>
        <v>9.1500272252813181E-2</v>
      </c>
      <c r="F23" s="72">
        <f t="shared" ca="1" si="3"/>
        <v>142.2384503197294</v>
      </c>
      <c r="G23" s="72">
        <f t="shared" ca="1" si="4"/>
        <v>91.456483333308881</v>
      </c>
      <c r="H23" s="72">
        <f t="shared" ca="1" si="5"/>
        <v>233.69493365303828</v>
      </c>
      <c r="I23" s="72">
        <f t="shared" ca="1" si="6"/>
        <v>233.78643392529108</v>
      </c>
      <c r="J23" s="72">
        <f t="shared" ca="1" si="7"/>
        <v>91.547983605561683</v>
      </c>
    </row>
    <row r="24" spans="1:14" x14ac:dyDescent="0.3">
      <c r="A24" s="30">
        <v>10</v>
      </c>
      <c r="B24" s="72">
        <f t="shared" ca="1" si="0"/>
        <v>0.97587535146059257</v>
      </c>
      <c r="C24" s="72">
        <f t="shared" ca="1" si="0"/>
        <v>0.28262275372213519</v>
      </c>
      <c r="D24" s="72">
        <f t="shared" ca="1" si="1"/>
        <v>93.113030004448106</v>
      </c>
      <c r="E24" s="72">
        <f t="shared" ca="1" si="2"/>
        <v>7.3811873624920583</v>
      </c>
      <c r="F24" s="72">
        <f t="shared" ca="1" si="3"/>
        <v>235.35148032417749</v>
      </c>
      <c r="G24" s="72">
        <f t="shared" ca="1" si="4"/>
        <v>0</v>
      </c>
      <c r="H24" s="72">
        <f t="shared" ca="1" si="5"/>
        <v>235.35148032417749</v>
      </c>
      <c r="I24" s="72">
        <f t="shared" ca="1" si="6"/>
        <v>242.73266768666954</v>
      </c>
      <c r="J24" s="72">
        <f t="shared" ca="1" si="7"/>
        <v>7.3811873624920565</v>
      </c>
    </row>
    <row r="25" spans="1:14" x14ac:dyDescent="0.3">
      <c r="A25" s="30">
        <v>11</v>
      </c>
      <c r="B25" s="72">
        <f t="shared" ca="1" si="0"/>
        <v>0.59495870433496112</v>
      </c>
      <c r="C25" s="72">
        <f t="shared" ca="1" si="0"/>
        <v>0.6850693994185576</v>
      </c>
      <c r="D25" s="72">
        <f t="shared" ca="1" si="1"/>
        <v>22.594156311715015</v>
      </c>
      <c r="E25" s="72">
        <f t="shared" ca="1" si="2"/>
        <v>25.675621778756057</v>
      </c>
      <c r="F25" s="72">
        <f t="shared" ca="1" si="3"/>
        <v>257.94563663589253</v>
      </c>
      <c r="G25" s="72">
        <f t="shared" ca="1" si="4"/>
        <v>0</v>
      </c>
      <c r="H25" s="72">
        <f t="shared" ca="1" si="5"/>
        <v>257.94563663589253</v>
      </c>
      <c r="I25" s="72">
        <f t="shared" ca="1" si="6"/>
        <v>283.62125841464859</v>
      </c>
      <c r="J25" s="72">
        <f t="shared" ca="1" si="7"/>
        <v>25.675621778756067</v>
      </c>
    </row>
    <row r="26" spans="1:14" x14ac:dyDescent="0.3">
      <c r="A26" s="30">
        <v>12</v>
      </c>
      <c r="B26" s="72">
        <f t="shared" ca="1" si="0"/>
        <v>0.67032986075308287</v>
      </c>
      <c r="C26" s="72">
        <f t="shared" ca="1" si="0"/>
        <v>0.3973523185865151</v>
      </c>
      <c r="D26" s="72">
        <f t="shared" ca="1" si="1"/>
        <v>27.741567561813657</v>
      </c>
      <c r="E26" s="72">
        <f t="shared" ca="1" si="2"/>
        <v>11.253833983860455</v>
      </c>
      <c r="F26" s="72">
        <f t="shared" ca="1" si="3"/>
        <v>285.68720419770619</v>
      </c>
      <c r="G26" s="72">
        <f t="shared" ca="1" si="4"/>
        <v>0</v>
      </c>
      <c r="H26" s="72">
        <f t="shared" ca="1" si="5"/>
        <v>285.68720419770619</v>
      </c>
      <c r="I26" s="72">
        <f t="shared" ca="1" si="6"/>
        <v>296.94103818156663</v>
      </c>
      <c r="J26" s="72">
        <f t="shared" ca="1" si="7"/>
        <v>11.253833983860432</v>
      </c>
    </row>
    <row r="27" spans="1:14" x14ac:dyDescent="0.3">
      <c r="A27" s="30">
        <v>13</v>
      </c>
      <c r="B27" s="72">
        <f t="shared" ca="1" si="0"/>
        <v>0.41950021000129678</v>
      </c>
      <c r="C27" s="72">
        <f t="shared" ca="1" si="0"/>
        <v>0.55591678163567926</v>
      </c>
      <c r="D27" s="72">
        <f t="shared" ca="1" si="1"/>
        <v>13.596645990089904</v>
      </c>
      <c r="E27" s="72">
        <f t="shared" ca="1" si="2"/>
        <v>18.038740119200344</v>
      </c>
      <c r="F27" s="72">
        <f t="shared" ca="1" si="3"/>
        <v>299.28385018779608</v>
      </c>
      <c r="G27" s="72">
        <f t="shared" ca="1" si="4"/>
        <v>0</v>
      </c>
      <c r="H27" s="72">
        <f t="shared" ca="1" si="5"/>
        <v>299.28385018779608</v>
      </c>
      <c r="I27" s="72">
        <f t="shared" ca="1" si="6"/>
        <v>317.3225903069964</v>
      </c>
      <c r="J27" s="72">
        <f t="shared" ca="1" si="7"/>
        <v>18.038740119200327</v>
      </c>
    </row>
    <row r="28" spans="1:14" x14ac:dyDescent="0.3">
      <c r="A28" s="30">
        <v>14</v>
      </c>
      <c r="B28" s="72">
        <f t="shared" ca="1" si="0"/>
        <v>0.37194192849355046</v>
      </c>
      <c r="C28" s="72">
        <f t="shared" ca="1" si="0"/>
        <v>0.24826474826336198</v>
      </c>
      <c r="D28" s="72">
        <f t="shared" ca="1" si="1"/>
        <v>11.628066155935125</v>
      </c>
      <c r="E28" s="72">
        <f t="shared" ca="1" si="2"/>
        <v>6.3415794640093539</v>
      </c>
      <c r="F28" s="72">
        <f t="shared" ca="1" si="3"/>
        <v>310.91191634373121</v>
      </c>
      <c r="G28" s="72">
        <f t="shared" ca="1" si="4"/>
        <v>6.4106739632651966</v>
      </c>
      <c r="H28" s="72">
        <f t="shared" ca="1" si="5"/>
        <v>317.3225903069964</v>
      </c>
      <c r="I28" s="72">
        <f t="shared" ca="1" si="6"/>
        <v>323.66416977100573</v>
      </c>
      <c r="J28" s="72">
        <f t="shared" ca="1" si="7"/>
        <v>12.752253427274525</v>
      </c>
    </row>
    <row r="29" spans="1:14" x14ac:dyDescent="0.3">
      <c r="A29" s="30">
        <v>15</v>
      </c>
      <c r="B29" s="72">
        <f t="shared" ca="1" si="0"/>
        <v>0.30223766199784252</v>
      </c>
      <c r="C29" s="72">
        <f t="shared" ca="1" si="0"/>
        <v>0.36529745284990101</v>
      </c>
      <c r="D29" s="72">
        <f t="shared" ca="1" si="1"/>
        <v>8.9969181041972757</v>
      </c>
      <c r="E29" s="72">
        <f t="shared" ca="1" si="2"/>
        <v>10.102195989373058</v>
      </c>
      <c r="F29" s="72">
        <f t="shared" ca="1" si="3"/>
        <v>319.90883444792848</v>
      </c>
      <c r="G29" s="72">
        <f t="shared" ca="1" si="4"/>
        <v>3.7553353230772473</v>
      </c>
      <c r="H29" s="72">
        <f t="shared" ca="1" si="5"/>
        <v>323.66416977100573</v>
      </c>
      <c r="I29" s="72">
        <f t="shared" ca="1" si="6"/>
        <v>333.76636576037879</v>
      </c>
      <c r="J29" s="72">
        <f t="shared" ca="1" si="7"/>
        <v>13.857531312450305</v>
      </c>
    </row>
    <row r="30" spans="1:14" x14ac:dyDescent="0.3">
      <c r="A30" s="30">
        <v>16</v>
      </c>
      <c r="B30" s="72">
        <f t="shared" ca="1" si="0"/>
        <v>0.11006992264445681</v>
      </c>
      <c r="C30" s="72">
        <f t="shared" ca="1" si="0"/>
        <v>0.51857169690316385</v>
      </c>
      <c r="D30" s="72">
        <f t="shared" ca="1" si="1"/>
        <v>2.9153096027844323</v>
      </c>
      <c r="E30" s="72">
        <f t="shared" ca="1" si="2"/>
        <v>16.244399156818233</v>
      </c>
      <c r="F30" s="72">
        <f t="shared" ca="1" si="3"/>
        <v>322.8241440507129</v>
      </c>
      <c r="G30" s="72">
        <f t="shared" ca="1" si="4"/>
        <v>10.942221709665887</v>
      </c>
      <c r="H30" s="72">
        <f t="shared" ca="1" si="5"/>
        <v>333.76636576037879</v>
      </c>
      <c r="I30" s="72">
        <f t="shared" ca="1" si="6"/>
        <v>350.01076491719704</v>
      </c>
      <c r="J30" s="72">
        <f t="shared" ca="1" si="7"/>
        <v>27.186620866484134</v>
      </c>
      <c r="M30" t="s">
        <v>210</v>
      </c>
    </row>
    <row r="31" spans="1:14" x14ac:dyDescent="0.3">
      <c r="A31" s="30">
        <v>17</v>
      </c>
      <c r="B31" s="72">
        <f t="shared" ca="1" si="0"/>
        <v>0.67201689603671966</v>
      </c>
      <c r="C31" s="72">
        <f t="shared" ca="1" si="0"/>
        <v>0.45386362929828072</v>
      </c>
      <c r="D31" s="72">
        <f t="shared" ca="1" si="1"/>
        <v>27.869829605796749</v>
      </c>
      <c r="E31" s="72">
        <f t="shared" ca="1" si="2"/>
        <v>13.44192380517562</v>
      </c>
      <c r="F31" s="72">
        <f t="shared" ca="1" si="3"/>
        <v>350.69397365650963</v>
      </c>
      <c r="G31" s="72">
        <f t="shared" ca="1" si="4"/>
        <v>0</v>
      </c>
      <c r="H31" s="72">
        <f t="shared" ca="1" si="5"/>
        <v>350.69397365650963</v>
      </c>
      <c r="I31" s="72">
        <f t="shared" ca="1" si="6"/>
        <v>364.13589746168526</v>
      </c>
      <c r="J31" s="72">
        <f t="shared" ca="1" si="7"/>
        <v>13.441923805175634</v>
      </c>
      <c r="K31" s="76" t="s">
        <v>206</v>
      </c>
      <c r="L31" s="78">
        <f ca="1">MAX(J15:J64)</f>
        <v>210.0569775763264</v>
      </c>
      <c r="M31" s="79">
        <f ca="1">$L$32</f>
        <v>2.9607105835548779</v>
      </c>
      <c r="N31" s="30">
        <f t="array" aca="1" ref="N31:N39" ca="1">FREQUENCY(J15:J64,M31:M38)</f>
        <v>1</v>
      </c>
    </row>
    <row r="32" spans="1:14" x14ac:dyDescent="0.3">
      <c r="A32" s="30">
        <v>18</v>
      </c>
      <c r="B32" s="72">
        <f t="shared" ca="1" si="0"/>
        <v>0.51204259666441898</v>
      </c>
      <c r="C32" s="72">
        <f t="shared" ca="1" si="0"/>
        <v>0.45014345611492679</v>
      </c>
      <c r="D32" s="72">
        <f t="shared" ca="1" si="1"/>
        <v>17.938179129639771</v>
      </c>
      <c r="E32" s="72">
        <f t="shared" ca="1" si="2"/>
        <v>13.291063646163671</v>
      </c>
      <c r="F32" s="72">
        <f t="shared" ca="1" si="3"/>
        <v>368.63215278614939</v>
      </c>
      <c r="G32" s="72">
        <f t="shared" ca="1" si="4"/>
        <v>0</v>
      </c>
      <c r="H32" s="72">
        <f t="shared" ca="1" si="5"/>
        <v>368.63215278614939</v>
      </c>
      <c r="I32" s="72">
        <f t="shared" ca="1" si="6"/>
        <v>381.92321643231304</v>
      </c>
      <c r="J32" s="72">
        <f t="shared" ca="1" si="7"/>
        <v>13.29106364616365</v>
      </c>
      <c r="K32" s="76" t="s">
        <v>207</v>
      </c>
      <c r="L32" s="78">
        <f ca="1">MIN(J15:J64)</f>
        <v>2.9607105835548779</v>
      </c>
      <c r="M32" s="79">
        <f t="shared" ref="M32:M38" ca="1" si="8">M31+$L$34</f>
        <v>32.545891582522238</v>
      </c>
      <c r="N32" s="30">
        <f ca="1"/>
        <v>12</v>
      </c>
    </row>
    <row r="33" spans="1:14" x14ac:dyDescent="0.3">
      <c r="A33" s="30">
        <v>19</v>
      </c>
      <c r="B33" s="72">
        <f t="shared" ca="1" si="0"/>
        <v>1.314145281181156E-2</v>
      </c>
      <c r="C33" s="72">
        <f t="shared" ca="1" si="0"/>
        <v>0.28079713091599112</v>
      </c>
      <c r="D33" s="72">
        <f t="shared" ca="1" si="1"/>
        <v>0.33071414345296252</v>
      </c>
      <c r="E33" s="72">
        <f t="shared" ca="1" si="2"/>
        <v>7.3247068124724128</v>
      </c>
      <c r="F33" s="72">
        <f t="shared" ca="1" si="3"/>
        <v>368.96286692960234</v>
      </c>
      <c r="G33" s="72">
        <f t="shared" ca="1" si="4"/>
        <v>12.960349502710699</v>
      </c>
      <c r="H33" s="72">
        <f t="shared" ca="1" si="5"/>
        <v>381.92321643231304</v>
      </c>
      <c r="I33" s="72">
        <f t="shared" ca="1" si="6"/>
        <v>389.24792324478545</v>
      </c>
      <c r="J33" s="72">
        <f t="shared" ca="1" si="7"/>
        <v>20.285056315183112</v>
      </c>
      <c r="K33" s="76" t="s">
        <v>209</v>
      </c>
      <c r="L33" s="78">
        <f>INT(SQRT(ROWS(J15:J64))+1)</f>
        <v>8</v>
      </c>
      <c r="M33" s="79">
        <f t="shared" ca="1" si="8"/>
        <v>62.131072581489597</v>
      </c>
      <c r="N33" s="30">
        <f ca="1"/>
        <v>0</v>
      </c>
    </row>
    <row r="34" spans="1:14" x14ac:dyDescent="0.3">
      <c r="A34" s="30">
        <v>20</v>
      </c>
      <c r="B34" s="72">
        <f t="shared" ca="1" si="0"/>
        <v>4.4654257987498336E-2</v>
      </c>
      <c r="C34" s="72">
        <f t="shared" ca="1" si="0"/>
        <v>0.99851173891158584</v>
      </c>
      <c r="D34" s="72">
        <f t="shared" ca="1" si="1"/>
        <v>1.1420492624696255</v>
      </c>
      <c r="E34" s="72">
        <f t="shared" ca="1" si="2"/>
        <v>144.66993100709075</v>
      </c>
      <c r="F34" s="72">
        <f t="shared" ca="1" si="3"/>
        <v>370.10491619207198</v>
      </c>
      <c r="G34" s="72">
        <f t="shared" ca="1" si="4"/>
        <v>19.143007052713472</v>
      </c>
      <c r="H34" s="72">
        <f t="shared" ca="1" si="5"/>
        <v>389.24792324478545</v>
      </c>
      <c r="I34" s="72">
        <f t="shared" ca="1" si="6"/>
        <v>533.91785425187618</v>
      </c>
      <c r="J34" s="72">
        <f t="shared" ca="1" si="7"/>
        <v>163.8129380598042</v>
      </c>
      <c r="K34" s="76" t="s">
        <v>208</v>
      </c>
      <c r="L34" s="78">
        <f ca="1">(L31-L32)/(L33-1)</f>
        <v>29.58518099896736</v>
      </c>
      <c r="M34" s="79">
        <f t="shared" ca="1" si="8"/>
        <v>91.716253580456964</v>
      </c>
      <c r="N34" s="30">
        <f ca="1"/>
        <v>7</v>
      </c>
    </row>
    <row r="35" spans="1:14" x14ac:dyDescent="0.3">
      <c r="A35" s="30">
        <v>21</v>
      </c>
      <c r="B35" s="72">
        <f t="shared" ca="1" si="0"/>
        <v>0.48437269401780625</v>
      </c>
      <c r="C35" s="72">
        <f t="shared" ca="1" si="0"/>
        <v>0.68605143408816349</v>
      </c>
      <c r="D35" s="72">
        <f t="shared" ca="1" si="1"/>
        <v>16.559276242382527</v>
      </c>
      <c r="E35" s="72">
        <f t="shared" ca="1" si="2"/>
        <v>25.745024651546188</v>
      </c>
      <c r="F35" s="72">
        <f t="shared" ca="1" si="3"/>
        <v>386.66419243445449</v>
      </c>
      <c r="G35" s="72">
        <f t="shared" ca="1" si="4"/>
        <v>147.25366181742169</v>
      </c>
      <c r="H35" s="72">
        <f t="shared" ca="1" si="5"/>
        <v>533.91785425187618</v>
      </c>
      <c r="I35" s="72">
        <f t="shared" ca="1" si="6"/>
        <v>559.66287890342232</v>
      </c>
      <c r="J35" s="72">
        <f t="shared" ca="1" si="7"/>
        <v>172.99868646896783</v>
      </c>
      <c r="M35" s="79">
        <f t="shared" ca="1" si="8"/>
        <v>121.30143457942432</v>
      </c>
      <c r="N35" s="30">
        <f ca="1"/>
        <v>8</v>
      </c>
    </row>
    <row r="36" spans="1:14" x14ac:dyDescent="0.3">
      <c r="A36" s="30">
        <v>22</v>
      </c>
      <c r="B36" s="72">
        <f t="shared" ca="1" si="0"/>
        <v>0.90857241106241871</v>
      </c>
      <c r="C36" s="72">
        <f t="shared" ca="1" si="0"/>
        <v>0.28093401524862838</v>
      </c>
      <c r="D36" s="72">
        <f t="shared" ca="1" si="1"/>
        <v>59.805199943416895</v>
      </c>
      <c r="E36" s="72">
        <f t="shared" ca="1" si="2"/>
        <v>7.3289367227005027</v>
      </c>
      <c r="F36" s="72">
        <f t="shared" ca="1" si="3"/>
        <v>446.46939237787137</v>
      </c>
      <c r="G36" s="72">
        <f t="shared" ca="1" si="4"/>
        <v>113.19348652555095</v>
      </c>
      <c r="H36" s="72">
        <f t="shared" ca="1" si="5"/>
        <v>559.66287890342232</v>
      </c>
      <c r="I36" s="72">
        <f t="shared" ca="1" si="6"/>
        <v>566.99181562612284</v>
      </c>
      <c r="J36" s="72">
        <f t="shared" ca="1" si="7"/>
        <v>120.52242324825147</v>
      </c>
      <c r="M36" s="79">
        <f t="shared" ca="1" si="8"/>
        <v>150.88661557839168</v>
      </c>
      <c r="N36" s="30">
        <f ca="1"/>
        <v>8</v>
      </c>
    </row>
    <row r="37" spans="1:14" x14ac:dyDescent="0.3">
      <c r="A37" s="30">
        <v>23</v>
      </c>
      <c r="B37" s="72">
        <f t="shared" ca="1" si="0"/>
        <v>0.64352548688863531</v>
      </c>
      <c r="C37" s="72">
        <f t="shared" ca="1" si="0"/>
        <v>0.55846433654339944</v>
      </c>
      <c r="D37" s="72">
        <f t="shared" ca="1" si="1"/>
        <v>25.787313341429773</v>
      </c>
      <c r="E37" s="72">
        <f t="shared" ca="1" si="2"/>
        <v>18.166588539318635</v>
      </c>
      <c r="F37" s="72">
        <f t="shared" ca="1" si="3"/>
        <v>472.25670571930112</v>
      </c>
      <c r="G37" s="72">
        <f t="shared" ca="1" si="4"/>
        <v>94.73510990682172</v>
      </c>
      <c r="H37" s="72">
        <f t="shared" ca="1" si="5"/>
        <v>566.99181562612284</v>
      </c>
      <c r="I37" s="72">
        <f t="shared" ca="1" si="6"/>
        <v>585.15840416544142</v>
      </c>
      <c r="J37" s="72">
        <f t="shared" ca="1" si="7"/>
        <v>112.9016984461403</v>
      </c>
      <c r="M37" s="79">
        <f t="shared" ca="1" si="8"/>
        <v>180.47179657735904</v>
      </c>
      <c r="N37" s="30">
        <f ca="1"/>
        <v>12</v>
      </c>
    </row>
    <row r="38" spans="1:14" x14ac:dyDescent="0.3">
      <c r="A38" s="30">
        <v>24</v>
      </c>
      <c r="B38" s="72">
        <f t="shared" ca="1" si="0"/>
        <v>0.29887811159570477</v>
      </c>
      <c r="C38" s="72">
        <f t="shared" ca="1" si="0"/>
        <v>0.56077424344982363</v>
      </c>
      <c r="D38" s="72">
        <f t="shared" ca="1" si="1"/>
        <v>8.8768382291924599</v>
      </c>
      <c r="E38" s="72">
        <f t="shared" ca="1" si="2"/>
        <v>18.283149917030983</v>
      </c>
      <c r="F38" s="72">
        <f t="shared" ca="1" si="3"/>
        <v>481.13354394849358</v>
      </c>
      <c r="G38" s="72">
        <f t="shared" ca="1" si="4"/>
        <v>104.02486021694784</v>
      </c>
      <c r="H38" s="72">
        <f t="shared" ca="1" si="5"/>
        <v>585.15840416544142</v>
      </c>
      <c r="I38" s="72">
        <f t="shared" ca="1" si="6"/>
        <v>603.44155408247241</v>
      </c>
      <c r="J38" s="72">
        <f t="shared" ca="1" si="7"/>
        <v>122.30801013397883</v>
      </c>
      <c r="M38" s="79">
        <f t="shared" ca="1" si="8"/>
        <v>210.0569775763264</v>
      </c>
      <c r="N38" s="30">
        <f ca="1"/>
        <v>2</v>
      </c>
    </row>
    <row r="39" spans="1:14" x14ac:dyDescent="0.3">
      <c r="A39" s="30">
        <v>25</v>
      </c>
      <c r="B39" s="72">
        <f t="shared" ca="1" si="0"/>
        <v>0.6479918067871141</v>
      </c>
      <c r="C39" s="72">
        <f t="shared" ca="1" si="0"/>
        <v>0.75638270368609606</v>
      </c>
      <c r="D39" s="72">
        <f t="shared" ca="1" si="1"/>
        <v>26.102520687048862</v>
      </c>
      <c r="E39" s="72">
        <f t="shared" ca="1" si="2"/>
        <v>31.381260949696525</v>
      </c>
      <c r="F39" s="72">
        <f t="shared" ca="1" si="3"/>
        <v>507.23606463554245</v>
      </c>
      <c r="G39" s="72">
        <f t="shared" ca="1" si="4"/>
        <v>96.20548944692996</v>
      </c>
      <c r="H39" s="72">
        <f t="shared" ca="1" si="5"/>
        <v>603.44155408247241</v>
      </c>
      <c r="I39" s="72">
        <f t="shared" ca="1" si="6"/>
        <v>634.82281503216893</v>
      </c>
      <c r="J39" s="72">
        <f t="shared" ca="1" si="7"/>
        <v>127.58675039662648</v>
      </c>
      <c r="M39" s="77"/>
      <c r="N39" s="30">
        <f ca="1"/>
        <v>0</v>
      </c>
    </row>
    <row r="40" spans="1:14" x14ac:dyDescent="0.3">
      <c r="A40" s="30">
        <v>26</v>
      </c>
      <c r="B40" s="72">
        <f t="shared" ca="1" si="0"/>
        <v>0.18524093585904911</v>
      </c>
      <c r="C40" s="72">
        <f t="shared" ca="1" si="0"/>
        <v>0.79288325227200129</v>
      </c>
      <c r="D40" s="72">
        <f t="shared" ca="1" si="1"/>
        <v>5.1215709067104012</v>
      </c>
      <c r="E40" s="72">
        <f t="shared" ca="1" si="2"/>
        <v>34.988281022628136</v>
      </c>
      <c r="F40" s="72">
        <f t="shared" ca="1" si="3"/>
        <v>512.35763554225286</v>
      </c>
      <c r="G40" s="72">
        <f t="shared" ca="1" si="4"/>
        <v>122.46517948991607</v>
      </c>
      <c r="H40" s="72">
        <f t="shared" ca="1" si="5"/>
        <v>634.82281503216893</v>
      </c>
      <c r="I40" s="72">
        <f t="shared" ca="1" si="6"/>
        <v>669.81109605479708</v>
      </c>
      <c r="J40" s="72">
        <f t="shared" ca="1" si="7"/>
        <v>157.45346051254421</v>
      </c>
      <c r="M40" s="77"/>
    </row>
    <row r="41" spans="1:14" x14ac:dyDescent="0.3">
      <c r="A41" s="30">
        <v>27</v>
      </c>
      <c r="B41" s="72">
        <f t="shared" ca="1" si="0"/>
        <v>0.97019389974670289</v>
      </c>
      <c r="C41" s="72">
        <f t="shared" ca="1" si="0"/>
        <v>0.62202157228635324</v>
      </c>
      <c r="D41" s="72">
        <f t="shared" ca="1" si="1"/>
        <v>87.826054998345299</v>
      </c>
      <c r="E41" s="72">
        <f t="shared" ca="1" si="2"/>
        <v>21.620403434037655</v>
      </c>
      <c r="F41" s="72">
        <f t="shared" ca="1" si="3"/>
        <v>600.18369054059815</v>
      </c>
      <c r="G41" s="72">
        <f t="shared" ca="1" si="4"/>
        <v>69.627405514198927</v>
      </c>
      <c r="H41" s="72">
        <f t="shared" ca="1" si="5"/>
        <v>669.81109605479708</v>
      </c>
      <c r="I41" s="72">
        <f t="shared" ca="1" si="6"/>
        <v>691.43149948883479</v>
      </c>
      <c r="J41" s="72">
        <f t="shared" ca="1" si="7"/>
        <v>91.247808948236639</v>
      </c>
      <c r="M41" s="77"/>
    </row>
    <row r="42" spans="1:14" x14ac:dyDescent="0.3">
      <c r="A42" s="30">
        <v>28</v>
      </c>
      <c r="B42" s="72">
        <f t="shared" ca="1" si="0"/>
        <v>0.51839844611561292</v>
      </c>
      <c r="C42" s="72">
        <f t="shared" ca="1" si="0"/>
        <v>6.8541414183210025E-2</v>
      </c>
      <c r="D42" s="72">
        <f t="shared" ca="1" si="1"/>
        <v>18.265953962215121</v>
      </c>
      <c r="E42" s="72">
        <f t="shared" ca="1" si="2"/>
        <v>1.5778566577667545</v>
      </c>
      <c r="F42" s="72">
        <f t="shared" ca="1" si="3"/>
        <v>618.44964450281327</v>
      </c>
      <c r="G42" s="72">
        <f t="shared" ca="1" si="4"/>
        <v>72.981854986021517</v>
      </c>
      <c r="H42" s="72">
        <f t="shared" ca="1" si="5"/>
        <v>691.43149948883479</v>
      </c>
      <c r="I42" s="72">
        <f t="shared" ca="1" si="6"/>
        <v>693.00935614660159</v>
      </c>
      <c r="J42" s="72">
        <f t="shared" ca="1" si="7"/>
        <v>74.559711643788319</v>
      </c>
      <c r="M42" s="77"/>
    </row>
    <row r="43" spans="1:14" x14ac:dyDescent="0.3">
      <c r="A43" s="30">
        <v>29</v>
      </c>
      <c r="B43" s="72">
        <f t="shared" ca="1" si="0"/>
        <v>0.25402202871232182</v>
      </c>
      <c r="C43" s="72">
        <f t="shared" ca="1" si="0"/>
        <v>0.55327887786305008</v>
      </c>
      <c r="D43" s="72">
        <f t="shared" ca="1" si="1"/>
        <v>7.3264802079839457</v>
      </c>
      <c r="E43" s="72">
        <f t="shared" ca="1" si="2"/>
        <v>17.907128153430445</v>
      </c>
      <c r="F43" s="72">
        <f t="shared" ca="1" si="3"/>
        <v>625.77612471079726</v>
      </c>
      <c r="G43" s="72">
        <f t="shared" ca="1" si="4"/>
        <v>67.233231435804328</v>
      </c>
      <c r="H43" s="72">
        <f t="shared" ca="1" si="5"/>
        <v>693.00935614660159</v>
      </c>
      <c r="I43" s="72">
        <f t="shared" ca="1" si="6"/>
        <v>710.91648430003204</v>
      </c>
      <c r="J43" s="72">
        <f t="shared" ca="1" si="7"/>
        <v>85.140359589234777</v>
      </c>
      <c r="M43" s="77"/>
    </row>
    <row r="44" spans="1:14" x14ac:dyDescent="0.3">
      <c r="A44" s="30">
        <v>30</v>
      </c>
      <c r="B44" s="72">
        <f t="shared" ca="1" si="0"/>
        <v>0.28884578798368377</v>
      </c>
      <c r="C44" s="72">
        <f t="shared" ca="1" si="0"/>
        <v>0.57743230861058348</v>
      </c>
      <c r="D44" s="72">
        <f t="shared" ca="1" si="1"/>
        <v>8.5216494539849919</v>
      </c>
      <c r="E44" s="72">
        <f t="shared" ca="1" si="2"/>
        <v>19.142347304707975</v>
      </c>
      <c r="F44" s="72">
        <f t="shared" ca="1" si="3"/>
        <v>634.29777416478225</v>
      </c>
      <c r="G44" s="72">
        <f t="shared" ca="1" si="4"/>
        <v>76.618710135249785</v>
      </c>
      <c r="H44" s="72">
        <f t="shared" ca="1" si="5"/>
        <v>710.91648430003204</v>
      </c>
      <c r="I44" s="72">
        <f t="shared" ca="1" si="6"/>
        <v>730.05883160474002</v>
      </c>
      <c r="J44" s="72">
        <f t="shared" ca="1" si="7"/>
        <v>95.761057439957767</v>
      </c>
    </row>
    <row r="45" spans="1:14" x14ac:dyDescent="0.3">
      <c r="A45" s="30">
        <v>31</v>
      </c>
      <c r="B45" s="72">
        <f t="shared" ca="1" si="0"/>
        <v>0.29746287805753535</v>
      </c>
      <c r="C45" s="72">
        <f t="shared" ca="1" si="0"/>
        <v>0.45494382447364967</v>
      </c>
      <c r="D45" s="72">
        <f t="shared" ca="1" si="1"/>
        <v>8.8264259136908212</v>
      </c>
      <c r="E45" s="72">
        <f t="shared" ca="1" si="2"/>
        <v>13.485920339342535</v>
      </c>
      <c r="F45" s="72">
        <f t="shared" ca="1" si="3"/>
        <v>643.12420007847311</v>
      </c>
      <c r="G45" s="72">
        <f t="shared" ca="1" si="4"/>
        <v>86.934631526266912</v>
      </c>
      <c r="H45" s="72">
        <f t="shared" ca="1" si="5"/>
        <v>730.05883160474002</v>
      </c>
      <c r="I45" s="72">
        <f t="shared" ca="1" si="6"/>
        <v>743.54475194408258</v>
      </c>
      <c r="J45" s="72">
        <f t="shared" ca="1" si="7"/>
        <v>100.42055186560947</v>
      </c>
    </row>
    <row r="46" spans="1:14" x14ac:dyDescent="0.3">
      <c r="A46" s="30">
        <v>32</v>
      </c>
      <c r="B46" s="72">
        <f t="shared" ca="1" si="0"/>
        <v>0.69078695885581631</v>
      </c>
      <c r="C46" s="72">
        <f t="shared" ca="1" si="0"/>
        <v>0.73569114850757156</v>
      </c>
      <c r="D46" s="72">
        <f t="shared" ca="1" si="1"/>
        <v>29.343119652681249</v>
      </c>
      <c r="E46" s="72">
        <f t="shared" ca="1" si="2"/>
        <v>29.569710391321259</v>
      </c>
      <c r="F46" s="72">
        <f t="shared" ca="1" si="3"/>
        <v>672.46731973115436</v>
      </c>
      <c r="G46" s="72">
        <f t="shared" ca="1" si="4"/>
        <v>71.077432212928215</v>
      </c>
      <c r="H46" s="72">
        <f t="shared" ca="1" si="5"/>
        <v>743.54475194408258</v>
      </c>
      <c r="I46" s="72">
        <f t="shared" ca="1" si="6"/>
        <v>773.1144623354038</v>
      </c>
      <c r="J46" s="72">
        <f t="shared" ca="1" si="7"/>
        <v>100.64714260424944</v>
      </c>
    </row>
    <row r="47" spans="1:14" x14ac:dyDescent="0.3">
      <c r="A47" s="30">
        <v>33</v>
      </c>
      <c r="B47" s="72">
        <f t="shared" ca="1" si="0"/>
        <v>0.19844462461744594</v>
      </c>
      <c r="C47" s="72">
        <f t="shared" ca="1" si="0"/>
        <v>0.12344252301533831</v>
      </c>
      <c r="D47" s="72">
        <f t="shared" ca="1" si="1"/>
        <v>5.530030490851968</v>
      </c>
      <c r="E47" s="72">
        <f t="shared" ca="1" si="2"/>
        <v>2.9278444711915337</v>
      </c>
      <c r="F47" s="72">
        <f t="shared" ca="1" si="3"/>
        <v>677.99735022200628</v>
      </c>
      <c r="G47" s="72">
        <f t="shared" ca="1" si="4"/>
        <v>95.117112113397525</v>
      </c>
      <c r="H47" s="72">
        <f t="shared" ca="1" si="5"/>
        <v>773.1144623354038</v>
      </c>
      <c r="I47" s="72">
        <f t="shared" ca="1" si="6"/>
        <v>776.04230680659532</v>
      </c>
      <c r="J47" s="72">
        <f t="shared" ca="1" si="7"/>
        <v>98.044956584589045</v>
      </c>
    </row>
    <row r="48" spans="1:14" x14ac:dyDescent="0.3">
      <c r="A48" s="30">
        <v>34</v>
      </c>
      <c r="B48" s="72">
        <f t="shared" ca="1" si="0"/>
        <v>0.64343831269633123</v>
      </c>
      <c r="C48" s="72">
        <f t="shared" ca="1" si="0"/>
        <v>1.5140535013765111E-2</v>
      </c>
      <c r="D48" s="72">
        <f t="shared" ca="1" si="1"/>
        <v>25.781200454546354</v>
      </c>
      <c r="E48" s="72">
        <f t="shared" ca="1" si="2"/>
        <v>0.33902940288872246</v>
      </c>
      <c r="F48" s="72">
        <f t="shared" ca="1" si="3"/>
        <v>703.77855067655264</v>
      </c>
      <c r="G48" s="72">
        <f t="shared" ca="1" si="4"/>
        <v>72.26375613004268</v>
      </c>
      <c r="H48" s="72">
        <f t="shared" ca="1" si="5"/>
        <v>776.04230680659532</v>
      </c>
      <c r="I48" s="72">
        <f t="shared" ca="1" si="6"/>
        <v>776.38133620948406</v>
      </c>
      <c r="J48" s="72">
        <f t="shared" ca="1" si="7"/>
        <v>72.602785532931421</v>
      </c>
    </row>
    <row r="49" spans="1:10" x14ac:dyDescent="0.3">
      <c r="A49" s="30">
        <v>35</v>
      </c>
      <c r="B49" s="72">
        <f t="shared" ca="1" si="0"/>
        <v>7.620750577223212E-2</v>
      </c>
      <c r="C49" s="72">
        <f t="shared" ca="1" si="0"/>
        <v>0.12049486730960068</v>
      </c>
      <c r="D49" s="72">
        <f t="shared" ca="1" si="1"/>
        <v>1.9816951476848581</v>
      </c>
      <c r="E49" s="72">
        <f t="shared" ca="1" si="2"/>
        <v>2.8532417533991969</v>
      </c>
      <c r="F49" s="72">
        <f t="shared" ca="1" si="3"/>
        <v>705.76024582423747</v>
      </c>
      <c r="G49" s="72">
        <f t="shared" ca="1" si="4"/>
        <v>70.621090385246589</v>
      </c>
      <c r="H49" s="72">
        <f t="shared" ca="1" si="5"/>
        <v>776.38133620948406</v>
      </c>
      <c r="I49" s="72">
        <f t="shared" ca="1" si="6"/>
        <v>779.23457796288324</v>
      </c>
      <c r="J49" s="72">
        <f t="shared" ca="1" si="7"/>
        <v>73.474332138645764</v>
      </c>
    </row>
    <row r="50" spans="1:10" x14ac:dyDescent="0.3">
      <c r="A50" s="30">
        <v>36</v>
      </c>
      <c r="B50" s="72">
        <f t="shared" ca="1" si="0"/>
        <v>2.2741367912373023E-2</v>
      </c>
      <c r="C50" s="72">
        <f t="shared" ca="1" si="0"/>
        <v>0.35196438545848674</v>
      </c>
      <c r="D50" s="72">
        <f t="shared" ca="1" si="1"/>
        <v>0.57509853272033873</v>
      </c>
      <c r="E50" s="72">
        <f t="shared" ca="1" si="2"/>
        <v>9.6402138539541156</v>
      </c>
      <c r="F50" s="72">
        <f t="shared" ca="1" si="3"/>
        <v>706.33534435695776</v>
      </c>
      <c r="G50" s="72">
        <f t="shared" ca="1" si="4"/>
        <v>72.899233605925474</v>
      </c>
      <c r="H50" s="72">
        <f t="shared" ca="1" si="5"/>
        <v>779.23457796288324</v>
      </c>
      <c r="I50" s="72">
        <f t="shared" ca="1" si="6"/>
        <v>788.87479181683739</v>
      </c>
      <c r="J50" s="72">
        <f t="shared" ca="1" si="7"/>
        <v>82.539447459879625</v>
      </c>
    </row>
    <row r="51" spans="1:10" x14ac:dyDescent="0.3">
      <c r="A51" s="30">
        <v>37</v>
      </c>
      <c r="B51" s="72">
        <f t="shared" ca="1" si="0"/>
        <v>0.14338336505962046</v>
      </c>
      <c r="C51" s="72">
        <f t="shared" ca="1" si="0"/>
        <v>0.76311114392803447</v>
      </c>
      <c r="D51" s="72">
        <f t="shared" ca="1" si="1"/>
        <v>3.8691198564955536</v>
      </c>
      <c r="E51" s="72">
        <f t="shared" ca="1" si="2"/>
        <v>32.003649101457988</v>
      </c>
      <c r="F51" s="72">
        <f t="shared" ca="1" si="3"/>
        <v>710.20446421345332</v>
      </c>
      <c r="G51" s="72">
        <f t="shared" ca="1" si="4"/>
        <v>78.670327603384067</v>
      </c>
      <c r="H51" s="72">
        <f t="shared" ca="1" si="5"/>
        <v>788.87479181683739</v>
      </c>
      <c r="I51" s="72">
        <f t="shared" ca="1" si="6"/>
        <v>820.87844091829538</v>
      </c>
      <c r="J51" s="72">
        <f t="shared" ca="1" si="7"/>
        <v>110.67397670484206</v>
      </c>
    </row>
    <row r="52" spans="1:10" x14ac:dyDescent="0.3">
      <c r="A52" s="30">
        <v>38</v>
      </c>
      <c r="B52" s="72">
        <f t="shared" ca="1" si="0"/>
        <v>0.70637953336424486</v>
      </c>
      <c r="C52" s="72">
        <f t="shared" ca="1" si="0"/>
        <v>0.91243827657187782</v>
      </c>
      <c r="D52" s="72">
        <f t="shared" ca="1" si="1"/>
        <v>30.636681885537655</v>
      </c>
      <c r="E52" s="72">
        <f t="shared" ca="1" si="2"/>
        <v>54.120251637701706</v>
      </c>
      <c r="F52" s="72">
        <f t="shared" ca="1" si="3"/>
        <v>740.84114609899098</v>
      </c>
      <c r="G52" s="72">
        <f t="shared" ca="1" si="4"/>
        <v>80.037294819304407</v>
      </c>
      <c r="H52" s="72">
        <f t="shared" ca="1" si="5"/>
        <v>820.87844091829538</v>
      </c>
      <c r="I52" s="72">
        <f t="shared" ca="1" si="6"/>
        <v>874.99869255599708</v>
      </c>
      <c r="J52" s="72">
        <f t="shared" ca="1" si="7"/>
        <v>134.15754645700611</v>
      </c>
    </row>
    <row r="53" spans="1:10" x14ac:dyDescent="0.3">
      <c r="A53" s="30">
        <v>39</v>
      </c>
      <c r="B53" s="72">
        <f t="shared" ca="1" si="0"/>
        <v>0.25166322122296803</v>
      </c>
      <c r="C53" s="72">
        <f t="shared" ca="1" si="0"/>
        <v>0.53486784334721427</v>
      </c>
      <c r="D53" s="72">
        <f t="shared" ca="1" si="1"/>
        <v>7.2475540832025276</v>
      </c>
      <c r="E53" s="72">
        <f t="shared" ca="1" si="2"/>
        <v>17.009637909305098</v>
      </c>
      <c r="F53" s="72">
        <f t="shared" ca="1" si="3"/>
        <v>748.08870018219352</v>
      </c>
      <c r="G53" s="72">
        <f t="shared" ca="1" si="4"/>
        <v>126.90999237380356</v>
      </c>
      <c r="H53" s="72">
        <f t="shared" ca="1" si="5"/>
        <v>874.99869255599708</v>
      </c>
      <c r="I53" s="72">
        <f t="shared" ca="1" si="6"/>
        <v>892.00833046530215</v>
      </c>
      <c r="J53" s="72">
        <f t="shared" ca="1" si="7"/>
        <v>143.91963028310863</v>
      </c>
    </row>
    <row r="54" spans="1:10" x14ac:dyDescent="0.3">
      <c r="A54" s="30">
        <v>40</v>
      </c>
      <c r="B54" s="72">
        <f t="shared" ca="1" si="0"/>
        <v>2.7211527373480759E-3</v>
      </c>
      <c r="C54" s="72">
        <f t="shared" ca="1" si="0"/>
        <v>0.39928862877401861</v>
      </c>
      <c r="D54" s="72">
        <f t="shared" ca="1" si="1"/>
        <v>6.8121545090247745E-2</v>
      </c>
      <c r="E54" s="72">
        <f t="shared" ca="1" si="2"/>
        <v>11.325349052151994</v>
      </c>
      <c r="F54" s="72">
        <f t="shared" ca="1" si="3"/>
        <v>748.15682172728373</v>
      </c>
      <c r="G54" s="72">
        <f t="shared" ca="1" si="4"/>
        <v>143.85150873801842</v>
      </c>
      <c r="H54" s="72">
        <f t="shared" ca="1" si="5"/>
        <v>892.00833046530215</v>
      </c>
      <c r="I54" s="72">
        <f t="shared" ca="1" si="6"/>
        <v>903.33367951745413</v>
      </c>
      <c r="J54" s="72">
        <f t="shared" ca="1" si="7"/>
        <v>155.1768577901704</v>
      </c>
    </row>
    <row r="55" spans="1:10" x14ac:dyDescent="0.3">
      <c r="A55" s="30">
        <v>41</v>
      </c>
      <c r="B55" s="72">
        <f t="shared" ca="1" si="0"/>
        <v>0.65913511242276546</v>
      </c>
      <c r="C55" s="72">
        <f t="shared" ca="1" si="0"/>
        <v>0.81035496537964891</v>
      </c>
      <c r="D55" s="72">
        <f t="shared" ca="1" si="1"/>
        <v>26.906727608245429</v>
      </c>
      <c r="E55" s="72">
        <f t="shared" ca="1" si="2"/>
        <v>36.946693177704937</v>
      </c>
      <c r="F55" s="72">
        <f t="shared" ca="1" si="3"/>
        <v>775.06354933552916</v>
      </c>
      <c r="G55" s="72">
        <f t="shared" ca="1" si="4"/>
        <v>128.27013018192497</v>
      </c>
      <c r="H55" s="72">
        <f t="shared" ca="1" si="5"/>
        <v>903.33367951745413</v>
      </c>
      <c r="I55" s="72">
        <f t="shared" ca="1" si="6"/>
        <v>940.28037269515903</v>
      </c>
      <c r="J55" s="72">
        <f t="shared" ca="1" si="7"/>
        <v>165.21682335962987</v>
      </c>
    </row>
    <row r="56" spans="1:10" x14ac:dyDescent="0.3">
      <c r="A56" s="30">
        <v>42</v>
      </c>
      <c r="B56" s="72">
        <f t="shared" ca="1" si="0"/>
        <v>0.18664173327525324</v>
      </c>
      <c r="C56" s="72">
        <f t="shared" ca="1" si="0"/>
        <v>0.37345945610728959</v>
      </c>
      <c r="D56" s="72">
        <f t="shared" ca="1" si="1"/>
        <v>5.1645898505941004</v>
      </c>
      <c r="E56" s="72">
        <f t="shared" ca="1" si="2"/>
        <v>10.389817596164159</v>
      </c>
      <c r="F56" s="72">
        <f t="shared" ca="1" si="3"/>
        <v>780.22813918612326</v>
      </c>
      <c r="G56" s="72">
        <f t="shared" ca="1" si="4"/>
        <v>160.05223350903577</v>
      </c>
      <c r="H56" s="72">
        <f t="shared" ca="1" si="5"/>
        <v>940.28037269515903</v>
      </c>
      <c r="I56" s="72">
        <f t="shared" ca="1" si="6"/>
        <v>950.67019029132314</v>
      </c>
      <c r="J56" s="72">
        <f t="shared" ca="1" si="7"/>
        <v>170.44205110519988</v>
      </c>
    </row>
    <row r="57" spans="1:10" x14ac:dyDescent="0.3">
      <c r="A57" s="30">
        <v>43</v>
      </c>
      <c r="B57" s="72">
        <f t="shared" ca="1" si="0"/>
        <v>0.5804878385986908</v>
      </c>
      <c r="C57" s="72">
        <f t="shared" ca="1" si="0"/>
        <v>0.48140459706814398</v>
      </c>
      <c r="D57" s="72">
        <f t="shared" ca="1" si="1"/>
        <v>21.716569081637598</v>
      </c>
      <c r="E57" s="72">
        <f t="shared" ca="1" si="2"/>
        <v>14.591806006625896</v>
      </c>
      <c r="F57" s="72">
        <f t="shared" ca="1" si="3"/>
        <v>801.9447082677608</v>
      </c>
      <c r="G57" s="72">
        <f t="shared" ca="1" si="4"/>
        <v>148.72548202356234</v>
      </c>
      <c r="H57" s="72">
        <f t="shared" ca="1" si="5"/>
        <v>950.67019029132314</v>
      </c>
      <c r="I57" s="72">
        <f t="shared" ca="1" si="6"/>
        <v>965.26199629794905</v>
      </c>
      <c r="J57" s="72">
        <f t="shared" ca="1" si="7"/>
        <v>163.31728803018825</v>
      </c>
    </row>
    <row r="58" spans="1:10" x14ac:dyDescent="0.3">
      <c r="A58" s="30">
        <v>44</v>
      </c>
      <c r="B58" s="72">
        <f t="shared" ca="1" si="0"/>
        <v>0.67504115948773513</v>
      </c>
      <c r="C58" s="72">
        <f t="shared" ca="1" si="0"/>
        <v>0.70816477752345031</v>
      </c>
      <c r="D58" s="72">
        <f t="shared" ca="1" si="1"/>
        <v>28.101418731253698</v>
      </c>
      <c r="E58" s="72">
        <f t="shared" ca="1" si="2"/>
        <v>27.368132057375576</v>
      </c>
      <c r="F58" s="72">
        <f t="shared" ca="1" si="3"/>
        <v>830.04612699901452</v>
      </c>
      <c r="G58" s="72">
        <f t="shared" ca="1" si="4"/>
        <v>135.21586929893454</v>
      </c>
      <c r="H58" s="72">
        <f t="shared" ca="1" si="5"/>
        <v>965.26199629794905</v>
      </c>
      <c r="I58" s="72">
        <f t="shared" ca="1" si="6"/>
        <v>992.63012835532459</v>
      </c>
      <c r="J58" s="72">
        <f t="shared" ca="1" si="7"/>
        <v>162.58400135631007</v>
      </c>
    </row>
    <row r="59" spans="1:10" x14ac:dyDescent="0.3">
      <c r="A59" s="30">
        <v>45</v>
      </c>
      <c r="B59" s="72">
        <f t="shared" ca="1" si="0"/>
        <v>0.26926976921139689</v>
      </c>
      <c r="C59" s="72">
        <f t="shared" ca="1" si="0"/>
        <v>0.25640932142072514</v>
      </c>
      <c r="D59" s="72">
        <f t="shared" ca="1" si="1"/>
        <v>7.8427732168432032</v>
      </c>
      <c r="E59" s="72">
        <f t="shared" ca="1" si="2"/>
        <v>6.5836568609833002</v>
      </c>
      <c r="F59" s="72">
        <f t="shared" ca="1" si="3"/>
        <v>837.88890021585769</v>
      </c>
      <c r="G59" s="72">
        <f t="shared" ca="1" si="4"/>
        <v>154.7412281394669</v>
      </c>
      <c r="H59" s="72">
        <f t="shared" ca="1" si="5"/>
        <v>992.63012835532459</v>
      </c>
      <c r="I59" s="72">
        <f t="shared" ca="1" si="6"/>
        <v>999.21378521630788</v>
      </c>
      <c r="J59" s="72">
        <f t="shared" ca="1" si="7"/>
        <v>161.32488500045019</v>
      </c>
    </row>
    <row r="60" spans="1:10" x14ac:dyDescent="0.3">
      <c r="A60" s="30">
        <v>46</v>
      </c>
      <c r="B60" s="72">
        <f t="shared" ca="1" si="0"/>
        <v>0.30197190006624552</v>
      </c>
      <c r="C60" s="72">
        <f t="shared" ca="1" si="0"/>
        <v>4.5235358994143438E-3</v>
      </c>
      <c r="D60" s="72">
        <f t="shared" ca="1" si="1"/>
        <v>8.9873979811334728</v>
      </c>
      <c r="E60" s="72">
        <f t="shared" ca="1" si="2"/>
        <v>0.10075106771305335</v>
      </c>
      <c r="F60" s="72">
        <f t="shared" ca="1" si="3"/>
        <v>846.87629819699112</v>
      </c>
      <c r="G60" s="72">
        <f t="shared" ca="1" si="4"/>
        <v>152.33748701931677</v>
      </c>
      <c r="H60" s="72">
        <f t="shared" ca="1" si="5"/>
        <v>999.21378521630788</v>
      </c>
      <c r="I60" s="72">
        <f t="shared" ca="1" si="6"/>
        <v>999.31453628402096</v>
      </c>
      <c r="J60" s="72">
        <f t="shared" ca="1" si="7"/>
        <v>152.43823808702984</v>
      </c>
    </row>
    <row r="61" spans="1:10" x14ac:dyDescent="0.3">
      <c r="A61" s="30">
        <v>47</v>
      </c>
      <c r="B61" s="72">
        <f t="shared" ca="1" si="0"/>
        <v>9.8922185205754909E-2</v>
      </c>
      <c r="C61" s="72">
        <f t="shared" ca="1" si="0"/>
        <v>0.23092352756110923</v>
      </c>
      <c r="D61" s="72">
        <f t="shared" ca="1" si="1"/>
        <v>2.6040915045390882</v>
      </c>
      <c r="E61" s="72">
        <f t="shared" ca="1" si="2"/>
        <v>5.8347748981546914</v>
      </c>
      <c r="F61" s="72">
        <f t="shared" ca="1" si="3"/>
        <v>849.48038970153016</v>
      </c>
      <c r="G61" s="72">
        <f t="shared" ca="1" si="4"/>
        <v>149.8341465824908</v>
      </c>
      <c r="H61" s="72">
        <f t="shared" ca="1" si="5"/>
        <v>999.31453628402096</v>
      </c>
      <c r="I61" s="72">
        <f t="shared" ca="1" si="6"/>
        <v>1005.1493111821757</v>
      </c>
      <c r="J61" s="72">
        <f t="shared" ca="1" si="7"/>
        <v>155.66892148064551</v>
      </c>
    </row>
    <row r="62" spans="1:10" x14ac:dyDescent="0.3">
      <c r="A62" s="30">
        <v>48</v>
      </c>
      <c r="B62" s="72">
        <f t="shared" ca="1" si="0"/>
        <v>0.18209388040390162</v>
      </c>
      <c r="C62" s="72">
        <f t="shared" ca="1" si="0"/>
        <v>0.72942009251974171</v>
      </c>
      <c r="D62" s="72">
        <f t="shared" ca="1" si="1"/>
        <v>5.0251929296423681</v>
      </c>
      <c r="E62" s="72">
        <f t="shared" ca="1" si="2"/>
        <v>29.048618171959387</v>
      </c>
      <c r="F62" s="72">
        <f t="shared" ca="1" si="3"/>
        <v>854.5055826311725</v>
      </c>
      <c r="G62" s="72">
        <f t="shared" ca="1" si="4"/>
        <v>150.64372855100316</v>
      </c>
      <c r="H62" s="72">
        <f t="shared" ca="1" si="5"/>
        <v>1005.1493111821757</v>
      </c>
      <c r="I62" s="72">
        <f t="shared" ca="1" si="6"/>
        <v>1034.1979293541351</v>
      </c>
      <c r="J62" s="72">
        <f t="shared" ca="1" si="7"/>
        <v>179.69234672296261</v>
      </c>
    </row>
    <row r="63" spans="1:10" x14ac:dyDescent="0.3">
      <c r="A63" s="30">
        <v>49</v>
      </c>
      <c r="B63" s="72">
        <f t="shared" ca="1" si="0"/>
        <v>0.85346099016572818</v>
      </c>
      <c r="C63" s="72">
        <f t="shared" ca="1" si="0"/>
        <v>0.9603939737331123</v>
      </c>
      <c r="D63" s="72">
        <f t="shared" ca="1" si="1"/>
        <v>48.011590180966842</v>
      </c>
      <c r="E63" s="72">
        <f t="shared" ca="1" si="2"/>
        <v>71.750533196509082</v>
      </c>
      <c r="F63" s="72">
        <f t="shared" ca="1" si="3"/>
        <v>902.51717281213939</v>
      </c>
      <c r="G63" s="72">
        <f t="shared" ca="1" si="4"/>
        <v>131.68075654199572</v>
      </c>
      <c r="H63" s="72">
        <f t="shared" ca="1" si="5"/>
        <v>1034.1979293541351</v>
      </c>
      <c r="I63" s="72">
        <f t="shared" ca="1" si="6"/>
        <v>1105.9484625506443</v>
      </c>
      <c r="J63" s="72">
        <f t="shared" ca="1" si="7"/>
        <v>203.43128973850492</v>
      </c>
    </row>
    <row r="64" spans="1:10" x14ac:dyDescent="0.3">
      <c r="A64" s="30">
        <v>50</v>
      </c>
      <c r="B64" s="72">
        <f t="shared" ca="1" si="0"/>
        <v>0.43682800589883208</v>
      </c>
      <c r="C64" s="72">
        <f t="shared" ca="1" si="0"/>
        <v>0.61096946008998232</v>
      </c>
      <c r="D64" s="72">
        <f t="shared" ca="1" si="1"/>
        <v>14.354255043939288</v>
      </c>
      <c r="E64" s="72">
        <f t="shared" ca="1" si="2"/>
        <v>20.979942881760675</v>
      </c>
      <c r="F64" s="72">
        <f t="shared" ca="1" si="3"/>
        <v>916.87142785607864</v>
      </c>
      <c r="G64" s="72">
        <f t="shared" ca="1" si="4"/>
        <v>189.07703469456567</v>
      </c>
      <c r="H64" s="72">
        <f t="shared" ca="1" si="5"/>
        <v>1105.9484625506443</v>
      </c>
      <c r="I64" s="73">
        <f t="shared" ca="1" si="6"/>
        <v>1126.928405432405</v>
      </c>
      <c r="J64" s="72">
        <f t="shared" ca="1" si="7"/>
        <v>210.0569775763264</v>
      </c>
    </row>
    <row r="65" spans="4:10" ht="18.600000000000001" x14ac:dyDescent="0.3">
      <c r="D65" s="8" t="s">
        <v>197</v>
      </c>
      <c r="E65" s="8" t="s">
        <v>204</v>
      </c>
      <c r="G65" s="8" t="s">
        <v>200</v>
      </c>
      <c r="J65" s="8" t="s">
        <v>201</v>
      </c>
    </row>
    <row r="66" spans="4:10" x14ac:dyDescent="0.3">
      <c r="D66" s="72">
        <f ca="1">AVERAGE(D15:D64)</f>
        <v>18.337428557121573</v>
      </c>
      <c r="E66" s="72">
        <f ca="1">AVERAGE(E15:E64)</f>
        <v>21.268843303259803</v>
      </c>
      <c r="G66" s="72">
        <f ca="1">AVERAGE(G15:G64)</f>
        <v>79.913137817151735</v>
      </c>
      <c r="J66" s="73">
        <f ca="1">AVERAGE(J15:J64)</f>
        <v>101.18198112041155</v>
      </c>
    </row>
    <row r="67" spans="4:10" ht="17.399999999999999" x14ac:dyDescent="0.3">
      <c r="D67" s="3" t="s">
        <v>198</v>
      </c>
      <c r="E67" s="6" t="s">
        <v>199</v>
      </c>
      <c r="G67" s="8" t="s">
        <v>202</v>
      </c>
      <c r="J67" s="8" t="s">
        <v>205</v>
      </c>
    </row>
    <row r="68" spans="4:10" x14ac:dyDescent="0.3">
      <c r="D68" s="72">
        <f ca="1">1/D66</f>
        <v>5.4533273129597951E-2</v>
      </c>
      <c r="E68" s="72">
        <f ca="1">1/E66</f>
        <v>4.7017131385171912E-2</v>
      </c>
      <c r="G68" s="72">
        <f ca="1">SUM(G15:G64)/$I$64</f>
        <v>3.5456173361114667</v>
      </c>
      <c r="J68" s="72">
        <f ca="1">SUM(J15:J64)/$I$64</f>
        <v>4.489281689620193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6625" r:id="rId3" name="CommandButton1">
          <controlPr defaultSize="0" autoLine="0" r:id="rId4">
            <anchor moveWithCells="1">
              <from>
                <xdr:col>11</xdr:col>
                <xdr:colOff>350520</xdr:colOff>
                <xdr:row>1</xdr:row>
                <xdr:rowOff>45720</xdr:rowOff>
              </from>
              <to>
                <xdr:col>12</xdr:col>
                <xdr:colOff>510540</xdr:colOff>
                <xdr:row>4</xdr:row>
                <xdr:rowOff>38100</xdr:rowOff>
              </to>
            </anchor>
          </controlPr>
        </control>
      </mc:Choice>
      <mc:Fallback>
        <control shapeId="26625" r:id="rId3" name="CommandButton1"/>
      </mc:Fallback>
    </mc:AlternateContent>
  </controls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3"/>
  <dimension ref="A2:AU1033"/>
  <sheetViews>
    <sheetView zoomScale="85" zoomScaleNormal="85" workbookViewId="0">
      <selection sqref="A1:J14"/>
    </sheetView>
  </sheetViews>
  <sheetFormatPr defaultRowHeight="14.4" x14ac:dyDescent="0.3"/>
  <cols>
    <col min="2" max="2" width="10.6640625" customWidth="1"/>
    <col min="3" max="3" width="10.44140625" customWidth="1"/>
    <col min="4" max="4" width="14.6640625" customWidth="1"/>
    <col min="5" max="5" width="14" customWidth="1"/>
    <col min="6" max="6" width="17.88671875" customWidth="1"/>
    <col min="7" max="7" width="15.44140625" customWidth="1"/>
    <col min="8" max="8" width="14.6640625" customWidth="1"/>
    <col min="9" max="9" width="12.88671875" customWidth="1"/>
    <col min="10" max="10" width="15.33203125" customWidth="1"/>
    <col min="12" max="12" width="15" customWidth="1"/>
    <col min="13" max="13" width="13.109375" customWidth="1"/>
    <col min="14" max="14" width="19.88671875" customWidth="1"/>
    <col min="15" max="15" width="12.88671875" customWidth="1"/>
    <col min="16" max="16" width="14.6640625" customWidth="1"/>
    <col min="17" max="17" width="12.88671875" customWidth="1"/>
    <col min="18" max="18" width="13.5546875" customWidth="1"/>
  </cols>
  <sheetData>
    <row r="2" spans="1:10" ht="43.2" x14ac:dyDescent="0.3">
      <c r="D2" s="2" t="s">
        <v>1</v>
      </c>
      <c r="E2" s="3" t="s">
        <v>2</v>
      </c>
      <c r="F2" s="4">
        <v>0.04</v>
      </c>
      <c r="H2" s="5" t="s">
        <v>3</v>
      </c>
      <c r="I2" s="6" t="s">
        <v>4</v>
      </c>
      <c r="J2" s="42">
        <v>4.4999999999999998E-2</v>
      </c>
    </row>
    <row r="6" spans="1:10" x14ac:dyDescent="0.3">
      <c r="D6" t="s">
        <v>6</v>
      </c>
    </row>
    <row r="7" spans="1:10" ht="18.600000000000001" x14ac:dyDescent="0.3">
      <c r="D7" s="8" t="s">
        <v>7</v>
      </c>
      <c r="E7" s="7" t="s">
        <v>8</v>
      </c>
    </row>
    <row r="8" spans="1:10" ht="18.600000000000001" x14ac:dyDescent="0.3">
      <c r="D8" s="8" t="s">
        <v>9</v>
      </c>
      <c r="E8" s="7" t="s">
        <v>10</v>
      </c>
    </row>
    <row r="9" spans="1:10" ht="18" x14ac:dyDescent="0.3">
      <c r="D9" s="9" t="s">
        <v>11</v>
      </c>
      <c r="E9" s="7" t="s">
        <v>12</v>
      </c>
    </row>
    <row r="10" spans="1:10" ht="18.600000000000001" x14ac:dyDescent="0.3">
      <c r="D10" s="8" t="s">
        <v>13</v>
      </c>
      <c r="E10" s="7" t="s">
        <v>14</v>
      </c>
    </row>
    <row r="11" spans="1:10" ht="18" x14ac:dyDescent="0.3">
      <c r="D11" s="9" t="s">
        <v>15</v>
      </c>
      <c r="E11" s="7" t="s">
        <v>16</v>
      </c>
    </row>
    <row r="12" spans="1:10" ht="18.600000000000001" x14ac:dyDescent="0.3">
      <c r="D12" s="8" t="s">
        <v>17</v>
      </c>
      <c r="E12" s="7" t="s">
        <v>18</v>
      </c>
    </row>
    <row r="14" spans="1:10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</row>
    <row r="15" spans="1:10" x14ac:dyDescent="0.3">
      <c r="A15" s="30">
        <v>1</v>
      </c>
      <c r="B15" s="72">
        <f ca="1">RAND()</f>
        <v>0.92884026099898098</v>
      </c>
      <c r="C15" s="72">
        <f ca="1">RAND()</f>
        <v>0.7740328544675078</v>
      </c>
      <c r="D15" s="72">
        <f ca="1">(1/$F$2)*LN(1/(1-B15))</f>
        <v>66.07070209919506</v>
      </c>
      <c r="E15" s="72">
        <f ca="1">(1/$J$2)*LN(1/(1-C15))</f>
        <v>33.052570311726079</v>
      </c>
      <c r="F15" s="72">
        <f ca="1">D15</f>
        <v>66.07070209919506</v>
      </c>
      <c r="G15" s="72">
        <v>0</v>
      </c>
      <c r="H15" s="72">
        <f ca="1">F15+G15</f>
        <v>66.07070209919506</v>
      </c>
      <c r="I15" s="72">
        <f ca="1">H15+E15</f>
        <v>99.123272410921146</v>
      </c>
      <c r="J15" s="72">
        <f ca="1">I15-F15</f>
        <v>33.052570311726086</v>
      </c>
    </row>
    <row r="16" spans="1:10" x14ac:dyDescent="0.3">
      <c r="A16" s="30">
        <v>2</v>
      </c>
      <c r="B16" s="72">
        <f ca="1">RAND()</f>
        <v>0.53009202371309294</v>
      </c>
      <c r="C16" s="72">
        <f ca="1">RAND()</f>
        <v>0.91996618491469206</v>
      </c>
      <c r="D16" s="72">
        <f ca="1">(1/$F$2)*LN(1/(1-B16))</f>
        <v>18.880459964566068</v>
      </c>
      <c r="E16" s="72">
        <f ca="1">(1/$J$2)*LN(1/(1-C16))</f>
        <v>56.117912112212288</v>
      </c>
      <c r="F16" s="72">
        <f ca="1">F15+D16</f>
        <v>84.951162063761132</v>
      </c>
      <c r="G16" s="72">
        <f ca="1">IF(I15&gt;F16,I15-F16,0)</f>
        <v>14.172110347160014</v>
      </c>
      <c r="H16" s="72">
        <f ca="1">F16+G16</f>
        <v>99.123272410921146</v>
      </c>
      <c r="I16" s="72">
        <f ca="1">H16+E16</f>
        <v>155.24118452313343</v>
      </c>
      <c r="J16" s="72">
        <f ca="1">I16-F16</f>
        <v>70.290022459372295</v>
      </c>
    </row>
    <row r="17" spans="1:10" x14ac:dyDescent="0.3">
      <c r="A17" s="30">
        <v>3</v>
      </c>
      <c r="B17" s="72">
        <f t="shared" ref="B17:C48" ca="1" si="0">RAND()</f>
        <v>0.34761151387601807</v>
      </c>
      <c r="C17" s="72">
        <f t="shared" ca="1" si="0"/>
        <v>0.69523839951576949</v>
      </c>
      <c r="D17" s="72">
        <f t="shared" ref="D17:D80" ca="1" si="1">(1/$F$2)*LN(1/(1-B17))</f>
        <v>10.677876422069131</v>
      </c>
      <c r="E17" s="72">
        <f t="shared" ref="E17:E80" ca="1" si="2">(1/$J$2)*LN(1/(1-C17))</f>
        <v>26.405009905986976</v>
      </c>
      <c r="F17" s="72">
        <f t="shared" ref="F17:F80" ca="1" si="3">F16+D17</f>
        <v>95.629038485830264</v>
      </c>
      <c r="G17" s="72">
        <f t="shared" ref="G17:G80" ca="1" si="4">IF(I16&gt;F17,I16-F17,0)</f>
        <v>59.612146037303162</v>
      </c>
      <c r="H17" s="72">
        <f t="shared" ref="H17:H80" ca="1" si="5">F17+G17</f>
        <v>155.24118452313343</v>
      </c>
      <c r="I17" s="72">
        <f t="shared" ref="I17:I80" ca="1" si="6">H17+E17</f>
        <v>181.64619442912041</v>
      </c>
      <c r="J17" s="72">
        <f t="shared" ref="J17:J80" ca="1" si="7">I17-F17</f>
        <v>86.017155943290149</v>
      </c>
    </row>
    <row r="18" spans="1:10" x14ac:dyDescent="0.3">
      <c r="A18" s="30">
        <v>4</v>
      </c>
      <c r="B18" s="72">
        <f t="shared" ca="1" si="0"/>
        <v>0.93720626082892255</v>
      </c>
      <c r="C18" s="72">
        <f t="shared" ca="1" si="0"/>
        <v>0.62331614941773517</v>
      </c>
      <c r="D18" s="72">
        <f t="shared" ca="1" si="1"/>
        <v>69.197497630147495</v>
      </c>
      <c r="E18" s="72">
        <f t="shared" ca="1" si="2"/>
        <v>21.696645243768998</v>
      </c>
      <c r="F18" s="72">
        <f t="shared" ca="1" si="3"/>
        <v>164.82653611597777</v>
      </c>
      <c r="G18" s="72">
        <f t="shared" ca="1" si="4"/>
        <v>16.819658313142639</v>
      </c>
      <c r="H18" s="72">
        <f t="shared" ca="1" si="5"/>
        <v>181.64619442912041</v>
      </c>
      <c r="I18" s="72">
        <f t="shared" ca="1" si="6"/>
        <v>203.3428396728894</v>
      </c>
      <c r="J18" s="72">
        <f t="shared" ca="1" si="7"/>
        <v>38.516303556911623</v>
      </c>
    </row>
    <row r="19" spans="1:10" x14ac:dyDescent="0.3">
      <c r="A19" s="30">
        <v>5</v>
      </c>
      <c r="B19" s="72">
        <f t="shared" ca="1" si="0"/>
        <v>0.30783002404515125</v>
      </c>
      <c r="C19" s="72">
        <f t="shared" ca="1" si="0"/>
        <v>0.98262510060510511</v>
      </c>
      <c r="D19" s="72">
        <f t="shared" ca="1" si="1"/>
        <v>9.1980930883504772</v>
      </c>
      <c r="E19" s="72">
        <f t="shared" ca="1" si="2"/>
        <v>90.060637283776018</v>
      </c>
      <c r="F19" s="72">
        <f t="shared" ca="1" si="3"/>
        <v>174.02462920432825</v>
      </c>
      <c r="G19" s="72">
        <f t="shared" ca="1" si="4"/>
        <v>29.318210468561148</v>
      </c>
      <c r="H19" s="72">
        <f t="shared" ca="1" si="5"/>
        <v>203.3428396728894</v>
      </c>
      <c r="I19" s="72">
        <f t="shared" ca="1" si="6"/>
        <v>293.40347695666543</v>
      </c>
      <c r="J19" s="72">
        <f t="shared" ca="1" si="7"/>
        <v>119.37884775233718</v>
      </c>
    </row>
    <row r="20" spans="1:10" x14ac:dyDescent="0.3">
      <c r="A20" s="30">
        <v>6</v>
      </c>
      <c r="B20" s="72">
        <f t="shared" ca="1" si="0"/>
        <v>0.24444107376039759</v>
      </c>
      <c r="C20" s="72">
        <f t="shared" ca="1" si="0"/>
        <v>0.11179822633217817</v>
      </c>
      <c r="D20" s="72">
        <f t="shared" ca="1" si="1"/>
        <v>7.0074375991158915</v>
      </c>
      <c r="E20" s="72">
        <f t="shared" ca="1" si="2"/>
        <v>2.6345853156047441</v>
      </c>
      <c r="F20" s="72">
        <f t="shared" ca="1" si="3"/>
        <v>181.03206680344414</v>
      </c>
      <c r="G20" s="72">
        <f t="shared" ca="1" si="4"/>
        <v>112.37141015322129</v>
      </c>
      <c r="H20" s="72">
        <f t="shared" ca="1" si="5"/>
        <v>293.40347695666543</v>
      </c>
      <c r="I20" s="72">
        <f t="shared" ca="1" si="6"/>
        <v>296.03806227227017</v>
      </c>
      <c r="J20" s="72">
        <f t="shared" ca="1" si="7"/>
        <v>115.00599546882603</v>
      </c>
    </row>
    <row r="21" spans="1:10" x14ac:dyDescent="0.3">
      <c r="A21" s="30">
        <v>7</v>
      </c>
      <c r="B21" s="72">
        <f t="shared" ca="1" si="0"/>
        <v>0.59988213345854946</v>
      </c>
      <c r="C21" s="72">
        <f t="shared" ca="1" si="0"/>
        <v>0.60029638107337568</v>
      </c>
      <c r="D21" s="72">
        <f t="shared" ca="1" si="1"/>
        <v>22.899902723153303</v>
      </c>
      <c r="E21" s="72">
        <f t="shared" ca="1" si="2"/>
        <v>20.378487982193469</v>
      </c>
      <c r="F21" s="72">
        <f t="shared" ca="1" si="3"/>
        <v>203.93196952659744</v>
      </c>
      <c r="G21" s="72">
        <f t="shared" ca="1" si="4"/>
        <v>92.106092745672726</v>
      </c>
      <c r="H21" s="72">
        <f t="shared" ca="1" si="5"/>
        <v>296.03806227227017</v>
      </c>
      <c r="I21" s="72">
        <f t="shared" ca="1" si="6"/>
        <v>316.41655025446363</v>
      </c>
      <c r="J21" s="72">
        <f t="shared" ca="1" si="7"/>
        <v>112.48458072786619</v>
      </c>
    </row>
    <row r="22" spans="1:10" x14ac:dyDescent="0.3">
      <c r="A22" s="30">
        <v>8</v>
      </c>
      <c r="B22" s="72">
        <f t="shared" ca="1" si="0"/>
        <v>0.88918667647826732</v>
      </c>
      <c r="C22" s="72">
        <f t="shared" ca="1" si="0"/>
        <v>0.54721091517487819</v>
      </c>
      <c r="D22" s="72">
        <f t="shared" ca="1" si="1"/>
        <v>54.997706587678074</v>
      </c>
      <c r="E22" s="72">
        <f t="shared" ca="1" si="2"/>
        <v>17.607307963006736</v>
      </c>
      <c r="F22" s="72">
        <f t="shared" ca="1" si="3"/>
        <v>258.92967611427554</v>
      </c>
      <c r="G22" s="72">
        <f t="shared" ca="1" si="4"/>
        <v>57.486874140188092</v>
      </c>
      <c r="H22" s="72">
        <f t="shared" ca="1" si="5"/>
        <v>316.41655025446363</v>
      </c>
      <c r="I22" s="72">
        <f t="shared" ca="1" si="6"/>
        <v>334.02385821747038</v>
      </c>
      <c r="J22" s="72">
        <f t="shared" ca="1" si="7"/>
        <v>75.094182103194839</v>
      </c>
    </row>
    <row r="23" spans="1:10" x14ac:dyDescent="0.3">
      <c r="A23" s="30">
        <v>9</v>
      </c>
      <c r="B23" s="72">
        <f t="shared" ca="1" si="0"/>
        <v>4.3030967180310076E-2</v>
      </c>
      <c r="C23" s="72">
        <f t="shared" ca="1" si="0"/>
        <v>0.3624222415883096</v>
      </c>
      <c r="D23" s="72">
        <f t="shared" ca="1" si="1"/>
        <v>1.0996061663212149</v>
      </c>
      <c r="E23" s="72">
        <f t="shared" ca="1" si="2"/>
        <v>10.001756342414545</v>
      </c>
      <c r="F23" s="72">
        <f t="shared" ca="1" si="3"/>
        <v>260.02928228059676</v>
      </c>
      <c r="G23" s="72">
        <f t="shared" ca="1" si="4"/>
        <v>73.994575936873616</v>
      </c>
      <c r="H23" s="72">
        <f t="shared" ca="1" si="5"/>
        <v>334.02385821747038</v>
      </c>
      <c r="I23" s="72">
        <f t="shared" ca="1" si="6"/>
        <v>344.0256145598849</v>
      </c>
      <c r="J23" s="72">
        <f t="shared" ca="1" si="7"/>
        <v>83.99633227928814</v>
      </c>
    </row>
    <row r="24" spans="1:10" x14ac:dyDescent="0.3">
      <c r="A24" s="30">
        <v>10</v>
      </c>
      <c r="B24" s="72">
        <f t="shared" ca="1" si="0"/>
        <v>0.77263673666451405</v>
      </c>
      <c r="C24" s="72">
        <f t="shared" ca="1" si="0"/>
        <v>0.26009028475528095</v>
      </c>
      <c r="D24" s="72">
        <f t="shared" ca="1" si="1"/>
        <v>37.030156539295731</v>
      </c>
      <c r="E24" s="72">
        <f t="shared" ca="1" si="2"/>
        <v>6.6939357034081404</v>
      </c>
      <c r="F24" s="72">
        <f t="shared" ca="1" si="3"/>
        <v>297.05943881989248</v>
      </c>
      <c r="G24" s="72">
        <f t="shared" ca="1" si="4"/>
        <v>46.966175739992423</v>
      </c>
      <c r="H24" s="72">
        <f t="shared" ca="1" si="5"/>
        <v>344.0256145598849</v>
      </c>
      <c r="I24" s="72">
        <f t="shared" ca="1" si="6"/>
        <v>350.71955026329306</v>
      </c>
      <c r="J24" s="72">
        <f t="shared" ca="1" si="7"/>
        <v>53.660111443400581</v>
      </c>
    </row>
    <row r="25" spans="1:10" x14ac:dyDescent="0.3">
      <c r="A25" s="30">
        <v>11</v>
      </c>
      <c r="B25" s="72">
        <f t="shared" ca="1" si="0"/>
        <v>0.59756481110485449</v>
      </c>
      <c r="C25" s="72">
        <f t="shared" ca="1" si="0"/>
        <v>0.66942237274685767</v>
      </c>
      <c r="D25" s="72">
        <f t="shared" ca="1" si="1"/>
        <v>22.755530411684337</v>
      </c>
      <c r="E25" s="72">
        <f t="shared" ca="1" si="2"/>
        <v>24.59808375656964</v>
      </c>
      <c r="F25" s="72">
        <f t="shared" ca="1" si="3"/>
        <v>319.81496923157681</v>
      </c>
      <c r="G25" s="72">
        <f t="shared" ca="1" si="4"/>
        <v>30.904581031716248</v>
      </c>
      <c r="H25" s="72">
        <f t="shared" ca="1" si="5"/>
        <v>350.71955026329306</v>
      </c>
      <c r="I25" s="72">
        <f t="shared" ca="1" si="6"/>
        <v>375.31763401986268</v>
      </c>
      <c r="J25" s="72">
        <f t="shared" ca="1" si="7"/>
        <v>55.50266478828587</v>
      </c>
    </row>
    <row r="26" spans="1:10" x14ac:dyDescent="0.3">
      <c r="A26" s="30">
        <v>12</v>
      </c>
      <c r="B26" s="72">
        <f t="shared" ca="1" si="0"/>
        <v>0.38599268189077496</v>
      </c>
      <c r="C26" s="72">
        <f t="shared" ca="1" si="0"/>
        <v>0.25591907714185214</v>
      </c>
      <c r="D26" s="72">
        <f t="shared" ca="1" si="1"/>
        <v>12.193710804033902</v>
      </c>
      <c r="E26" s="72">
        <f t="shared" ca="1" si="2"/>
        <v>6.5690107284737866</v>
      </c>
      <c r="F26" s="72">
        <f t="shared" ca="1" si="3"/>
        <v>332.00868003561072</v>
      </c>
      <c r="G26" s="72">
        <f t="shared" ca="1" si="4"/>
        <v>43.308953984251957</v>
      </c>
      <c r="H26" s="72">
        <f t="shared" ca="1" si="5"/>
        <v>375.31763401986268</v>
      </c>
      <c r="I26" s="72">
        <f t="shared" ca="1" si="6"/>
        <v>381.88664474833649</v>
      </c>
      <c r="J26" s="72">
        <f t="shared" ca="1" si="7"/>
        <v>49.87796471272577</v>
      </c>
    </row>
    <row r="27" spans="1:10" x14ac:dyDescent="0.3">
      <c r="A27" s="30">
        <v>13</v>
      </c>
      <c r="B27" s="72">
        <f t="shared" ca="1" si="0"/>
        <v>0.91001059718348642</v>
      </c>
      <c r="C27" s="72">
        <f t="shared" ca="1" si="0"/>
        <v>0.80802954481518297</v>
      </c>
      <c r="D27" s="72">
        <f t="shared" ca="1" si="1"/>
        <v>60.201584051692905</v>
      </c>
      <c r="E27" s="72">
        <f t="shared" ca="1" si="2"/>
        <v>36.675862178682799</v>
      </c>
      <c r="F27" s="72">
        <f t="shared" ca="1" si="3"/>
        <v>392.21026408730364</v>
      </c>
      <c r="G27" s="72">
        <f t="shared" ca="1" si="4"/>
        <v>0</v>
      </c>
      <c r="H27" s="72">
        <f t="shared" ca="1" si="5"/>
        <v>392.21026408730364</v>
      </c>
      <c r="I27" s="72">
        <f t="shared" ca="1" si="6"/>
        <v>428.88612626598643</v>
      </c>
      <c r="J27" s="72">
        <f t="shared" ca="1" si="7"/>
        <v>36.675862178682792</v>
      </c>
    </row>
    <row r="28" spans="1:10" x14ac:dyDescent="0.3">
      <c r="A28" s="30">
        <v>14</v>
      </c>
      <c r="B28" s="72">
        <f t="shared" ca="1" si="0"/>
        <v>0.10721598041316016</v>
      </c>
      <c r="C28" s="72">
        <f t="shared" ca="1" si="0"/>
        <v>0.57374811373771439</v>
      </c>
      <c r="D28" s="72">
        <f t="shared" ca="1" si="1"/>
        <v>2.8352646680892986</v>
      </c>
      <c r="E28" s="72">
        <f t="shared" ca="1" si="2"/>
        <v>18.949440558787508</v>
      </c>
      <c r="F28" s="72">
        <f t="shared" ca="1" si="3"/>
        <v>395.04552875539292</v>
      </c>
      <c r="G28" s="72">
        <f t="shared" ca="1" si="4"/>
        <v>33.840597510593511</v>
      </c>
      <c r="H28" s="72">
        <f t="shared" ca="1" si="5"/>
        <v>428.88612626598643</v>
      </c>
      <c r="I28" s="72">
        <f t="shared" ca="1" si="6"/>
        <v>447.83556682477393</v>
      </c>
      <c r="J28" s="72">
        <f t="shared" ca="1" si="7"/>
        <v>52.790038069381012</v>
      </c>
    </row>
    <row r="29" spans="1:10" x14ac:dyDescent="0.3">
      <c r="A29" s="30">
        <v>15</v>
      </c>
      <c r="B29" s="72">
        <f t="shared" ca="1" si="0"/>
        <v>0.37089439669803625</v>
      </c>
      <c r="C29" s="72">
        <f t="shared" ca="1" si="0"/>
        <v>0.77936646132004328</v>
      </c>
      <c r="D29" s="72">
        <f t="shared" ca="1" si="1"/>
        <v>11.58640363979101</v>
      </c>
      <c r="E29" s="72">
        <f t="shared" ca="1" si="2"/>
        <v>33.583381106919759</v>
      </c>
      <c r="F29" s="72">
        <f t="shared" ca="1" si="3"/>
        <v>406.63193239518392</v>
      </c>
      <c r="G29" s="72">
        <f t="shared" ca="1" si="4"/>
        <v>41.203634429590011</v>
      </c>
      <c r="H29" s="72">
        <f t="shared" ca="1" si="5"/>
        <v>447.83556682477393</v>
      </c>
      <c r="I29" s="72">
        <f t="shared" ca="1" si="6"/>
        <v>481.41894793169371</v>
      </c>
      <c r="J29" s="72">
        <f t="shared" ca="1" si="7"/>
        <v>74.787015536509784</v>
      </c>
    </row>
    <row r="30" spans="1:10" x14ac:dyDescent="0.3">
      <c r="A30" s="30">
        <v>16</v>
      </c>
      <c r="B30" s="72">
        <f t="shared" ca="1" si="0"/>
        <v>0.42100738498884738</v>
      </c>
      <c r="C30" s="72">
        <f t="shared" ca="1" si="0"/>
        <v>0.50036506932115732</v>
      </c>
      <c r="D30" s="72">
        <f t="shared" ca="1" si="1"/>
        <v>13.66163890551976</v>
      </c>
      <c r="E30" s="72">
        <f t="shared" ca="1" si="2"/>
        <v>15.419501908517685</v>
      </c>
      <c r="F30" s="72">
        <f t="shared" ca="1" si="3"/>
        <v>420.29357130070366</v>
      </c>
      <c r="G30" s="72">
        <f t="shared" ca="1" si="4"/>
        <v>61.125376630990047</v>
      </c>
      <c r="H30" s="72">
        <f t="shared" ca="1" si="5"/>
        <v>481.41894793169371</v>
      </c>
      <c r="I30" s="72">
        <f t="shared" ca="1" si="6"/>
        <v>496.83844984021141</v>
      </c>
      <c r="J30" s="72">
        <f t="shared" ca="1" si="7"/>
        <v>76.544878539507749</v>
      </c>
    </row>
    <row r="31" spans="1:10" x14ac:dyDescent="0.3">
      <c r="A31" s="30">
        <v>17</v>
      </c>
      <c r="B31" s="72">
        <f t="shared" ca="1" si="0"/>
        <v>0.30749293603341576</v>
      </c>
      <c r="C31" s="72">
        <f t="shared" ca="1" si="0"/>
        <v>0.20420897285046546</v>
      </c>
      <c r="D31" s="72">
        <f t="shared" ca="1" si="1"/>
        <v>9.1859210074725528</v>
      </c>
      <c r="E31" s="72">
        <f t="shared" ca="1" si="2"/>
        <v>5.0759701402458282</v>
      </c>
      <c r="F31" s="72">
        <f t="shared" ca="1" si="3"/>
        <v>429.47949230817619</v>
      </c>
      <c r="G31" s="72">
        <f t="shared" ca="1" si="4"/>
        <v>67.35895753203522</v>
      </c>
      <c r="H31" s="72">
        <f t="shared" ca="1" si="5"/>
        <v>496.83844984021141</v>
      </c>
      <c r="I31" s="72">
        <f t="shared" ca="1" si="6"/>
        <v>501.91441998045724</v>
      </c>
      <c r="J31" s="72">
        <f t="shared" ca="1" si="7"/>
        <v>72.434927672281049</v>
      </c>
    </row>
    <row r="32" spans="1:10" x14ac:dyDescent="0.3">
      <c r="A32" s="30">
        <v>18</v>
      </c>
      <c r="B32" s="72">
        <f t="shared" ca="1" si="0"/>
        <v>0.89395528814206249</v>
      </c>
      <c r="C32" s="72">
        <f t="shared" ca="1" si="0"/>
        <v>0.44956838890849538</v>
      </c>
      <c r="D32" s="72">
        <f t="shared" ca="1" si="1"/>
        <v>56.097361595658711</v>
      </c>
      <c r="E32" s="72">
        <f t="shared" ca="1" si="2"/>
        <v>13.267834690439944</v>
      </c>
      <c r="F32" s="72">
        <f t="shared" ca="1" si="3"/>
        <v>485.57685390383489</v>
      </c>
      <c r="G32" s="72">
        <f t="shared" ca="1" si="4"/>
        <v>16.337566076622352</v>
      </c>
      <c r="H32" s="72">
        <f t="shared" ca="1" si="5"/>
        <v>501.91441998045724</v>
      </c>
      <c r="I32" s="72">
        <f t="shared" ca="1" si="6"/>
        <v>515.18225467089724</v>
      </c>
      <c r="J32" s="72">
        <f t="shared" ca="1" si="7"/>
        <v>29.605400767062349</v>
      </c>
    </row>
    <row r="33" spans="1:10" x14ac:dyDescent="0.3">
      <c r="A33" s="30">
        <v>19</v>
      </c>
      <c r="B33" s="72">
        <f t="shared" ca="1" si="0"/>
        <v>0.51086561990652424</v>
      </c>
      <c r="C33" s="72">
        <f t="shared" ca="1" si="0"/>
        <v>0.29795193942767795</v>
      </c>
      <c r="D33" s="72">
        <f t="shared" ca="1" si="1"/>
        <v>17.877950533559162</v>
      </c>
      <c r="E33" s="72">
        <f t="shared" ca="1" si="2"/>
        <v>7.8611869988006831</v>
      </c>
      <c r="F33" s="72">
        <f t="shared" ca="1" si="3"/>
        <v>503.45480443739405</v>
      </c>
      <c r="G33" s="72">
        <f t="shared" ca="1" si="4"/>
        <v>11.727450233503191</v>
      </c>
      <c r="H33" s="72">
        <f t="shared" ca="1" si="5"/>
        <v>515.18225467089724</v>
      </c>
      <c r="I33" s="72">
        <f t="shared" ca="1" si="6"/>
        <v>523.04344166969793</v>
      </c>
      <c r="J33" s="72">
        <f t="shared" ca="1" si="7"/>
        <v>19.588637232303881</v>
      </c>
    </row>
    <row r="34" spans="1:10" x14ac:dyDescent="0.3">
      <c r="A34" s="30">
        <v>20</v>
      </c>
      <c r="B34" s="72">
        <f t="shared" ca="1" si="0"/>
        <v>0.45116971014265672</v>
      </c>
      <c r="C34" s="72">
        <f t="shared" ca="1" si="0"/>
        <v>0.4553410152091294</v>
      </c>
      <c r="D34" s="72">
        <f t="shared" ca="1" si="1"/>
        <v>14.9991502801197</v>
      </c>
      <c r="E34" s="72">
        <f t="shared" ca="1" si="2"/>
        <v>13.502119914241984</v>
      </c>
      <c r="F34" s="72">
        <f t="shared" ca="1" si="3"/>
        <v>518.45395471751374</v>
      </c>
      <c r="G34" s="72">
        <f t="shared" ca="1" si="4"/>
        <v>4.5894869521841883</v>
      </c>
      <c r="H34" s="72">
        <f t="shared" ca="1" si="5"/>
        <v>523.04344166969793</v>
      </c>
      <c r="I34" s="72">
        <f t="shared" ca="1" si="6"/>
        <v>536.54556158393996</v>
      </c>
      <c r="J34" s="72">
        <f t="shared" ca="1" si="7"/>
        <v>18.091606866426218</v>
      </c>
    </row>
    <row r="35" spans="1:10" x14ac:dyDescent="0.3">
      <c r="A35" s="30">
        <v>21</v>
      </c>
      <c r="B35" s="72">
        <f t="shared" ca="1" si="0"/>
        <v>0.68198006269875999</v>
      </c>
      <c r="C35" s="72">
        <f t="shared" ca="1" si="0"/>
        <v>0.9756937782475833</v>
      </c>
      <c r="D35" s="72">
        <f t="shared" ca="1" si="1"/>
        <v>28.641030056285448</v>
      </c>
      <c r="E35" s="72">
        <f t="shared" ca="1" si="2"/>
        <v>82.600509382532707</v>
      </c>
      <c r="F35" s="72">
        <f t="shared" ca="1" si="3"/>
        <v>547.09498477379918</v>
      </c>
      <c r="G35" s="72">
        <f t="shared" ca="1" si="4"/>
        <v>0</v>
      </c>
      <c r="H35" s="72">
        <f t="shared" ca="1" si="5"/>
        <v>547.09498477379918</v>
      </c>
      <c r="I35" s="72">
        <f t="shared" ca="1" si="6"/>
        <v>629.69549415633185</v>
      </c>
      <c r="J35" s="72">
        <f t="shared" ca="1" si="7"/>
        <v>82.600509382532664</v>
      </c>
    </row>
    <row r="36" spans="1:10" x14ac:dyDescent="0.3">
      <c r="A36" s="30">
        <v>22</v>
      </c>
      <c r="B36" s="72">
        <f t="shared" ca="1" si="0"/>
        <v>0.56892023858897256</v>
      </c>
      <c r="C36" s="72">
        <f t="shared" ca="1" si="0"/>
        <v>0.79137039161278866</v>
      </c>
      <c r="D36" s="72">
        <f t="shared" ca="1" si="1"/>
        <v>21.036553618040731</v>
      </c>
      <c r="E36" s="72">
        <f t="shared" ca="1" si="2"/>
        <v>34.82655128690125</v>
      </c>
      <c r="F36" s="72">
        <f t="shared" ca="1" si="3"/>
        <v>568.13153839183997</v>
      </c>
      <c r="G36" s="72">
        <f t="shared" ca="1" si="4"/>
        <v>61.56395576449188</v>
      </c>
      <c r="H36" s="72">
        <f t="shared" ca="1" si="5"/>
        <v>629.69549415633185</v>
      </c>
      <c r="I36" s="72">
        <f t="shared" ca="1" si="6"/>
        <v>664.52204544323308</v>
      </c>
      <c r="J36" s="72">
        <f t="shared" ca="1" si="7"/>
        <v>96.390507051393115</v>
      </c>
    </row>
    <row r="37" spans="1:10" x14ac:dyDescent="0.3">
      <c r="A37" s="30">
        <v>23</v>
      </c>
      <c r="B37" s="72">
        <f t="shared" ca="1" si="0"/>
        <v>0.67183897777591206</v>
      </c>
      <c r="C37" s="72">
        <f t="shared" ca="1" si="0"/>
        <v>2.1053312524679346E-2</v>
      </c>
      <c r="D37" s="72">
        <f t="shared" ca="1" si="1"/>
        <v>27.856271741139633</v>
      </c>
      <c r="E37" s="72">
        <f t="shared" ca="1" si="2"/>
        <v>0.472846534161178</v>
      </c>
      <c r="F37" s="72">
        <f t="shared" ca="1" si="3"/>
        <v>595.98781013297958</v>
      </c>
      <c r="G37" s="72">
        <f t="shared" ca="1" si="4"/>
        <v>68.534235310253507</v>
      </c>
      <c r="H37" s="72">
        <f t="shared" ca="1" si="5"/>
        <v>664.52204544323308</v>
      </c>
      <c r="I37" s="72">
        <f t="shared" ca="1" si="6"/>
        <v>664.99489197739422</v>
      </c>
      <c r="J37" s="72">
        <f t="shared" ca="1" si="7"/>
        <v>69.007081844414643</v>
      </c>
    </row>
    <row r="38" spans="1:10" x14ac:dyDescent="0.3">
      <c r="A38" s="30">
        <v>24</v>
      </c>
      <c r="B38" s="72">
        <f t="shared" ca="1" si="0"/>
        <v>0.46915239391388863</v>
      </c>
      <c r="C38" s="72">
        <f t="shared" ca="1" si="0"/>
        <v>0.32120039709509451</v>
      </c>
      <c r="D38" s="72">
        <f t="shared" ca="1" si="1"/>
        <v>15.832007327975639</v>
      </c>
      <c r="E38" s="72">
        <f t="shared" ca="1" si="2"/>
        <v>8.6095406803990358</v>
      </c>
      <c r="F38" s="72">
        <f t="shared" ca="1" si="3"/>
        <v>611.81981746095516</v>
      </c>
      <c r="G38" s="72">
        <f t="shared" ca="1" si="4"/>
        <v>53.175074516439054</v>
      </c>
      <c r="H38" s="72">
        <f t="shared" ca="1" si="5"/>
        <v>664.99489197739422</v>
      </c>
      <c r="I38" s="72">
        <f t="shared" ca="1" si="6"/>
        <v>673.60443265779327</v>
      </c>
      <c r="J38" s="72">
        <f t="shared" ca="1" si="7"/>
        <v>61.784615196838104</v>
      </c>
    </row>
    <row r="39" spans="1:10" x14ac:dyDescent="0.3">
      <c r="A39" s="30">
        <v>25</v>
      </c>
      <c r="B39" s="72">
        <f t="shared" ca="1" si="0"/>
        <v>0.93038341935928581</v>
      </c>
      <c r="C39" s="72">
        <f t="shared" ca="1" si="0"/>
        <v>8.2064882791030636E-2</v>
      </c>
      <c r="D39" s="72">
        <f t="shared" ca="1" si="1"/>
        <v>66.618812810424572</v>
      </c>
      <c r="E39" s="72">
        <f t="shared" ca="1" si="2"/>
        <v>1.9028570951352413</v>
      </c>
      <c r="F39" s="72">
        <f t="shared" ca="1" si="3"/>
        <v>678.43863027137968</v>
      </c>
      <c r="G39" s="72">
        <f t="shared" ca="1" si="4"/>
        <v>0</v>
      </c>
      <c r="H39" s="72">
        <f t="shared" ca="1" si="5"/>
        <v>678.43863027137968</v>
      </c>
      <c r="I39" s="72">
        <f t="shared" ca="1" si="6"/>
        <v>680.34148736651491</v>
      </c>
      <c r="J39" s="72">
        <f t="shared" ca="1" si="7"/>
        <v>1.9028570951352322</v>
      </c>
    </row>
    <row r="40" spans="1:10" x14ac:dyDescent="0.3">
      <c r="A40" s="30">
        <v>26</v>
      </c>
      <c r="B40" s="72">
        <f t="shared" ca="1" si="0"/>
        <v>0.70714833184837689</v>
      </c>
      <c r="C40" s="72">
        <f t="shared" ca="1" si="0"/>
        <v>0.34369204673018661</v>
      </c>
      <c r="D40" s="72">
        <f t="shared" ca="1" si="1"/>
        <v>30.702226254903564</v>
      </c>
      <c r="E40" s="72">
        <f t="shared" ca="1" si="2"/>
        <v>9.358336871797821</v>
      </c>
      <c r="F40" s="72">
        <f t="shared" ca="1" si="3"/>
        <v>709.14085652628319</v>
      </c>
      <c r="G40" s="72">
        <f t="shared" ca="1" si="4"/>
        <v>0</v>
      </c>
      <c r="H40" s="72">
        <f t="shared" ca="1" si="5"/>
        <v>709.14085652628319</v>
      </c>
      <c r="I40" s="72">
        <f t="shared" ca="1" si="6"/>
        <v>718.49919339808105</v>
      </c>
      <c r="J40" s="72">
        <f t="shared" ca="1" si="7"/>
        <v>9.3583368717978601</v>
      </c>
    </row>
    <row r="41" spans="1:10" x14ac:dyDescent="0.3">
      <c r="A41" s="30">
        <v>27</v>
      </c>
      <c r="B41" s="72">
        <f t="shared" ca="1" si="0"/>
        <v>0.1150684302908731</v>
      </c>
      <c r="C41" s="72">
        <f t="shared" ca="1" si="0"/>
        <v>0.67330222329810574</v>
      </c>
      <c r="D41" s="72">
        <f t="shared" ca="1" si="1"/>
        <v>3.0561239831575979</v>
      </c>
      <c r="E41" s="72">
        <f t="shared" ca="1" si="2"/>
        <v>24.860439238187951</v>
      </c>
      <c r="F41" s="72">
        <f t="shared" ca="1" si="3"/>
        <v>712.19698050944078</v>
      </c>
      <c r="G41" s="72">
        <f t="shared" ca="1" si="4"/>
        <v>6.3022128886402697</v>
      </c>
      <c r="H41" s="72">
        <f t="shared" ca="1" si="5"/>
        <v>718.49919339808105</v>
      </c>
      <c r="I41" s="72">
        <f t="shared" ca="1" si="6"/>
        <v>743.359632636269</v>
      </c>
      <c r="J41" s="72">
        <f t="shared" ca="1" si="7"/>
        <v>31.16265212682822</v>
      </c>
    </row>
    <row r="42" spans="1:10" x14ac:dyDescent="0.3">
      <c r="A42" s="30">
        <v>28</v>
      </c>
      <c r="B42" s="72">
        <f t="shared" ca="1" si="0"/>
        <v>0.80390396515479845</v>
      </c>
      <c r="C42" s="72">
        <f t="shared" ca="1" si="0"/>
        <v>0.38049599687273994</v>
      </c>
      <c r="D42" s="72">
        <f t="shared" ca="1" si="1"/>
        <v>40.728769151238239</v>
      </c>
      <c r="E42" s="72">
        <f t="shared" ca="1" si="2"/>
        <v>10.640802579239171</v>
      </c>
      <c r="F42" s="72">
        <f t="shared" ca="1" si="3"/>
        <v>752.925749660679</v>
      </c>
      <c r="G42" s="72">
        <f t="shared" ca="1" si="4"/>
        <v>0</v>
      </c>
      <c r="H42" s="72">
        <f t="shared" ca="1" si="5"/>
        <v>752.925749660679</v>
      </c>
      <c r="I42" s="72">
        <f t="shared" ca="1" si="6"/>
        <v>763.56655223991822</v>
      </c>
      <c r="J42" s="72">
        <f t="shared" ca="1" si="7"/>
        <v>10.640802579239221</v>
      </c>
    </row>
    <row r="43" spans="1:10" x14ac:dyDescent="0.3">
      <c r="A43" s="30">
        <v>29</v>
      </c>
      <c r="B43" s="72">
        <f t="shared" ca="1" si="0"/>
        <v>0.65191456370851619</v>
      </c>
      <c r="C43" s="72">
        <f t="shared" ca="1" si="0"/>
        <v>4.4040909954150553E-3</v>
      </c>
      <c r="D43" s="72">
        <f t="shared" ca="1" si="1"/>
        <v>26.382683068868729</v>
      </c>
      <c r="E43" s="72">
        <f t="shared" ca="1" si="2"/>
        <v>9.8084834944197175E-2</v>
      </c>
      <c r="F43" s="72">
        <f t="shared" ca="1" si="3"/>
        <v>779.30843272954769</v>
      </c>
      <c r="G43" s="72">
        <f t="shared" ca="1" si="4"/>
        <v>0</v>
      </c>
      <c r="H43" s="72">
        <f t="shared" ca="1" si="5"/>
        <v>779.30843272954769</v>
      </c>
      <c r="I43" s="72">
        <f t="shared" ca="1" si="6"/>
        <v>779.40651756449188</v>
      </c>
      <c r="J43" s="72">
        <f t="shared" ca="1" si="7"/>
        <v>9.8084834944188515E-2</v>
      </c>
    </row>
    <row r="44" spans="1:10" x14ac:dyDescent="0.3">
      <c r="A44" s="30">
        <v>30</v>
      </c>
      <c r="B44" s="72">
        <f t="shared" ca="1" si="0"/>
        <v>0.87147002552377717</v>
      </c>
      <c r="C44" s="72">
        <f t="shared" ca="1" si="0"/>
        <v>0.5405197262434388</v>
      </c>
      <c r="D44" s="72">
        <f t="shared" ca="1" si="1"/>
        <v>51.289828436059267</v>
      </c>
      <c r="E44" s="72">
        <f t="shared" ca="1" si="2"/>
        <v>17.281317064636507</v>
      </c>
      <c r="F44" s="72">
        <f t="shared" ca="1" si="3"/>
        <v>830.59826116560691</v>
      </c>
      <c r="G44" s="72">
        <f t="shared" ca="1" si="4"/>
        <v>0</v>
      </c>
      <c r="H44" s="72">
        <f t="shared" ca="1" si="5"/>
        <v>830.59826116560691</v>
      </c>
      <c r="I44" s="72">
        <f t="shared" ca="1" si="6"/>
        <v>847.8795782302434</v>
      </c>
      <c r="J44" s="72">
        <f t="shared" ca="1" si="7"/>
        <v>17.281317064636482</v>
      </c>
    </row>
    <row r="45" spans="1:10" x14ac:dyDescent="0.3">
      <c r="A45" s="30">
        <v>31</v>
      </c>
      <c r="B45" s="72">
        <f t="shared" ca="1" si="0"/>
        <v>0.76153303914143544</v>
      </c>
      <c r="C45" s="72">
        <f t="shared" ca="1" si="0"/>
        <v>0.65113455893060046</v>
      </c>
      <c r="D45" s="72">
        <f t="shared" ca="1" si="1"/>
        <v>35.838112678616554</v>
      </c>
      <c r="E45" s="72">
        <f t="shared" ca="1" si="2"/>
        <v>23.401533040010719</v>
      </c>
      <c r="F45" s="72">
        <f t="shared" ca="1" si="3"/>
        <v>866.43637384422345</v>
      </c>
      <c r="G45" s="72">
        <f t="shared" ca="1" si="4"/>
        <v>0</v>
      </c>
      <c r="H45" s="72">
        <f t="shared" ca="1" si="5"/>
        <v>866.43637384422345</v>
      </c>
      <c r="I45" s="72">
        <f t="shared" ca="1" si="6"/>
        <v>889.83790688423414</v>
      </c>
      <c r="J45" s="72">
        <f t="shared" ca="1" si="7"/>
        <v>23.40153304001069</v>
      </c>
    </row>
    <row r="46" spans="1:10" x14ac:dyDescent="0.3">
      <c r="A46" s="30">
        <v>32</v>
      </c>
      <c r="B46" s="72">
        <f t="shared" ca="1" si="0"/>
        <v>0.17104914882229683</v>
      </c>
      <c r="C46" s="72">
        <f t="shared" ca="1" si="0"/>
        <v>0.58394337412726705</v>
      </c>
      <c r="D46" s="72">
        <f t="shared" ca="1" si="1"/>
        <v>4.6898603120725761</v>
      </c>
      <c r="E46" s="72">
        <f t="shared" ca="1" si="2"/>
        <v>19.487420179954835</v>
      </c>
      <c r="F46" s="72">
        <f t="shared" ca="1" si="3"/>
        <v>871.12623415629605</v>
      </c>
      <c r="G46" s="72">
        <f t="shared" ca="1" si="4"/>
        <v>18.711672727938094</v>
      </c>
      <c r="H46" s="72">
        <f t="shared" ca="1" si="5"/>
        <v>889.83790688423414</v>
      </c>
      <c r="I46" s="72">
        <f t="shared" ca="1" si="6"/>
        <v>909.32532706418897</v>
      </c>
      <c r="J46" s="72">
        <f t="shared" ca="1" si="7"/>
        <v>38.199092907892918</v>
      </c>
    </row>
    <row r="47" spans="1:10" x14ac:dyDescent="0.3">
      <c r="A47" s="30">
        <v>33</v>
      </c>
      <c r="B47" s="72">
        <f t="shared" ca="1" si="0"/>
        <v>0.93298179339034748</v>
      </c>
      <c r="C47" s="72">
        <f t="shared" ca="1" si="0"/>
        <v>0.62225389123593489</v>
      </c>
      <c r="D47" s="72">
        <f t="shared" ca="1" si="1"/>
        <v>67.569773901583574</v>
      </c>
      <c r="E47" s="72">
        <f t="shared" ca="1" si="2"/>
        <v>21.634066199337632</v>
      </c>
      <c r="F47" s="72">
        <f t="shared" ca="1" si="3"/>
        <v>938.69600805787968</v>
      </c>
      <c r="G47" s="72">
        <f t="shared" ca="1" si="4"/>
        <v>0</v>
      </c>
      <c r="H47" s="72">
        <f t="shared" ca="1" si="5"/>
        <v>938.69600805787968</v>
      </c>
      <c r="I47" s="72">
        <f t="shared" ca="1" si="6"/>
        <v>960.33007425721735</v>
      </c>
      <c r="J47" s="72">
        <f t="shared" ca="1" si="7"/>
        <v>21.634066199337667</v>
      </c>
    </row>
    <row r="48" spans="1:10" x14ac:dyDescent="0.3">
      <c r="A48" s="30">
        <v>34</v>
      </c>
      <c r="B48" s="72">
        <f t="shared" ca="1" si="0"/>
        <v>0.430206188726314</v>
      </c>
      <c r="C48" s="72">
        <f t="shared" ca="1" si="0"/>
        <v>0.57708381198105063</v>
      </c>
      <c r="D48" s="72">
        <f t="shared" ca="1" si="1"/>
        <v>14.062017955071374</v>
      </c>
      <c r="E48" s="72">
        <f t="shared" ca="1" si="2"/>
        <v>19.124027925303185</v>
      </c>
      <c r="F48" s="72">
        <f t="shared" ca="1" si="3"/>
        <v>952.75802601295106</v>
      </c>
      <c r="G48" s="72">
        <f t="shared" ca="1" si="4"/>
        <v>7.5720482442662842</v>
      </c>
      <c r="H48" s="72">
        <f t="shared" ca="1" si="5"/>
        <v>960.33007425721735</v>
      </c>
      <c r="I48" s="72">
        <f t="shared" ca="1" si="6"/>
        <v>979.4541021825205</v>
      </c>
      <c r="J48" s="72">
        <f t="shared" ca="1" si="7"/>
        <v>26.696076169569437</v>
      </c>
    </row>
    <row r="49" spans="1:10" x14ac:dyDescent="0.3">
      <c r="A49" s="30">
        <v>35</v>
      </c>
      <c r="B49" s="72">
        <f t="shared" ref="B49:C80" ca="1" si="8">RAND()</f>
        <v>0.737787248245656</v>
      </c>
      <c r="C49" s="72">
        <f t="shared" ca="1" si="8"/>
        <v>0.93698256656410495</v>
      </c>
      <c r="D49" s="72">
        <f t="shared" ca="1" si="1"/>
        <v>33.46497687854918</v>
      </c>
      <c r="E49" s="72">
        <f t="shared" ca="1" si="2"/>
        <v>61.429863770359368</v>
      </c>
      <c r="F49" s="72">
        <f t="shared" ca="1" si="3"/>
        <v>986.2230028915003</v>
      </c>
      <c r="G49" s="72">
        <f t="shared" ca="1" si="4"/>
        <v>0</v>
      </c>
      <c r="H49" s="72">
        <f t="shared" ca="1" si="5"/>
        <v>986.2230028915003</v>
      </c>
      <c r="I49" s="72">
        <f t="shared" ca="1" si="6"/>
        <v>1047.6528666618597</v>
      </c>
      <c r="J49" s="72">
        <f t="shared" ca="1" si="7"/>
        <v>61.429863770359361</v>
      </c>
    </row>
    <row r="50" spans="1:10" x14ac:dyDescent="0.3">
      <c r="A50" s="30">
        <v>36</v>
      </c>
      <c r="B50" s="72">
        <f t="shared" ca="1" si="8"/>
        <v>0.65597015504173162</v>
      </c>
      <c r="C50" s="72">
        <f t="shared" ca="1" si="8"/>
        <v>0.43496070646215323</v>
      </c>
      <c r="D50" s="72">
        <f t="shared" ca="1" si="1"/>
        <v>26.675671669310773</v>
      </c>
      <c r="E50" s="72">
        <f t="shared" ca="1" si="2"/>
        <v>12.685777870427298</v>
      </c>
      <c r="F50" s="72">
        <f t="shared" ca="1" si="3"/>
        <v>1012.8986745608111</v>
      </c>
      <c r="G50" s="72">
        <f t="shared" ca="1" si="4"/>
        <v>34.754192101048602</v>
      </c>
      <c r="H50" s="72">
        <f t="shared" ca="1" si="5"/>
        <v>1047.6528666618597</v>
      </c>
      <c r="I50" s="72">
        <f t="shared" ca="1" si="6"/>
        <v>1060.3386445322869</v>
      </c>
      <c r="J50" s="72">
        <f t="shared" ca="1" si="7"/>
        <v>47.439969971475875</v>
      </c>
    </row>
    <row r="51" spans="1:10" x14ac:dyDescent="0.3">
      <c r="A51" s="30">
        <v>37</v>
      </c>
      <c r="B51" s="72">
        <f t="shared" ca="1" si="8"/>
        <v>0.95167042124903978</v>
      </c>
      <c r="C51" s="72">
        <f t="shared" ca="1" si="8"/>
        <v>0.54488409733235477</v>
      </c>
      <c r="D51" s="72">
        <f t="shared" ca="1" si="1"/>
        <v>75.742787731540375</v>
      </c>
      <c r="E51" s="72">
        <f t="shared" ca="1" si="2"/>
        <v>17.493403585154944</v>
      </c>
      <c r="F51" s="72">
        <f t="shared" ca="1" si="3"/>
        <v>1088.6414622923514</v>
      </c>
      <c r="G51" s="72">
        <f t="shared" ca="1" si="4"/>
        <v>0</v>
      </c>
      <c r="H51" s="72">
        <f t="shared" ca="1" si="5"/>
        <v>1088.6414622923514</v>
      </c>
      <c r="I51" s="72">
        <f t="shared" ca="1" si="6"/>
        <v>1106.1348658775064</v>
      </c>
      <c r="J51" s="72">
        <f t="shared" ca="1" si="7"/>
        <v>17.493403585154965</v>
      </c>
    </row>
    <row r="52" spans="1:10" x14ac:dyDescent="0.3">
      <c r="A52" s="30">
        <v>38</v>
      </c>
      <c r="B52" s="72">
        <f t="shared" ca="1" si="8"/>
        <v>0.68352462213126397</v>
      </c>
      <c r="C52" s="72">
        <f t="shared" ca="1" si="8"/>
        <v>0.61479638169180773</v>
      </c>
      <c r="D52" s="72">
        <f t="shared" ca="1" si="1"/>
        <v>28.76274588668964</v>
      </c>
      <c r="E52" s="72">
        <f t="shared" ca="1" si="2"/>
        <v>21.199626795085226</v>
      </c>
      <c r="F52" s="72">
        <f t="shared" ca="1" si="3"/>
        <v>1117.404208179041</v>
      </c>
      <c r="G52" s="72">
        <f t="shared" ca="1" si="4"/>
        <v>0</v>
      </c>
      <c r="H52" s="72">
        <f t="shared" ca="1" si="5"/>
        <v>1117.404208179041</v>
      </c>
      <c r="I52" s="72">
        <f t="shared" ca="1" si="6"/>
        <v>1138.6038349741261</v>
      </c>
      <c r="J52" s="72">
        <f t="shared" ca="1" si="7"/>
        <v>21.199626795085123</v>
      </c>
    </row>
    <row r="53" spans="1:10" x14ac:dyDescent="0.3">
      <c r="A53" s="30">
        <v>39</v>
      </c>
      <c r="B53" s="72">
        <f t="shared" ca="1" si="8"/>
        <v>0.76710406815998722</v>
      </c>
      <c r="C53" s="72">
        <f t="shared" ca="1" si="8"/>
        <v>0.13568404828317582</v>
      </c>
      <c r="D53" s="72">
        <f t="shared" ca="1" si="1"/>
        <v>36.429089241381249</v>
      </c>
      <c r="E53" s="72">
        <f t="shared" ca="1" si="2"/>
        <v>3.2403753814901695</v>
      </c>
      <c r="F53" s="72">
        <f t="shared" ca="1" si="3"/>
        <v>1153.8332974204222</v>
      </c>
      <c r="G53" s="72">
        <f t="shared" ca="1" si="4"/>
        <v>0</v>
      </c>
      <c r="H53" s="72">
        <f t="shared" ca="1" si="5"/>
        <v>1153.8332974204222</v>
      </c>
      <c r="I53" s="72">
        <f t="shared" ca="1" si="6"/>
        <v>1157.0736728019124</v>
      </c>
      <c r="J53" s="72">
        <f t="shared" ca="1" si="7"/>
        <v>3.2403753814901393</v>
      </c>
    </row>
    <row r="54" spans="1:10" x14ac:dyDescent="0.3">
      <c r="A54" s="30">
        <v>40</v>
      </c>
      <c r="B54" s="72">
        <f t="shared" ca="1" si="8"/>
        <v>0.68864279108437576</v>
      </c>
      <c r="C54" s="72">
        <f t="shared" ca="1" si="8"/>
        <v>2.5489076126552823E-2</v>
      </c>
      <c r="D54" s="72">
        <f t="shared" ca="1" si="1"/>
        <v>29.17036110489936</v>
      </c>
      <c r="E54" s="72">
        <f t="shared" ca="1" si="2"/>
        <v>0.57376778613352497</v>
      </c>
      <c r="F54" s="72">
        <f t="shared" ca="1" si="3"/>
        <v>1183.0036585253215</v>
      </c>
      <c r="G54" s="72">
        <f t="shared" ca="1" si="4"/>
        <v>0</v>
      </c>
      <c r="H54" s="72">
        <f t="shared" ca="1" si="5"/>
        <v>1183.0036585253215</v>
      </c>
      <c r="I54" s="72">
        <f t="shared" ca="1" si="6"/>
        <v>1183.5774263114549</v>
      </c>
      <c r="J54" s="72">
        <f t="shared" ca="1" si="7"/>
        <v>0.57376778613343049</v>
      </c>
    </row>
    <row r="55" spans="1:10" x14ac:dyDescent="0.3">
      <c r="A55" s="30">
        <v>41</v>
      </c>
      <c r="B55" s="72">
        <f t="shared" ca="1" si="8"/>
        <v>0.35879203006273963</v>
      </c>
      <c r="C55" s="72">
        <f t="shared" ca="1" si="8"/>
        <v>0.27060889051804959</v>
      </c>
      <c r="D55" s="72">
        <f t="shared" ca="1" si="1"/>
        <v>11.110035715068637</v>
      </c>
      <c r="E55" s="72">
        <f t="shared" ca="1" si="2"/>
        <v>7.0121153220420043</v>
      </c>
      <c r="F55" s="72">
        <f t="shared" ca="1" si="3"/>
        <v>1194.11369424039</v>
      </c>
      <c r="G55" s="72">
        <f t="shared" ca="1" si="4"/>
        <v>0</v>
      </c>
      <c r="H55" s="72">
        <f t="shared" ca="1" si="5"/>
        <v>1194.11369424039</v>
      </c>
      <c r="I55" s="72">
        <f t="shared" ca="1" si="6"/>
        <v>1201.1258095624321</v>
      </c>
      <c r="J55" s="72">
        <f t="shared" ca="1" si="7"/>
        <v>7.0121153220420638</v>
      </c>
    </row>
    <row r="56" spans="1:10" x14ac:dyDescent="0.3">
      <c r="A56" s="30">
        <v>42</v>
      </c>
      <c r="B56" s="72">
        <f t="shared" ca="1" si="8"/>
        <v>0.89967073465293912</v>
      </c>
      <c r="C56" s="72">
        <f t="shared" ca="1" si="8"/>
        <v>0.64813964791661505</v>
      </c>
      <c r="D56" s="72">
        <f t="shared" ca="1" si="1"/>
        <v>57.482446210925232</v>
      </c>
      <c r="E56" s="72">
        <f t="shared" ca="1" si="2"/>
        <v>23.211575758597082</v>
      </c>
      <c r="F56" s="72">
        <f t="shared" ca="1" si="3"/>
        <v>1251.5961404513153</v>
      </c>
      <c r="G56" s="72">
        <f t="shared" ca="1" si="4"/>
        <v>0</v>
      </c>
      <c r="H56" s="72">
        <f t="shared" ca="1" si="5"/>
        <v>1251.5961404513153</v>
      </c>
      <c r="I56" s="72">
        <f t="shared" ca="1" si="6"/>
        <v>1274.8077162099123</v>
      </c>
      <c r="J56" s="72">
        <f t="shared" ca="1" si="7"/>
        <v>23.211575758597064</v>
      </c>
    </row>
    <row r="57" spans="1:10" x14ac:dyDescent="0.3">
      <c r="A57" s="30">
        <v>43</v>
      </c>
      <c r="B57" s="72">
        <f t="shared" ca="1" si="8"/>
        <v>0.2491260644696659</v>
      </c>
      <c r="C57" s="72">
        <f t="shared" ca="1" si="8"/>
        <v>0.54569702381322838</v>
      </c>
      <c r="D57" s="72">
        <f t="shared" ca="1" si="1"/>
        <v>7.1629375862948041</v>
      </c>
      <c r="E57" s="72">
        <f t="shared" ca="1" si="2"/>
        <v>17.533132335327117</v>
      </c>
      <c r="F57" s="72">
        <f t="shared" ca="1" si="3"/>
        <v>1258.7590780376102</v>
      </c>
      <c r="G57" s="72">
        <f t="shared" ca="1" si="4"/>
        <v>16.048638172302162</v>
      </c>
      <c r="H57" s="72">
        <f t="shared" ca="1" si="5"/>
        <v>1274.8077162099123</v>
      </c>
      <c r="I57" s="72">
        <f t="shared" ca="1" si="6"/>
        <v>1292.3408485452394</v>
      </c>
      <c r="J57" s="72">
        <f t="shared" ca="1" si="7"/>
        <v>33.581770507629244</v>
      </c>
    </row>
    <row r="58" spans="1:10" x14ac:dyDescent="0.3">
      <c r="A58" s="30">
        <v>44</v>
      </c>
      <c r="B58" s="72">
        <f t="shared" ca="1" si="8"/>
        <v>0.61776217442045267</v>
      </c>
      <c r="C58" s="72">
        <f t="shared" ca="1" si="8"/>
        <v>0.45669253230252083</v>
      </c>
      <c r="D58" s="72">
        <f t="shared" ca="1" si="1"/>
        <v>24.042807101173747</v>
      </c>
      <c r="E58" s="72">
        <f t="shared" ca="1" si="2"/>
        <v>13.557330676608379</v>
      </c>
      <c r="F58" s="72">
        <f t="shared" ca="1" si="3"/>
        <v>1282.801885138784</v>
      </c>
      <c r="G58" s="72">
        <f t="shared" ca="1" si="4"/>
        <v>9.538963406455423</v>
      </c>
      <c r="H58" s="72">
        <f t="shared" ca="1" si="5"/>
        <v>1292.3408485452394</v>
      </c>
      <c r="I58" s="72">
        <f t="shared" ca="1" si="6"/>
        <v>1305.8981792218478</v>
      </c>
      <c r="J58" s="72">
        <f t="shared" ca="1" si="7"/>
        <v>23.096294083063867</v>
      </c>
    </row>
    <row r="59" spans="1:10" x14ac:dyDescent="0.3">
      <c r="A59" s="30">
        <v>45</v>
      </c>
      <c r="B59" s="72">
        <f t="shared" ca="1" si="8"/>
        <v>0.51782674877029666</v>
      </c>
      <c r="C59" s="72">
        <f t="shared" ca="1" si="8"/>
        <v>3.4864924833766908E-2</v>
      </c>
      <c r="D59" s="72">
        <f t="shared" ca="1" si="1"/>
        <v>18.236294678254968</v>
      </c>
      <c r="E59" s="72">
        <f t="shared" ca="1" si="2"/>
        <v>0.78860473718017798</v>
      </c>
      <c r="F59" s="72">
        <f t="shared" ca="1" si="3"/>
        <v>1301.038179817039</v>
      </c>
      <c r="G59" s="72">
        <f t="shared" ca="1" si="4"/>
        <v>4.859999404808832</v>
      </c>
      <c r="H59" s="72">
        <f t="shared" ca="1" si="5"/>
        <v>1305.8981792218478</v>
      </c>
      <c r="I59" s="72">
        <f t="shared" ca="1" si="6"/>
        <v>1306.6867839590279</v>
      </c>
      <c r="J59" s="72">
        <f t="shared" ca="1" si="7"/>
        <v>5.6486041419889261</v>
      </c>
    </row>
    <row r="60" spans="1:10" x14ac:dyDescent="0.3">
      <c r="A60" s="30">
        <v>46</v>
      </c>
      <c r="B60" s="72">
        <f t="shared" ca="1" si="8"/>
        <v>0.89637411642171005</v>
      </c>
      <c r="C60" s="72">
        <f t="shared" ca="1" si="8"/>
        <v>0.37879408551246496</v>
      </c>
      <c r="D60" s="72">
        <f t="shared" ca="1" si="1"/>
        <v>56.674203471816419</v>
      </c>
      <c r="E60" s="72">
        <f t="shared" ca="1" si="2"/>
        <v>10.57983703743955</v>
      </c>
      <c r="F60" s="72">
        <f t="shared" ca="1" si="3"/>
        <v>1357.7123832888553</v>
      </c>
      <c r="G60" s="72">
        <f t="shared" ca="1" si="4"/>
        <v>0</v>
      </c>
      <c r="H60" s="72">
        <f t="shared" ca="1" si="5"/>
        <v>1357.7123832888553</v>
      </c>
      <c r="I60" s="72">
        <f t="shared" ca="1" si="6"/>
        <v>1368.2922203262949</v>
      </c>
      <c r="J60" s="72">
        <f t="shared" ca="1" si="7"/>
        <v>10.579837037439574</v>
      </c>
    </row>
    <row r="61" spans="1:10" x14ac:dyDescent="0.3">
      <c r="A61" s="30">
        <v>47</v>
      </c>
      <c r="B61" s="72">
        <f t="shared" ca="1" si="8"/>
        <v>0.66885786455413487</v>
      </c>
      <c r="C61" s="72">
        <f t="shared" ca="1" si="8"/>
        <v>8.9194329396509953E-2</v>
      </c>
      <c r="D61" s="72">
        <f t="shared" ca="1" si="1"/>
        <v>27.630189588824006</v>
      </c>
      <c r="E61" s="72">
        <f t="shared" ca="1" si="2"/>
        <v>2.076127085619949</v>
      </c>
      <c r="F61" s="72">
        <f t="shared" ca="1" si="3"/>
        <v>1385.3425728776792</v>
      </c>
      <c r="G61" s="72">
        <f t="shared" ca="1" si="4"/>
        <v>0</v>
      </c>
      <c r="H61" s="72">
        <f t="shared" ca="1" si="5"/>
        <v>1385.3425728776792</v>
      </c>
      <c r="I61" s="72">
        <f t="shared" ca="1" si="6"/>
        <v>1387.4186999632991</v>
      </c>
      <c r="J61" s="72">
        <f t="shared" ca="1" si="7"/>
        <v>2.0761270856198735</v>
      </c>
    </row>
    <row r="62" spans="1:10" x14ac:dyDescent="0.3">
      <c r="A62" s="30">
        <v>48</v>
      </c>
      <c r="B62" s="72">
        <f t="shared" ca="1" si="8"/>
        <v>0.39755045598373184</v>
      </c>
      <c r="C62" s="72">
        <f t="shared" ca="1" si="8"/>
        <v>0.29802981402118101</v>
      </c>
      <c r="D62" s="72">
        <f t="shared" ca="1" si="1"/>
        <v>12.668784037385544</v>
      </c>
      <c r="E62" s="72">
        <f t="shared" ca="1" si="2"/>
        <v>7.8636521327522049</v>
      </c>
      <c r="F62" s="72">
        <f t="shared" ca="1" si="3"/>
        <v>1398.0113569150649</v>
      </c>
      <c r="G62" s="72">
        <f t="shared" ca="1" si="4"/>
        <v>0</v>
      </c>
      <c r="H62" s="72">
        <f t="shared" ca="1" si="5"/>
        <v>1398.0113569150649</v>
      </c>
      <c r="I62" s="72">
        <f t="shared" ca="1" si="6"/>
        <v>1405.875009047817</v>
      </c>
      <c r="J62" s="72">
        <f t="shared" ca="1" si="7"/>
        <v>7.8636521327521223</v>
      </c>
    </row>
    <row r="63" spans="1:10" x14ac:dyDescent="0.3">
      <c r="A63" s="30">
        <v>49</v>
      </c>
      <c r="B63" s="72">
        <f t="shared" ca="1" si="8"/>
        <v>0.60702712081876442</v>
      </c>
      <c r="C63" s="72">
        <f t="shared" ca="1" si="8"/>
        <v>0.65627546359997468</v>
      </c>
      <c r="D63" s="72">
        <f t="shared" ca="1" si="1"/>
        <v>23.350366980277844</v>
      </c>
      <c r="E63" s="72">
        <f t="shared" ca="1" si="2"/>
        <v>23.731437970495822</v>
      </c>
      <c r="F63" s="72">
        <f t="shared" ca="1" si="3"/>
        <v>1421.3617238953427</v>
      </c>
      <c r="G63" s="72">
        <f t="shared" ca="1" si="4"/>
        <v>0</v>
      </c>
      <c r="H63" s="72">
        <f t="shared" ca="1" si="5"/>
        <v>1421.3617238953427</v>
      </c>
      <c r="I63" s="72">
        <f t="shared" ca="1" si="6"/>
        <v>1445.0931618658385</v>
      </c>
      <c r="J63" s="72">
        <f t="shared" ca="1" si="7"/>
        <v>23.73143797049579</v>
      </c>
    </row>
    <row r="64" spans="1:10" x14ac:dyDescent="0.3">
      <c r="A64" s="30">
        <v>50</v>
      </c>
      <c r="B64" s="72">
        <f t="shared" ca="1" si="8"/>
        <v>0.47480525430949883</v>
      </c>
      <c r="C64" s="72">
        <f t="shared" ca="1" si="8"/>
        <v>0.13914859308732841</v>
      </c>
      <c r="D64" s="72">
        <f t="shared" ca="1" si="1"/>
        <v>16.099653525022759</v>
      </c>
      <c r="E64" s="72">
        <f t="shared" ca="1" si="2"/>
        <v>3.3296304762522264</v>
      </c>
      <c r="F64" s="72">
        <f t="shared" ca="1" si="3"/>
        <v>1437.4613774203656</v>
      </c>
      <c r="G64" s="72">
        <f t="shared" ca="1" si="4"/>
        <v>7.6317844454729311</v>
      </c>
      <c r="H64" s="72">
        <f t="shared" ca="1" si="5"/>
        <v>1445.0931618658385</v>
      </c>
      <c r="I64" s="72">
        <f t="shared" ca="1" si="6"/>
        <v>1448.4227923420908</v>
      </c>
      <c r="J64" s="72">
        <f t="shared" ca="1" si="7"/>
        <v>10.961414921725236</v>
      </c>
    </row>
    <row r="65" spans="1:10" x14ac:dyDescent="0.3">
      <c r="A65" s="30">
        <v>51</v>
      </c>
      <c r="B65" s="72">
        <f t="shared" ca="1" si="8"/>
        <v>0.47939241011636791</v>
      </c>
      <c r="C65" s="72">
        <f t="shared" ca="1" si="8"/>
        <v>0.61506945556613735</v>
      </c>
      <c r="D65" s="72">
        <f t="shared" ca="1" si="1"/>
        <v>16.318967685498304</v>
      </c>
      <c r="E65" s="72">
        <f t="shared" ca="1" si="2"/>
        <v>21.215385889711403</v>
      </c>
      <c r="F65" s="72">
        <f t="shared" ca="1" si="3"/>
        <v>1453.7803451058639</v>
      </c>
      <c r="G65" s="72">
        <f t="shared" ca="1" si="4"/>
        <v>0</v>
      </c>
      <c r="H65" s="72">
        <f t="shared" ca="1" si="5"/>
        <v>1453.7803451058639</v>
      </c>
      <c r="I65" s="72">
        <f t="shared" ca="1" si="6"/>
        <v>1474.9957309955753</v>
      </c>
      <c r="J65" s="72">
        <f t="shared" ca="1" si="7"/>
        <v>21.215385889711342</v>
      </c>
    </row>
    <row r="66" spans="1:10" x14ac:dyDescent="0.3">
      <c r="A66" s="30">
        <v>52</v>
      </c>
      <c r="B66" s="72">
        <f t="shared" ca="1" si="8"/>
        <v>5.6269838574157793E-2</v>
      </c>
      <c r="C66" s="72">
        <f t="shared" ca="1" si="8"/>
        <v>0.25446015784647347</v>
      </c>
      <c r="D66" s="72">
        <f t="shared" ca="1" si="1"/>
        <v>1.4478749911394302</v>
      </c>
      <c r="E66" s="72">
        <f t="shared" ca="1" si="2"/>
        <v>6.5254822816185456</v>
      </c>
      <c r="F66" s="72">
        <f t="shared" ca="1" si="3"/>
        <v>1455.2282200970035</v>
      </c>
      <c r="G66" s="72">
        <f t="shared" ca="1" si="4"/>
        <v>19.7675108985718</v>
      </c>
      <c r="H66" s="72">
        <f t="shared" ca="1" si="5"/>
        <v>1474.9957309955753</v>
      </c>
      <c r="I66" s="72">
        <f t="shared" ca="1" si="6"/>
        <v>1481.5212132771937</v>
      </c>
      <c r="J66" s="72">
        <f t="shared" ca="1" si="7"/>
        <v>26.292993180190251</v>
      </c>
    </row>
    <row r="67" spans="1:10" x14ac:dyDescent="0.3">
      <c r="A67" s="30">
        <v>53</v>
      </c>
      <c r="B67" s="72">
        <f t="shared" ca="1" si="8"/>
        <v>0.51430313974574604</v>
      </c>
      <c r="C67" s="72">
        <f t="shared" ca="1" si="8"/>
        <v>0.19883188303888766</v>
      </c>
      <c r="D67" s="72">
        <f t="shared" ca="1" si="1"/>
        <v>18.054264850596972</v>
      </c>
      <c r="E67" s="72">
        <f t="shared" ca="1" si="2"/>
        <v>4.9263215575495289</v>
      </c>
      <c r="F67" s="72">
        <f t="shared" ca="1" si="3"/>
        <v>1473.2824849476006</v>
      </c>
      <c r="G67" s="72">
        <f t="shared" ca="1" si="4"/>
        <v>8.2387283295931866</v>
      </c>
      <c r="H67" s="72">
        <f t="shared" ca="1" si="5"/>
        <v>1481.5212132771937</v>
      </c>
      <c r="I67" s="72">
        <f t="shared" ca="1" si="6"/>
        <v>1486.4475348347432</v>
      </c>
      <c r="J67" s="72">
        <f t="shared" ca="1" si="7"/>
        <v>13.165049887142686</v>
      </c>
    </row>
    <row r="68" spans="1:10" x14ac:dyDescent="0.3">
      <c r="A68" s="30">
        <v>54</v>
      </c>
      <c r="B68" s="72">
        <f t="shared" ca="1" si="8"/>
        <v>0.96167628306346353</v>
      </c>
      <c r="C68" s="72">
        <f t="shared" ca="1" si="8"/>
        <v>0.17156791237512103</v>
      </c>
      <c r="D68" s="72">
        <f t="shared" ca="1" si="1"/>
        <v>81.542158332084966</v>
      </c>
      <c r="E68" s="72">
        <f t="shared" ca="1" si="2"/>
        <v>4.1826759056227223</v>
      </c>
      <c r="F68" s="72">
        <f t="shared" ca="1" si="3"/>
        <v>1554.8246432796855</v>
      </c>
      <c r="G68" s="72">
        <f t="shared" ca="1" si="4"/>
        <v>0</v>
      </c>
      <c r="H68" s="72">
        <f t="shared" ca="1" si="5"/>
        <v>1554.8246432796855</v>
      </c>
      <c r="I68" s="72">
        <f t="shared" ca="1" si="6"/>
        <v>1559.0073191853082</v>
      </c>
      <c r="J68" s="72">
        <f t="shared" ca="1" si="7"/>
        <v>4.1826759056227729</v>
      </c>
    </row>
    <row r="69" spans="1:10" x14ac:dyDescent="0.3">
      <c r="A69" s="30">
        <v>55</v>
      </c>
      <c r="B69" s="72">
        <f t="shared" ca="1" si="8"/>
        <v>0.22572903440429881</v>
      </c>
      <c r="C69" s="72">
        <f t="shared" ca="1" si="8"/>
        <v>0.91887288587869753</v>
      </c>
      <c r="D69" s="72">
        <f t="shared" ca="1" si="1"/>
        <v>6.3958345477202361</v>
      </c>
      <c r="E69" s="72">
        <f t="shared" ca="1" si="2"/>
        <v>55.816400983345964</v>
      </c>
      <c r="F69" s="72">
        <f t="shared" ca="1" si="3"/>
        <v>1561.2204778274056</v>
      </c>
      <c r="G69" s="72">
        <f t="shared" ca="1" si="4"/>
        <v>0</v>
      </c>
      <c r="H69" s="72">
        <f t="shared" ca="1" si="5"/>
        <v>1561.2204778274056</v>
      </c>
      <c r="I69" s="72">
        <f t="shared" ca="1" si="6"/>
        <v>1617.0368788107517</v>
      </c>
      <c r="J69" s="72">
        <f t="shared" ca="1" si="7"/>
        <v>55.816400983346057</v>
      </c>
    </row>
    <row r="70" spans="1:10" x14ac:dyDescent="0.3">
      <c r="A70" s="30">
        <v>56</v>
      </c>
      <c r="B70" s="72">
        <f t="shared" ca="1" si="8"/>
        <v>0.31658455328810331</v>
      </c>
      <c r="C70" s="72">
        <f t="shared" ca="1" si="8"/>
        <v>0.90506747451613911</v>
      </c>
      <c r="D70" s="72">
        <f t="shared" ca="1" si="1"/>
        <v>9.5163084204322477</v>
      </c>
      <c r="E70" s="72">
        <f t="shared" ca="1" si="2"/>
        <v>52.324197728866118</v>
      </c>
      <c r="F70" s="72">
        <f t="shared" ca="1" si="3"/>
        <v>1570.7367862478379</v>
      </c>
      <c r="G70" s="72">
        <f t="shared" ca="1" si="4"/>
        <v>46.300092562913733</v>
      </c>
      <c r="H70" s="72">
        <f t="shared" ca="1" si="5"/>
        <v>1617.0368788107517</v>
      </c>
      <c r="I70" s="72">
        <f t="shared" ca="1" si="6"/>
        <v>1669.3610765396177</v>
      </c>
      <c r="J70" s="72">
        <f t="shared" ca="1" si="7"/>
        <v>98.624290291779744</v>
      </c>
    </row>
    <row r="71" spans="1:10" x14ac:dyDescent="0.3">
      <c r="A71" s="30">
        <v>57</v>
      </c>
      <c r="B71" s="72">
        <f t="shared" ca="1" si="8"/>
        <v>0.52191216761499448</v>
      </c>
      <c r="C71" s="72">
        <f t="shared" ca="1" si="8"/>
        <v>0.37624936618631832</v>
      </c>
      <c r="D71" s="72">
        <f t="shared" ca="1" si="1"/>
        <v>18.449020340279368</v>
      </c>
      <c r="E71" s="72">
        <f t="shared" ca="1" si="2"/>
        <v>10.488991461839243</v>
      </c>
      <c r="F71" s="72">
        <f t="shared" ca="1" si="3"/>
        <v>1589.1858065881172</v>
      </c>
      <c r="G71" s="72">
        <f t="shared" ca="1" si="4"/>
        <v>80.175269951500468</v>
      </c>
      <c r="H71" s="72">
        <f t="shared" ca="1" si="5"/>
        <v>1669.3610765396177</v>
      </c>
      <c r="I71" s="72">
        <f t="shared" ca="1" si="6"/>
        <v>1679.850068001457</v>
      </c>
      <c r="J71" s="72">
        <f t="shared" ca="1" si="7"/>
        <v>90.664261413339773</v>
      </c>
    </row>
    <row r="72" spans="1:10" x14ac:dyDescent="0.3">
      <c r="A72" s="30">
        <v>58</v>
      </c>
      <c r="B72" s="72">
        <f t="shared" ca="1" si="8"/>
        <v>0.59932301578392055</v>
      </c>
      <c r="C72" s="72">
        <f t="shared" ca="1" si="8"/>
        <v>0.24540705780252126</v>
      </c>
      <c r="D72" s="72">
        <f t="shared" ca="1" si="1"/>
        <v>22.86499254828427</v>
      </c>
      <c r="E72" s="72">
        <f t="shared" ca="1" si="2"/>
        <v>6.2572627674161891</v>
      </c>
      <c r="F72" s="72">
        <f t="shared" ca="1" si="3"/>
        <v>1612.0507991364016</v>
      </c>
      <c r="G72" s="72">
        <f t="shared" ca="1" si="4"/>
        <v>67.79926886505541</v>
      </c>
      <c r="H72" s="72">
        <f t="shared" ca="1" si="5"/>
        <v>1679.850068001457</v>
      </c>
      <c r="I72" s="72">
        <f t="shared" ca="1" si="6"/>
        <v>1686.1073307688732</v>
      </c>
      <c r="J72" s="72">
        <f t="shared" ca="1" si="7"/>
        <v>74.05653163247166</v>
      </c>
    </row>
    <row r="73" spans="1:10" x14ac:dyDescent="0.3">
      <c r="A73" s="30">
        <v>59</v>
      </c>
      <c r="B73" s="72">
        <f t="shared" ca="1" si="8"/>
        <v>0.24122268340552333</v>
      </c>
      <c r="C73" s="72">
        <f t="shared" ca="1" si="8"/>
        <v>0.57654457062073317</v>
      </c>
      <c r="D73" s="72">
        <f t="shared" ca="1" si="1"/>
        <v>6.9011733788759297</v>
      </c>
      <c r="E73" s="72">
        <f t="shared" ca="1" si="2"/>
        <v>19.095711420554036</v>
      </c>
      <c r="F73" s="72">
        <f t="shared" ca="1" si="3"/>
        <v>1618.9519725152775</v>
      </c>
      <c r="G73" s="72">
        <f t="shared" ca="1" si="4"/>
        <v>67.15535825359575</v>
      </c>
      <c r="H73" s="72">
        <f t="shared" ca="1" si="5"/>
        <v>1686.1073307688732</v>
      </c>
      <c r="I73" s="72">
        <f t="shared" ca="1" si="6"/>
        <v>1705.2030421894272</v>
      </c>
      <c r="J73" s="72">
        <f t="shared" ca="1" si="7"/>
        <v>86.251069674149676</v>
      </c>
    </row>
    <row r="74" spans="1:10" x14ac:dyDescent="0.3">
      <c r="A74" s="30">
        <v>60</v>
      </c>
      <c r="B74" s="72">
        <f t="shared" ca="1" si="8"/>
        <v>0.3034383652611542</v>
      </c>
      <c r="C74" s="72">
        <f t="shared" ca="1" si="8"/>
        <v>0.14136890497082566</v>
      </c>
      <c r="D74" s="72">
        <f t="shared" ca="1" si="1"/>
        <v>9.0399749397527778</v>
      </c>
      <c r="E74" s="72">
        <f t="shared" ca="1" si="2"/>
        <v>3.3870201751236908</v>
      </c>
      <c r="F74" s="72">
        <f t="shared" ca="1" si="3"/>
        <v>1627.9919474550302</v>
      </c>
      <c r="G74" s="72">
        <f t="shared" ca="1" si="4"/>
        <v>77.211094734396966</v>
      </c>
      <c r="H74" s="72">
        <f t="shared" ca="1" si="5"/>
        <v>1705.2030421894272</v>
      </c>
      <c r="I74" s="72">
        <f t="shared" ca="1" si="6"/>
        <v>1708.5900623645509</v>
      </c>
      <c r="J74" s="72">
        <f t="shared" ca="1" si="7"/>
        <v>80.598114909520746</v>
      </c>
    </row>
    <row r="75" spans="1:10" x14ac:dyDescent="0.3">
      <c r="A75" s="30">
        <v>61</v>
      </c>
      <c r="B75" s="72">
        <f t="shared" ca="1" si="8"/>
        <v>0.82522141212460798</v>
      </c>
      <c r="C75" s="72">
        <f t="shared" ca="1" si="8"/>
        <v>0.3453580605869907</v>
      </c>
      <c r="D75" s="72">
        <f t="shared" ca="1" si="1"/>
        <v>43.60588295639657</v>
      </c>
      <c r="E75" s="72">
        <f t="shared" ca="1" si="2"/>
        <v>9.414818893405057</v>
      </c>
      <c r="F75" s="72">
        <f t="shared" ca="1" si="3"/>
        <v>1671.5978304114267</v>
      </c>
      <c r="G75" s="72">
        <f t="shared" ca="1" si="4"/>
        <v>36.992231953124247</v>
      </c>
      <c r="H75" s="72">
        <f t="shared" ca="1" si="5"/>
        <v>1708.5900623645509</v>
      </c>
      <c r="I75" s="72">
        <f t="shared" ca="1" si="6"/>
        <v>1718.004881257956</v>
      </c>
      <c r="J75" s="72">
        <f t="shared" ca="1" si="7"/>
        <v>46.407050846529273</v>
      </c>
    </row>
    <row r="76" spans="1:10" x14ac:dyDescent="0.3">
      <c r="A76" s="30">
        <v>62</v>
      </c>
      <c r="B76" s="72">
        <f t="shared" ca="1" si="8"/>
        <v>0.57582194013178623</v>
      </c>
      <c r="C76" s="72">
        <f t="shared" ca="1" si="8"/>
        <v>0.62683179314326254</v>
      </c>
      <c r="D76" s="72">
        <f t="shared" ca="1" si="1"/>
        <v>21.440048984654663</v>
      </c>
      <c r="E76" s="72">
        <f t="shared" ca="1" si="2"/>
        <v>21.905022317072639</v>
      </c>
      <c r="F76" s="72">
        <f t="shared" ca="1" si="3"/>
        <v>1693.0378793960813</v>
      </c>
      <c r="G76" s="72">
        <f t="shared" ca="1" si="4"/>
        <v>24.967001861874678</v>
      </c>
      <c r="H76" s="72">
        <f t="shared" ca="1" si="5"/>
        <v>1718.004881257956</v>
      </c>
      <c r="I76" s="72">
        <f t="shared" ca="1" si="6"/>
        <v>1739.9099035750287</v>
      </c>
      <c r="J76" s="72">
        <f t="shared" ca="1" si="7"/>
        <v>46.872024178947413</v>
      </c>
    </row>
    <row r="77" spans="1:10" x14ac:dyDescent="0.3">
      <c r="A77" s="30">
        <v>63</v>
      </c>
      <c r="B77" s="72">
        <f t="shared" ca="1" si="8"/>
        <v>4.3854737557595946E-3</v>
      </c>
      <c r="C77" s="72">
        <f t="shared" ca="1" si="8"/>
        <v>0.88391874312091212</v>
      </c>
      <c r="D77" s="72">
        <f t="shared" ca="1" si="1"/>
        <v>0.10987795382384137</v>
      </c>
      <c r="E77" s="72">
        <f t="shared" ca="1" si="2"/>
        <v>47.854774283725561</v>
      </c>
      <c r="F77" s="72">
        <f t="shared" ca="1" si="3"/>
        <v>1693.1477573499051</v>
      </c>
      <c r="G77" s="72">
        <f t="shared" ca="1" si="4"/>
        <v>46.762146225123615</v>
      </c>
      <c r="H77" s="72">
        <f t="shared" ca="1" si="5"/>
        <v>1739.9099035750287</v>
      </c>
      <c r="I77" s="72">
        <f t="shared" ca="1" si="6"/>
        <v>1787.7646778587543</v>
      </c>
      <c r="J77" s="72">
        <f t="shared" ca="1" si="7"/>
        <v>94.616920508849262</v>
      </c>
    </row>
    <row r="78" spans="1:10" x14ac:dyDescent="0.3">
      <c r="A78" s="30">
        <v>64</v>
      </c>
      <c r="B78" s="72">
        <f t="shared" ca="1" si="8"/>
        <v>0.11021368787781838</v>
      </c>
      <c r="C78" s="72">
        <f t="shared" ca="1" si="8"/>
        <v>0.64013652253744846</v>
      </c>
      <c r="D78" s="72">
        <f t="shared" ca="1" si="1"/>
        <v>2.9193485955847525</v>
      </c>
      <c r="E78" s="72">
        <f t="shared" ca="1" si="2"/>
        <v>22.711789971739471</v>
      </c>
      <c r="F78" s="72">
        <f t="shared" ca="1" si="3"/>
        <v>1696.0671059454899</v>
      </c>
      <c r="G78" s="72">
        <f t="shared" ca="1" si="4"/>
        <v>91.697571913264483</v>
      </c>
      <c r="H78" s="72">
        <f t="shared" ca="1" si="5"/>
        <v>1787.7646778587543</v>
      </c>
      <c r="I78" s="72">
        <f t="shared" ca="1" si="6"/>
        <v>1810.4764678304939</v>
      </c>
      <c r="J78" s="72">
        <f t="shared" ca="1" si="7"/>
        <v>114.40936188500405</v>
      </c>
    </row>
    <row r="79" spans="1:10" x14ac:dyDescent="0.3">
      <c r="A79" s="30">
        <v>65</v>
      </c>
      <c r="B79" s="72">
        <f t="shared" ca="1" si="8"/>
        <v>0.54447680297668699</v>
      </c>
      <c r="C79" s="72">
        <f t="shared" ca="1" si="8"/>
        <v>0.50272627988221952</v>
      </c>
      <c r="D79" s="72">
        <f t="shared" ca="1" si="1"/>
        <v>19.657715926830193</v>
      </c>
      <c r="E79" s="72">
        <f t="shared" ca="1" si="2"/>
        <v>15.52477021746507</v>
      </c>
      <c r="F79" s="72">
        <f t="shared" ca="1" si="3"/>
        <v>1715.72482187232</v>
      </c>
      <c r="G79" s="72">
        <f t="shared" ca="1" si="4"/>
        <v>94.751645958173867</v>
      </c>
      <c r="H79" s="72">
        <f t="shared" ca="1" si="5"/>
        <v>1810.4764678304939</v>
      </c>
      <c r="I79" s="72">
        <f t="shared" ca="1" si="6"/>
        <v>1826.0012380479591</v>
      </c>
      <c r="J79" s="72">
        <f t="shared" ca="1" si="7"/>
        <v>110.27641617563904</v>
      </c>
    </row>
    <row r="80" spans="1:10" x14ac:dyDescent="0.3">
      <c r="A80" s="30">
        <v>66</v>
      </c>
      <c r="B80" s="72">
        <f t="shared" ca="1" si="8"/>
        <v>0.73494308761756788</v>
      </c>
      <c r="C80" s="72">
        <f t="shared" ca="1" si="8"/>
        <v>0.41324483576930848</v>
      </c>
      <c r="D80" s="72">
        <f t="shared" ca="1" si="1"/>
        <v>33.195267808676185</v>
      </c>
      <c r="E80" s="72">
        <f t="shared" ca="1" si="2"/>
        <v>11.847725397199691</v>
      </c>
      <c r="F80" s="72">
        <f t="shared" ca="1" si="3"/>
        <v>1748.9200896809962</v>
      </c>
      <c r="G80" s="72">
        <f t="shared" ca="1" si="4"/>
        <v>77.081148366962907</v>
      </c>
      <c r="H80" s="72">
        <f t="shared" ca="1" si="5"/>
        <v>1826.0012380479591</v>
      </c>
      <c r="I80" s="72">
        <f t="shared" ca="1" si="6"/>
        <v>1837.8489634451587</v>
      </c>
      <c r="J80" s="72">
        <f t="shared" ca="1" si="7"/>
        <v>88.928873764162518</v>
      </c>
    </row>
    <row r="81" spans="1:10" x14ac:dyDescent="0.3">
      <c r="A81" s="30">
        <v>67</v>
      </c>
      <c r="B81" s="72">
        <f t="shared" ref="B81:C112" ca="1" si="9">RAND()</f>
        <v>0.60170969903668259</v>
      </c>
      <c r="C81" s="72">
        <f t="shared" ca="1" si="9"/>
        <v>0.47024149366839552</v>
      </c>
      <c r="D81" s="72">
        <f t="shared" ref="D81:D144" ca="1" si="10">(1/$F$2)*LN(1/(1-B81))</f>
        <v>23.014353504371094</v>
      </c>
      <c r="E81" s="72">
        <f t="shared" ref="E81:E144" ca="1" si="11">(1/$J$2)*LN(1/(1-C81))</f>
        <v>14.118533882359884</v>
      </c>
      <c r="F81" s="72">
        <f t="shared" ref="F81:F144" ca="1" si="12">F80+D81</f>
        <v>1771.9344431853672</v>
      </c>
      <c r="G81" s="72">
        <f t="shared" ref="G81:G144" ca="1" si="13">IF(I80&gt;F81,I80-F81,0)</f>
        <v>65.914520259791516</v>
      </c>
      <c r="H81" s="72">
        <f t="shared" ref="H81:H144" ca="1" si="14">F81+G81</f>
        <v>1837.8489634451587</v>
      </c>
      <c r="I81" s="72">
        <f t="shared" ref="I81:I144" ca="1" si="15">H81+E81</f>
        <v>1851.9674973275187</v>
      </c>
      <c r="J81" s="72">
        <f t="shared" ref="J81:J144" ca="1" si="16">I81-F81</f>
        <v>80.033054142151514</v>
      </c>
    </row>
    <row r="82" spans="1:10" x14ac:dyDescent="0.3">
      <c r="A82" s="30">
        <v>68</v>
      </c>
      <c r="B82" s="72">
        <f t="shared" ca="1" si="9"/>
        <v>0.1656878758298308</v>
      </c>
      <c r="C82" s="72">
        <f t="shared" ca="1" si="9"/>
        <v>0.39123975918007159</v>
      </c>
      <c r="D82" s="72">
        <f t="shared" ca="1" si="10"/>
        <v>4.5286924258196537</v>
      </c>
      <c r="E82" s="72">
        <f t="shared" ca="1" si="11"/>
        <v>11.029572933882141</v>
      </c>
      <c r="F82" s="72">
        <f t="shared" ca="1" si="12"/>
        <v>1776.4631356111868</v>
      </c>
      <c r="G82" s="72">
        <f t="shared" ca="1" si="13"/>
        <v>75.504361716331914</v>
      </c>
      <c r="H82" s="72">
        <f t="shared" ca="1" si="14"/>
        <v>1851.9674973275187</v>
      </c>
      <c r="I82" s="72">
        <f t="shared" ca="1" si="15"/>
        <v>1862.9970702614007</v>
      </c>
      <c r="J82" s="72">
        <f t="shared" ca="1" si="16"/>
        <v>86.533934650213951</v>
      </c>
    </row>
    <row r="83" spans="1:10" x14ac:dyDescent="0.3">
      <c r="A83" s="30">
        <v>69</v>
      </c>
      <c r="B83" s="72">
        <f t="shared" ca="1" si="9"/>
        <v>0.18807803115452881</v>
      </c>
      <c r="C83" s="72">
        <f t="shared" ca="1" si="9"/>
        <v>0.39862737589178954</v>
      </c>
      <c r="D83" s="72">
        <f t="shared" ca="1" si="10"/>
        <v>5.2087760229766165</v>
      </c>
      <c r="E83" s="72">
        <f t="shared" ca="1" si="11"/>
        <v>11.300900660802988</v>
      </c>
      <c r="F83" s="72">
        <f t="shared" ca="1" si="12"/>
        <v>1781.6719116341633</v>
      </c>
      <c r="G83" s="72">
        <f t="shared" ca="1" si="13"/>
        <v>81.325158627237442</v>
      </c>
      <c r="H83" s="72">
        <f t="shared" ca="1" si="14"/>
        <v>1862.9970702614007</v>
      </c>
      <c r="I83" s="72">
        <f t="shared" ca="1" si="15"/>
        <v>1874.2979709222036</v>
      </c>
      <c r="J83" s="72">
        <f t="shared" ca="1" si="16"/>
        <v>92.626059288040324</v>
      </c>
    </row>
    <row r="84" spans="1:10" x14ac:dyDescent="0.3">
      <c r="A84" s="30">
        <v>70</v>
      </c>
      <c r="B84" s="72">
        <f t="shared" ca="1" si="9"/>
        <v>0.89278614515501509</v>
      </c>
      <c r="C84" s="72">
        <f t="shared" ca="1" si="9"/>
        <v>0.75863442565823269</v>
      </c>
      <c r="D84" s="72">
        <f t="shared" ca="1" si="10"/>
        <v>55.823244893490951</v>
      </c>
      <c r="E84" s="72">
        <f t="shared" ca="1" si="11"/>
        <v>31.587613085528407</v>
      </c>
      <c r="F84" s="72">
        <f t="shared" ca="1" si="12"/>
        <v>1837.4951565276542</v>
      </c>
      <c r="G84" s="72">
        <f t="shared" ca="1" si="13"/>
        <v>36.802814394549387</v>
      </c>
      <c r="H84" s="72">
        <f t="shared" ca="1" si="14"/>
        <v>1874.2979709222036</v>
      </c>
      <c r="I84" s="72">
        <f t="shared" ca="1" si="15"/>
        <v>1905.8855840077319</v>
      </c>
      <c r="J84" s="72">
        <f t="shared" ca="1" si="16"/>
        <v>68.390427480077733</v>
      </c>
    </row>
    <row r="85" spans="1:10" x14ac:dyDescent="0.3">
      <c r="A85" s="30">
        <v>71</v>
      </c>
      <c r="B85" s="72">
        <f t="shared" ca="1" si="9"/>
        <v>0.64072636095004498</v>
      </c>
      <c r="C85" s="72">
        <f t="shared" ca="1" si="9"/>
        <v>0.58952000688013062</v>
      </c>
      <c r="D85" s="72">
        <f t="shared" ca="1" si="10"/>
        <v>25.591773876862391</v>
      </c>
      <c r="E85" s="72">
        <f t="shared" ca="1" si="11"/>
        <v>19.787290869102474</v>
      </c>
      <c r="F85" s="72">
        <f t="shared" ca="1" si="12"/>
        <v>1863.0869304045166</v>
      </c>
      <c r="G85" s="72">
        <f t="shared" ca="1" si="13"/>
        <v>42.798653603215371</v>
      </c>
      <c r="H85" s="72">
        <f t="shared" ca="1" si="14"/>
        <v>1905.8855840077319</v>
      </c>
      <c r="I85" s="72">
        <f t="shared" ca="1" si="15"/>
        <v>1925.6728748768344</v>
      </c>
      <c r="J85" s="72">
        <f t="shared" ca="1" si="16"/>
        <v>62.585944472317806</v>
      </c>
    </row>
    <row r="86" spans="1:10" x14ac:dyDescent="0.3">
      <c r="A86" s="30">
        <v>72</v>
      </c>
      <c r="B86" s="72">
        <f t="shared" ca="1" si="9"/>
        <v>0.5340489576480566</v>
      </c>
      <c r="C86" s="72">
        <f t="shared" ca="1" si="9"/>
        <v>0.62978756286652571</v>
      </c>
      <c r="D86" s="72">
        <f t="shared" ca="1" si="10"/>
        <v>19.091867742655069</v>
      </c>
      <c r="E86" s="72">
        <f t="shared" ca="1" si="11"/>
        <v>22.081739637614533</v>
      </c>
      <c r="F86" s="72">
        <f t="shared" ca="1" si="12"/>
        <v>1882.1787981471716</v>
      </c>
      <c r="G86" s="72">
        <f t="shared" ca="1" si="13"/>
        <v>43.494076729662766</v>
      </c>
      <c r="H86" s="72">
        <f t="shared" ca="1" si="14"/>
        <v>1925.6728748768344</v>
      </c>
      <c r="I86" s="72">
        <f t="shared" ca="1" si="15"/>
        <v>1947.7546145144488</v>
      </c>
      <c r="J86" s="72">
        <f t="shared" ca="1" si="16"/>
        <v>65.575816367277184</v>
      </c>
    </row>
    <row r="87" spans="1:10" x14ac:dyDescent="0.3">
      <c r="A87" s="30">
        <v>73</v>
      </c>
      <c r="B87" s="72">
        <f t="shared" ca="1" si="9"/>
        <v>7.8310533311969799E-2</v>
      </c>
      <c r="C87" s="72">
        <f t="shared" ca="1" si="9"/>
        <v>2.5536640039168779E-3</v>
      </c>
      <c r="D87" s="72">
        <f t="shared" ca="1" si="10"/>
        <v>2.0386729045688821</v>
      </c>
      <c r="E87" s="72">
        <f t="shared" ca="1" si="11"/>
        <v>5.6820670343934593E-2</v>
      </c>
      <c r="F87" s="72">
        <f t="shared" ca="1" si="12"/>
        <v>1884.2174710517404</v>
      </c>
      <c r="G87" s="72">
        <f t="shared" ca="1" si="13"/>
        <v>63.5371434627084</v>
      </c>
      <c r="H87" s="72">
        <f t="shared" ca="1" si="14"/>
        <v>1947.7546145144488</v>
      </c>
      <c r="I87" s="72">
        <f t="shared" ca="1" si="15"/>
        <v>1947.8114351847928</v>
      </c>
      <c r="J87" s="72">
        <f t="shared" ca="1" si="16"/>
        <v>63.593964133052395</v>
      </c>
    </row>
    <row r="88" spans="1:10" x14ac:dyDescent="0.3">
      <c r="A88" s="30">
        <v>74</v>
      </c>
      <c r="B88" s="72">
        <f t="shared" ca="1" si="9"/>
        <v>0.18051171636371288</v>
      </c>
      <c r="C88" s="72">
        <f t="shared" ca="1" si="9"/>
        <v>0.63892054046183988</v>
      </c>
      <c r="D88" s="72">
        <f t="shared" ca="1" si="10"/>
        <v>4.9768794466636956</v>
      </c>
      <c r="E88" s="72">
        <f t="shared" ca="1" si="11"/>
        <v>22.6368274521292</v>
      </c>
      <c r="F88" s="72">
        <f t="shared" ca="1" si="12"/>
        <v>1889.194350498404</v>
      </c>
      <c r="G88" s="72">
        <f t="shared" ca="1" si="13"/>
        <v>58.617084686388807</v>
      </c>
      <c r="H88" s="72">
        <f t="shared" ca="1" si="14"/>
        <v>1947.8114351847928</v>
      </c>
      <c r="I88" s="72">
        <f t="shared" ca="1" si="15"/>
        <v>1970.448262636922</v>
      </c>
      <c r="J88" s="72">
        <f t="shared" ca="1" si="16"/>
        <v>81.25391213851799</v>
      </c>
    </row>
    <row r="89" spans="1:10" x14ac:dyDescent="0.3">
      <c r="A89" s="30">
        <v>75</v>
      </c>
      <c r="B89" s="72">
        <f t="shared" ca="1" si="9"/>
        <v>0.43113129086099489</v>
      </c>
      <c r="C89" s="72">
        <f t="shared" ca="1" si="9"/>
        <v>0.75738933384185791</v>
      </c>
      <c r="D89" s="72">
        <f t="shared" ca="1" si="10"/>
        <v>14.102640278263737</v>
      </c>
      <c r="E89" s="72">
        <f t="shared" ca="1" si="11"/>
        <v>31.473273720259957</v>
      </c>
      <c r="F89" s="72">
        <f t="shared" ca="1" si="12"/>
        <v>1903.2969907766678</v>
      </c>
      <c r="G89" s="72">
        <f t="shared" ca="1" si="13"/>
        <v>67.151271860254155</v>
      </c>
      <c r="H89" s="72">
        <f t="shared" ca="1" si="14"/>
        <v>1970.448262636922</v>
      </c>
      <c r="I89" s="72">
        <f t="shared" ca="1" si="15"/>
        <v>2001.921536357182</v>
      </c>
      <c r="J89" s="72">
        <f t="shared" ca="1" si="16"/>
        <v>98.624545580514223</v>
      </c>
    </row>
    <row r="90" spans="1:10" x14ac:dyDescent="0.3">
      <c r="A90" s="30">
        <v>76</v>
      </c>
      <c r="B90" s="72">
        <f t="shared" ca="1" si="9"/>
        <v>0.32513186998604571</v>
      </c>
      <c r="C90" s="72">
        <f t="shared" ca="1" si="9"/>
        <v>0.45486996696615722</v>
      </c>
      <c r="D90" s="72">
        <f t="shared" ca="1" si="10"/>
        <v>9.8309492534430643</v>
      </c>
      <c r="E90" s="72">
        <f t="shared" ca="1" si="11"/>
        <v>13.482909334554728</v>
      </c>
      <c r="F90" s="72">
        <f t="shared" ca="1" si="12"/>
        <v>1913.1279400301109</v>
      </c>
      <c r="G90" s="72">
        <f t="shared" ca="1" si="13"/>
        <v>88.7935963270711</v>
      </c>
      <c r="H90" s="72">
        <f t="shared" ca="1" si="14"/>
        <v>2001.921536357182</v>
      </c>
      <c r="I90" s="72">
        <f t="shared" ca="1" si="15"/>
        <v>2015.4044456917368</v>
      </c>
      <c r="J90" s="72">
        <f t="shared" ca="1" si="16"/>
        <v>102.27650566162583</v>
      </c>
    </row>
    <row r="91" spans="1:10" x14ac:dyDescent="0.3">
      <c r="A91" s="30">
        <v>77</v>
      </c>
      <c r="B91" s="72">
        <f t="shared" ca="1" si="9"/>
        <v>0.70993048580620233</v>
      </c>
      <c r="C91" s="72">
        <f t="shared" ca="1" si="9"/>
        <v>2.5927475548243484E-2</v>
      </c>
      <c r="D91" s="72">
        <f t="shared" ca="1" si="10"/>
        <v>30.940867015237885</v>
      </c>
      <c r="E91" s="72">
        <f t="shared" ca="1" si="11"/>
        <v>0.58376705975319132</v>
      </c>
      <c r="F91" s="72">
        <f t="shared" ca="1" si="12"/>
        <v>1944.0688070453489</v>
      </c>
      <c r="G91" s="72">
        <f t="shared" ca="1" si="13"/>
        <v>71.335638646387906</v>
      </c>
      <c r="H91" s="72">
        <f t="shared" ca="1" si="14"/>
        <v>2015.4044456917368</v>
      </c>
      <c r="I91" s="72">
        <f t="shared" ca="1" si="15"/>
        <v>2015.98821275149</v>
      </c>
      <c r="J91" s="72">
        <f t="shared" ca="1" si="16"/>
        <v>71.919405706141106</v>
      </c>
    </row>
    <row r="92" spans="1:10" x14ac:dyDescent="0.3">
      <c r="A92" s="30">
        <v>78</v>
      </c>
      <c r="B92" s="72">
        <f t="shared" ca="1" si="9"/>
        <v>0.62666889761241362</v>
      </c>
      <c r="C92" s="72">
        <f t="shared" ca="1" si="9"/>
        <v>0.27745974766431869</v>
      </c>
      <c r="D92" s="72">
        <f t="shared" ca="1" si="10"/>
        <v>24.632239478162443</v>
      </c>
      <c r="E92" s="72">
        <f t="shared" ca="1" si="11"/>
        <v>7.2218255104911169</v>
      </c>
      <c r="F92" s="72">
        <f t="shared" ca="1" si="12"/>
        <v>1968.7010465235114</v>
      </c>
      <c r="G92" s="72">
        <f t="shared" ca="1" si="13"/>
        <v>47.28716622797856</v>
      </c>
      <c r="H92" s="72">
        <f t="shared" ca="1" si="14"/>
        <v>2015.98821275149</v>
      </c>
      <c r="I92" s="72">
        <f t="shared" ca="1" si="15"/>
        <v>2023.210038261981</v>
      </c>
      <c r="J92" s="72">
        <f t="shared" ca="1" si="16"/>
        <v>54.508991738469604</v>
      </c>
    </row>
    <row r="93" spans="1:10" x14ac:dyDescent="0.3">
      <c r="A93" s="30">
        <v>79</v>
      </c>
      <c r="B93" s="72">
        <f t="shared" ca="1" si="9"/>
        <v>0.63936164607532453</v>
      </c>
      <c r="C93" s="72">
        <f t="shared" ca="1" si="9"/>
        <v>0.80123894568238718</v>
      </c>
      <c r="D93" s="72">
        <f t="shared" ca="1" si="10"/>
        <v>25.496990311456436</v>
      </c>
      <c r="E93" s="72">
        <f t="shared" ca="1" si="11"/>
        <v>35.903375728583811</v>
      </c>
      <c r="F93" s="72">
        <f t="shared" ca="1" si="12"/>
        <v>1994.1980368349678</v>
      </c>
      <c r="G93" s="72">
        <f t="shared" ca="1" si="13"/>
        <v>29.012001427013274</v>
      </c>
      <c r="H93" s="72">
        <f t="shared" ca="1" si="14"/>
        <v>2023.210038261981</v>
      </c>
      <c r="I93" s="72">
        <f t="shared" ca="1" si="15"/>
        <v>2059.1134139905648</v>
      </c>
      <c r="J93" s="72">
        <f t="shared" ca="1" si="16"/>
        <v>64.915377155597071</v>
      </c>
    </row>
    <row r="94" spans="1:10" x14ac:dyDescent="0.3">
      <c r="A94" s="30">
        <v>80</v>
      </c>
      <c r="B94" s="72">
        <f t="shared" ca="1" si="9"/>
        <v>0.7027894741319084</v>
      </c>
      <c r="C94" s="72">
        <f t="shared" ca="1" si="9"/>
        <v>0.50167755477650933</v>
      </c>
      <c r="D94" s="72">
        <f t="shared" ca="1" si="10"/>
        <v>30.332863749551837</v>
      </c>
      <c r="E94" s="72">
        <f t="shared" ca="1" si="11"/>
        <v>15.477954024755674</v>
      </c>
      <c r="F94" s="72">
        <f t="shared" ca="1" si="12"/>
        <v>2024.5309005845195</v>
      </c>
      <c r="G94" s="72">
        <f t="shared" ca="1" si="13"/>
        <v>34.582513406045337</v>
      </c>
      <c r="H94" s="72">
        <f t="shared" ca="1" si="14"/>
        <v>2059.1134139905648</v>
      </c>
      <c r="I94" s="72">
        <f t="shared" ca="1" si="15"/>
        <v>2074.5913680153203</v>
      </c>
      <c r="J94" s="72">
        <f t="shared" ca="1" si="16"/>
        <v>50.060467430800827</v>
      </c>
    </row>
    <row r="95" spans="1:10" x14ac:dyDescent="0.3">
      <c r="A95" s="30">
        <v>81</v>
      </c>
      <c r="B95" s="72">
        <f t="shared" ca="1" si="9"/>
        <v>0.31736733194597055</v>
      </c>
      <c r="C95" s="72">
        <f t="shared" ca="1" si="9"/>
        <v>0.24260935220254365</v>
      </c>
      <c r="D95" s="72">
        <f t="shared" ca="1" si="10"/>
        <v>9.544959634656804</v>
      </c>
      <c r="E95" s="72">
        <f t="shared" ca="1" si="11"/>
        <v>6.175024696949281</v>
      </c>
      <c r="F95" s="72">
        <f t="shared" ca="1" si="12"/>
        <v>2034.0758602191763</v>
      </c>
      <c r="G95" s="72">
        <f t="shared" ca="1" si="13"/>
        <v>40.515507796143993</v>
      </c>
      <c r="H95" s="72">
        <f t="shared" ca="1" si="14"/>
        <v>2074.5913680153203</v>
      </c>
      <c r="I95" s="72">
        <f t="shared" ca="1" si="15"/>
        <v>2080.7663927122694</v>
      </c>
      <c r="J95" s="72">
        <f t="shared" ca="1" si="16"/>
        <v>46.690532493093087</v>
      </c>
    </row>
    <row r="96" spans="1:10" x14ac:dyDescent="0.3">
      <c r="A96" s="30">
        <v>82</v>
      </c>
      <c r="B96" s="72">
        <f t="shared" ca="1" si="9"/>
        <v>0.92839709198571418</v>
      </c>
      <c r="C96" s="72">
        <f t="shared" ca="1" si="9"/>
        <v>0.49623642792752753</v>
      </c>
      <c r="D96" s="72">
        <f t="shared" ca="1" si="10"/>
        <v>65.91548977789077</v>
      </c>
      <c r="E96" s="72">
        <f t="shared" ca="1" si="11"/>
        <v>15.23662720010724</v>
      </c>
      <c r="F96" s="72">
        <f t="shared" ca="1" si="12"/>
        <v>2099.9913499970671</v>
      </c>
      <c r="G96" s="72">
        <f t="shared" ca="1" si="13"/>
        <v>0</v>
      </c>
      <c r="H96" s="72">
        <f t="shared" ca="1" si="14"/>
        <v>2099.9913499970671</v>
      </c>
      <c r="I96" s="72">
        <f t="shared" ca="1" si="15"/>
        <v>2115.2279771971744</v>
      </c>
      <c r="J96" s="72">
        <f t="shared" ca="1" si="16"/>
        <v>15.23662720010725</v>
      </c>
    </row>
    <row r="97" spans="1:10" x14ac:dyDescent="0.3">
      <c r="A97" s="30">
        <v>83</v>
      </c>
      <c r="B97" s="72">
        <f t="shared" ca="1" si="9"/>
        <v>0.46178705954842869</v>
      </c>
      <c r="C97" s="72">
        <f t="shared" ca="1" si="9"/>
        <v>0.11039482031973236</v>
      </c>
      <c r="D97" s="72">
        <f t="shared" ca="1" si="10"/>
        <v>15.487524925817272</v>
      </c>
      <c r="E97" s="72">
        <f t="shared" ca="1" si="11"/>
        <v>2.5995007337878779</v>
      </c>
      <c r="F97" s="72">
        <f t="shared" ca="1" si="12"/>
        <v>2115.4788749228842</v>
      </c>
      <c r="G97" s="72">
        <f t="shared" ca="1" si="13"/>
        <v>0</v>
      </c>
      <c r="H97" s="72">
        <f t="shared" ca="1" si="14"/>
        <v>2115.4788749228842</v>
      </c>
      <c r="I97" s="72">
        <f t="shared" ca="1" si="15"/>
        <v>2118.0783756566721</v>
      </c>
      <c r="J97" s="72">
        <f t="shared" ca="1" si="16"/>
        <v>2.5995007337878633</v>
      </c>
    </row>
    <row r="98" spans="1:10" x14ac:dyDescent="0.3">
      <c r="A98" s="30">
        <v>84</v>
      </c>
      <c r="B98" s="72">
        <f t="shared" ca="1" si="9"/>
        <v>0.39575066668901238</v>
      </c>
      <c r="C98" s="72">
        <f t="shared" ca="1" si="9"/>
        <v>9.1357427290570614E-2</v>
      </c>
      <c r="D98" s="72">
        <f t="shared" ca="1" si="10"/>
        <v>12.594209068305783</v>
      </c>
      <c r="E98" s="72">
        <f t="shared" ca="1" si="11"/>
        <v>2.1289660327174169</v>
      </c>
      <c r="F98" s="72">
        <f t="shared" ca="1" si="12"/>
        <v>2128.0730839911898</v>
      </c>
      <c r="G98" s="72">
        <f t="shared" ca="1" si="13"/>
        <v>0</v>
      </c>
      <c r="H98" s="72">
        <f t="shared" ca="1" si="14"/>
        <v>2128.0730839911898</v>
      </c>
      <c r="I98" s="72">
        <f t="shared" ca="1" si="15"/>
        <v>2130.2020500239073</v>
      </c>
      <c r="J98" s="72">
        <f t="shared" ca="1" si="16"/>
        <v>2.1289660327174715</v>
      </c>
    </row>
    <row r="99" spans="1:10" x14ac:dyDescent="0.3">
      <c r="A99" s="30">
        <v>85</v>
      </c>
      <c r="B99" s="72">
        <f t="shared" ca="1" si="9"/>
        <v>0.16699347118999819</v>
      </c>
      <c r="C99" s="72">
        <f t="shared" ca="1" si="9"/>
        <v>0.57929661187967452</v>
      </c>
      <c r="D99" s="72">
        <f t="shared" ca="1" si="10"/>
        <v>4.5678449784731017</v>
      </c>
      <c r="E99" s="72">
        <f t="shared" ca="1" si="11"/>
        <v>19.240605219721918</v>
      </c>
      <c r="F99" s="72">
        <f t="shared" ca="1" si="12"/>
        <v>2132.640928969663</v>
      </c>
      <c r="G99" s="72">
        <f t="shared" ca="1" si="13"/>
        <v>0</v>
      </c>
      <c r="H99" s="72">
        <f t="shared" ca="1" si="14"/>
        <v>2132.640928969663</v>
      </c>
      <c r="I99" s="72">
        <f t="shared" ca="1" si="15"/>
        <v>2151.8815341893851</v>
      </c>
      <c r="J99" s="72">
        <f t="shared" ca="1" si="16"/>
        <v>19.240605219722056</v>
      </c>
    </row>
    <row r="100" spans="1:10" x14ac:dyDescent="0.3">
      <c r="A100" s="30">
        <v>86</v>
      </c>
      <c r="B100" s="72">
        <f t="shared" ca="1" si="9"/>
        <v>0.70791606510059402</v>
      </c>
      <c r="C100" s="72">
        <f t="shared" ca="1" si="9"/>
        <v>0.30280518373509613</v>
      </c>
      <c r="D100" s="72">
        <f t="shared" ca="1" si="10"/>
        <v>30.76785174333904</v>
      </c>
      <c r="E100" s="72">
        <f t="shared" ca="1" si="11"/>
        <v>8.0153422320015046</v>
      </c>
      <c r="F100" s="72">
        <f t="shared" ca="1" si="12"/>
        <v>2163.4087807130022</v>
      </c>
      <c r="G100" s="72">
        <f t="shared" ca="1" si="13"/>
        <v>0</v>
      </c>
      <c r="H100" s="72">
        <f t="shared" ca="1" si="14"/>
        <v>2163.4087807130022</v>
      </c>
      <c r="I100" s="72">
        <f t="shared" ca="1" si="15"/>
        <v>2171.4241229450035</v>
      </c>
      <c r="J100" s="72">
        <f t="shared" ca="1" si="16"/>
        <v>8.0153422320013306</v>
      </c>
    </row>
    <row r="101" spans="1:10" x14ac:dyDescent="0.3">
      <c r="A101" s="30">
        <v>87</v>
      </c>
      <c r="B101" s="72">
        <f t="shared" ca="1" si="9"/>
        <v>0.20522609661668167</v>
      </c>
      <c r="C101" s="72">
        <f t="shared" ca="1" si="9"/>
        <v>0.22023107680162768</v>
      </c>
      <c r="D101" s="72">
        <f t="shared" ca="1" si="10"/>
        <v>5.7424400759159111</v>
      </c>
      <c r="E101" s="72">
        <f t="shared" ca="1" si="11"/>
        <v>5.5279478999925118</v>
      </c>
      <c r="F101" s="72">
        <f t="shared" ca="1" si="12"/>
        <v>2169.1512207889182</v>
      </c>
      <c r="G101" s="72">
        <f t="shared" ca="1" si="13"/>
        <v>2.2729021560853653</v>
      </c>
      <c r="H101" s="72">
        <f t="shared" ca="1" si="14"/>
        <v>2171.4241229450035</v>
      </c>
      <c r="I101" s="72">
        <f t="shared" ca="1" si="15"/>
        <v>2176.9520708449959</v>
      </c>
      <c r="J101" s="72">
        <f t="shared" ca="1" si="16"/>
        <v>7.8008500560777065</v>
      </c>
    </row>
    <row r="102" spans="1:10" x14ac:dyDescent="0.3">
      <c r="A102" s="30">
        <v>88</v>
      </c>
      <c r="B102" s="72">
        <f t="shared" ca="1" si="9"/>
        <v>0.99888037771555926</v>
      </c>
      <c r="C102" s="72">
        <f t="shared" ca="1" si="9"/>
        <v>0.76451921367462417</v>
      </c>
      <c r="D102" s="72">
        <f t="shared" ca="1" si="10"/>
        <v>169.86909741476063</v>
      </c>
      <c r="E102" s="72">
        <f t="shared" ca="1" si="11"/>
        <v>32.136132346284619</v>
      </c>
      <c r="F102" s="72">
        <f t="shared" ca="1" si="12"/>
        <v>2339.0203182036789</v>
      </c>
      <c r="G102" s="72">
        <f t="shared" ca="1" si="13"/>
        <v>0</v>
      </c>
      <c r="H102" s="72">
        <f t="shared" ca="1" si="14"/>
        <v>2339.0203182036789</v>
      </c>
      <c r="I102" s="72">
        <f t="shared" ca="1" si="15"/>
        <v>2371.1564505499637</v>
      </c>
      <c r="J102" s="72">
        <f t="shared" ca="1" si="16"/>
        <v>32.136132346284739</v>
      </c>
    </row>
    <row r="103" spans="1:10" x14ac:dyDescent="0.3">
      <c r="A103" s="30">
        <v>89</v>
      </c>
      <c r="B103" s="72">
        <f t="shared" ca="1" si="9"/>
        <v>0.63813104621718308</v>
      </c>
      <c r="C103" s="72">
        <f t="shared" ca="1" si="9"/>
        <v>0.3043498992602065</v>
      </c>
      <c r="D103" s="72">
        <f t="shared" ca="1" si="10"/>
        <v>25.411828470530406</v>
      </c>
      <c r="E103" s="72">
        <f t="shared" ca="1" si="11"/>
        <v>8.0646327528968005</v>
      </c>
      <c r="F103" s="72">
        <f t="shared" ca="1" si="12"/>
        <v>2364.4321466742094</v>
      </c>
      <c r="G103" s="72">
        <f t="shared" ca="1" si="13"/>
        <v>6.7243038757542308</v>
      </c>
      <c r="H103" s="72">
        <f t="shared" ca="1" si="14"/>
        <v>2371.1564505499637</v>
      </c>
      <c r="I103" s="72">
        <f t="shared" ca="1" si="15"/>
        <v>2379.2210833028603</v>
      </c>
      <c r="J103" s="72">
        <f t="shared" ca="1" si="16"/>
        <v>14.788936628650845</v>
      </c>
    </row>
    <row r="104" spans="1:10" x14ac:dyDescent="0.3">
      <c r="A104" s="30">
        <v>90</v>
      </c>
      <c r="B104" s="72">
        <f t="shared" ca="1" si="9"/>
        <v>0.33203831381441451</v>
      </c>
      <c r="C104" s="72">
        <f t="shared" ca="1" si="9"/>
        <v>0.27733072740955567</v>
      </c>
      <c r="D104" s="72">
        <f t="shared" ca="1" si="10"/>
        <v>10.088111577500317</v>
      </c>
      <c r="E104" s="72">
        <f t="shared" ca="1" si="11"/>
        <v>7.2178577580916503</v>
      </c>
      <c r="F104" s="72">
        <f t="shared" ca="1" si="12"/>
        <v>2374.5202582517099</v>
      </c>
      <c r="G104" s="72">
        <f t="shared" ca="1" si="13"/>
        <v>4.700825051150332</v>
      </c>
      <c r="H104" s="72">
        <f t="shared" ca="1" si="14"/>
        <v>2379.2210833028603</v>
      </c>
      <c r="I104" s="72">
        <f t="shared" ca="1" si="15"/>
        <v>2386.4389410609519</v>
      </c>
      <c r="J104" s="72">
        <f t="shared" ca="1" si="16"/>
        <v>11.918682809242</v>
      </c>
    </row>
    <row r="105" spans="1:10" x14ac:dyDescent="0.3">
      <c r="A105" s="30">
        <v>91</v>
      </c>
      <c r="B105" s="72">
        <f t="shared" ca="1" si="9"/>
        <v>0.65260981692793996</v>
      </c>
      <c r="C105" s="72">
        <f t="shared" ca="1" si="9"/>
        <v>0.48429894969553144</v>
      </c>
      <c r="D105" s="72">
        <f t="shared" ca="1" si="10"/>
        <v>26.432667096465774</v>
      </c>
      <c r="E105" s="72">
        <f t="shared" ca="1" si="11"/>
        <v>14.716178694875959</v>
      </c>
      <c r="F105" s="72">
        <f t="shared" ca="1" si="12"/>
        <v>2400.9529253481755</v>
      </c>
      <c r="G105" s="72">
        <f t="shared" ca="1" si="13"/>
        <v>0</v>
      </c>
      <c r="H105" s="72">
        <f t="shared" ca="1" si="14"/>
        <v>2400.9529253481755</v>
      </c>
      <c r="I105" s="72">
        <f t="shared" ca="1" si="15"/>
        <v>2415.6691040430514</v>
      </c>
      <c r="J105" s="72">
        <f t="shared" ca="1" si="16"/>
        <v>14.716178694875907</v>
      </c>
    </row>
    <row r="106" spans="1:10" x14ac:dyDescent="0.3">
      <c r="A106" s="30">
        <v>92</v>
      </c>
      <c r="B106" s="72">
        <f t="shared" ca="1" si="9"/>
        <v>0.53920744568533929</v>
      </c>
      <c r="C106" s="72">
        <f t="shared" ca="1" si="9"/>
        <v>0.59718650598060408</v>
      </c>
      <c r="D106" s="72">
        <f t="shared" ca="1" si="10"/>
        <v>19.370183197557736</v>
      </c>
      <c r="E106" s="72">
        <f t="shared" ca="1" si="11"/>
        <v>20.206258181204074</v>
      </c>
      <c r="F106" s="72">
        <f t="shared" ca="1" si="12"/>
        <v>2420.3231085457332</v>
      </c>
      <c r="G106" s="72">
        <f t="shared" ca="1" si="13"/>
        <v>0</v>
      </c>
      <c r="H106" s="72">
        <f t="shared" ca="1" si="14"/>
        <v>2420.3231085457332</v>
      </c>
      <c r="I106" s="72">
        <f t="shared" ca="1" si="15"/>
        <v>2440.5293667269375</v>
      </c>
      <c r="J106" s="72">
        <f t="shared" ca="1" si="16"/>
        <v>20.206258181204248</v>
      </c>
    </row>
    <row r="107" spans="1:10" x14ac:dyDescent="0.3">
      <c r="A107" s="30">
        <v>93</v>
      </c>
      <c r="B107" s="72">
        <f t="shared" ca="1" si="9"/>
        <v>0.55042678917266696</v>
      </c>
      <c r="C107" s="72">
        <f t="shared" ca="1" si="9"/>
        <v>0.59971194993734211</v>
      </c>
      <c r="D107" s="72">
        <f t="shared" ca="1" si="10"/>
        <v>19.986414165916475</v>
      </c>
      <c r="E107" s="72">
        <f t="shared" ca="1" si="11"/>
        <v>20.34601924184927</v>
      </c>
      <c r="F107" s="72">
        <f t="shared" ca="1" si="12"/>
        <v>2440.3095227116496</v>
      </c>
      <c r="G107" s="72">
        <f t="shared" ca="1" si="13"/>
        <v>0.21984401528789022</v>
      </c>
      <c r="H107" s="72">
        <f t="shared" ca="1" si="14"/>
        <v>2440.5293667269375</v>
      </c>
      <c r="I107" s="72">
        <f t="shared" ca="1" si="15"/>
        <v>2460.8753859687868</v>
      </c>
      <c r="J107" s="72">
        <f t="shared" ca="1" si="16"/>
        <v>20.565863257137153</v>
      </c>
    </row>
    <row r="108" spans="1:10" x14ac:dyDescent="0.3">
      <c r="A108" s="30">
        <v>94</v>
      </c>
      <c r="B108" s="72">
        <f t="shared" ca="1" si="9"/>
        <v>0.50542198090430768</v>
      </c>
      <c r="C108" s="72">
        <f t="shared" ca="1" si="9"/>
        <v>0.96386230468647249</v>
      </c>
      <c r="D108" s="72">
        <f t="shared" ca="1" si="10"/>
        <v>17.6012591665556</v>
      </c>
      <c r="E108" s="72">
        <f t="shared" ca="1" si="11"/>
        <v>73.787083709368673</v>
      </c>
      <c r="F108" s="72">
        <f t="shared" ca="1" si="12"/>
        <v>2457.9107818782054</v>
      </c>
      <c r="G108" s="72">
        <f t="shared" ca="1" si="13"/>
        <v>2.9646040905813607</v>
      </c>
      <c r="H108" s="72">
        <f t="shared" ca="1" si="14"/>
        <v>2460.8753859687868</v>
      </c>
      <c r="I108" s="72">
        <f t="shared" ca="1" si="15"/>
        <v>2534.6624696781555</v>
      </c>
      <c r="J108" s="72">
        <f t="shared" ca="1" si="16"/>
        <v>76.751687799950105</v>
      </c>
    </row>
    <row r="109" spans="1:10" x14ac:dyDescent="0.3">
      <c r="A109" s="30">
        <v>95</v>
      </c>
      <c r="B109" s="72">
        <f t="shared" ca="1" si="9"/>
        <v>3.2639736376365414E-2</v>
      </c>
      <c r="C109" s="72">
        <f t="shared" ca="1" si="9"/>
        <v>0.48033113211355172</v>
      </c>
      <c r="D109" s="72">
        <f t="shared" ca="1" si="10"/>
        <v>0.82960737181094579</v>
      </c>
      <c r="E109" s="72">
        <f t="shared" ca="1" si="11"/>
        <v>14.545854728248909</v>
      </c>
      <c r="F109" s="72">
        <f t="shared" ca="1" si="12"/>
        <v>2458.7403892500165</v>
      </c>
      <c r="G109" s="72">
        <f t="shared" ca="1" si="13"/>
        <v>75.922080428138997</v>
      </c>
      <c r="H109" s="72">
        <f t="shared" ca="1" si="14"/>
        <v>2534.6624696781555</v>
      </c>
      <c r="I109" s="72">
        <f t="shared" ca="1" si="15"/>
        <v>2549.2083244064042</v>
      </c>
      <c r="J109" s="72">
        <f t="shared" ca="1" si="16"/>
        <v>90.467935156387739</v>
      </c>
    </row>
    <row r="110" spans="1:10" x14ac:dyDescent="0.3">
      <c r="A110" s="30">
        <v>96</v>
      </c>
      <c r="B110" s="72">
        <f t="shared" ca="1" si="9"/>
        <v>0.64056946586117736</v>
      </c>
      <c r="C110" s="72">
        <f t="shared" ca="1" si="9"/>
        <v>0.89881278087397998</v>
      </c>
      <c r="D110" s="72">
        <f t="shared" ca="1" si="10"/>
        <v>25.580858739785622</v>
      </c>
      <c r="E110" s="72">
        <f t="shared" ca="1" si="11"/>
        <v>50.906284962790629</v>
      </c>
      <c r="F110" s="72">
        <f t="shared" ca="1" si="12"/>
        <v>2484.321247989802</v>
      </c>
      <c r="G110" s="72">
        <f t="shared" ca="1" si="13"/>
        <v>64.887076416602213</v>
      </c>
      <c r="H110" s="72">
        <f t="shared" ca="1" si="14"/>
        <v>2549.2083244064042</v>
      </c>
      <c r="I110" s="72">
        <f t="shared" ca="1" si="15"/>
        <v>2600.114609369195</v>
      </c>
      <c r="J110" s="72">
        <f t="shared" ca="1" si="16"/>
        <v>115.79336137939299</v>
      </c>
    </row>
    <row r="111" spans="1:10" x14ac:dyDescent="0.3">
      <c r="A111" s="30">
        <v>97</v>
      </c>
      <c r="B111" s="72">
        <f t="shared" ca="1" si="9"/>
        <v>0.91969052050174072</v>
      </c>
      <c r="C111" s="72">
        <f t="shared" ca="1" si="9"/>
        <v>0.31127281995936185</v>
      </c>
      <c r="D111" s="72">
        <f t="shared" ca="1" si="10"/>
        <v>63.046690349001089</v>
      </c>
      <c r="E111" s="72">
        <f t="shared" ca="1" si="11"/>
        <v>8.2868900331397626</v>
      </c>
      <c r="F111" s="72">
        <f t="shared" ca="1" si="12"/>
        <v>2547.367938338803</v>
      </c>
      <c r="G111" s="72">
        <f t="shared" ca="1" si="13"/>
        <v>52.746671030392008</v>
      </c>
      <c r="H111" s="72">
        <f t="shared" ca="1" si="14"/>
        <v>2600.114609369195</v>
      </c>
      <c r="I111" s="72">
        <f t="shared" ca="1" si="15"/>
        <v>2608.4014994023346</v>
      </c>
      <c r="J111" s="72">
        <f t="shared" ca="1" si="16"/>
        <v>61.033561063531579</v>
      </c>
    </row>
    <row r="112" spans="1:10" x14ac:dyDescent="0.3">
      <c r="A112" s="30">
        <v>98</v>
      </c>
      <c r="B112" s="72">
        <f t="shared" ca="1" si="9"/>
        <v>0.2900985648431974</v>
      </c>
      <c r="C112" s="72">
        <f t="shared" ca="1" si="9"/>
        <v>0.32523318610613161</v>
      </c>
      <c r="D112" s="72">
        <f t="shared" ca="1" si="10"/>
        <v>8.5657285576623536</v>
      </c>
      <c r="E112" s="72">
        <f t="shared" ca="1" si="11"/>
        <v>8.7419579709542745</v>
      </c>
      <c r="F112" s="72">
        <f t="shared" ca="1" si="12"/>
        <v>2555.9336668964652</v>
      </c>
      <c r="G112" s="72">
        <f t="shared" ca="1" si="13"/>
        <v>52.46783250586941</v>
      </c>
      <c r="H112" s="72">
        <f t="shared" ca="1" si="14"/>
        <v>2608.4014994023346</v>
      </c>
      <c r="I112" s="72">
        <f t="shared" ca="1" si="15"/>
        <v>2617.143457373289</v>
      </c>
      <c r="J112" s="72">
        <f t="shared" ca="1" si="16"/>
        <v>61.209790476823855</v>
      </c>
    </row>
    <row r="113" spans="1:10" x14ac:dyDescent="0.3">
      <c r="A113" s="30">
        <v>99</v>
      </c>
      <c r="B113" s="72">
        <f t="shared" ref="B113:C144" ca="1" si="17">RAND()</f>
        <v>0.69721319857043018</v>
      </c>
      <c r="C113" s="72">
        <f t="shared" ca="1" si="17"/>
        <v>0.17143980347390442</v>
      </c>
      <c r="D113" s="72">
        <f t="shared" ca="1" si="10"/>
        <v>29.868158669461415</v>
      </c>
      <c r="E113" s="72">
        <f t="shared" ca="1" si="11"/>
        <v>4.1792397224800677</v>
      </c>
      <c r="F113" s="72">
        <f t="shared" ca="1" si="12"/>
        <v>2585.8018255659267</v>
      </c>
      <c r="G113" s="72">
        <f t="shared" ca="1" si="13"/>
        <v>31.341631807362319</v>
      </c>
      <c r="H113" s="72">
        <f t="shared" ca="1" si="14"/>
        <v>2617.143457373289</v>
      </c>
      <c r="I113" s="72">
        <f t="shared" ca="1" si="15"/>
        <v>2621.3226970957689</v>
      </c>
      <c r="J113" s="72">
        <f t="shared" ca="1" si="16"/>
        <v>35.520871529842225</v>
      </c>
    </row>
    <row r="114" spans="1:10" x14ac:dyDescent="0.3">
      <c r="A114" s="30">
        <v>100</v>
      </c>
      <c r="B114" s="72">
        <f t="shared" ca="1" si="17"/>
        <v>0.45558339548011284</v>
      </c>
      <c r="C114" s="72">
        <f t="shared" ca="1" si="17"/>
        <v>0.55488703191395972</v>
      </c>
      <c r="D114" s="72">
        <f t="shared" ca="1" si="10"/>
        <v>15.201012702059092</v>
      </c>
      <c r="E114" s="72">
        <f t="shared" ca="1" si="11"/>
        <v>17.987270403680181</v>
      </c>
      <c r="F114" s="72">
        <f t="shared" ca="1" si="12"/>
        <v>2601.0028382679857</v>
      </c>
      <c r="G114" s="72">
        <f t="shared" ca="1" si="13"/>
        <v>20.319858827783264</v>
      </c>
      <c r="H114" s="72">
        <f t="shared" ca="1" si="14"/>
        <v>2621.3226970957689</v>
      </c>
      <c r="I114" s="72">
        <f t="shared" ca="1" si="15"/>
        <v>2639.3099674994492</v>
      </c>
      <c r="J114" s="72">
        <f t="shared" ca="1" si="16"/>
        <v>38.307129231463477</v>
      </c>
    </row>
    <row r="115" spans="1:10" x14ac:dyDescent="0.3">
      <c r="A115" s="30">
        <v>101</v>
      </c>
      <c r="B115" s="72">
        <f t="shared" ca="1" si="17"/>
        <v>0.37163246299126051</v>
      </c>
      <c r="C115" s="72">
        <f t="shared" ca="1" si="17"/>
        <v>0.1518187014642608</v>
      </c>
      <c r="D115" s="72">
        <f t="shared" ca="1" si="10"/>
        <v>11.615750842300532</v>
      </c>
      <c r="E115" s="72">
        <f t="shared" ca="1" si="11"/>
        <v>3.6591304577363135</v>
      </c>
      <c r="F115" s="72">
        <f t="shared" ca="1" si="12"/>
        <v>2612.6185891102864</v>
      </c>
      <c r="G115" s="72">
        <f t="shared" ca="1" si="13"/>
        <v>26.691378389162765</v>
      </c>
      <c r="H115" s="72">
        <f t="shared" ca="1" si="14"/>
        <v>2639.3099674994492</v>
      </c>
      <c r="I115" s="72">
        <f t="shared" ca="1" si="15"/>
        <v>2642.9690979571856</v>
      </c>
      <c r="J115" s="72">
        <f t="shared" ca="1" si="16"/>
        <v>30.350508846899174</v>
      </c>
    </row>
    <row r="116" spans="1:10" x14ac:dyDescent="0.3">
      <c r="A116" s="30">
        <v>102</v>
      </c>
      <c r="B116" s="72">
        <f t="shared" ca="1" si="17"/>
        <v>0.3829634103698264</v>
      </c>
      <c r="C116" s="72">
        <f t="shared" ca="1" si="17"/>
        <v>0.48589671404485713</v>
      </c>
      <c r="D116" s="72">
        <f t="shared" ca="1" si="10"/>
        <v>12.070673858876242</v>
      </c>
      <c r="E116" s="72">
        <f t="shared" ca="1" si="11"/>
        <v>14.785135295017355</v>
      </c>
      <c r="F116" s="72">
        <f t="shared" ca="1" si="12"/>
        <v>2624.6892629691624</v>
      </c>
      <c r="G116" s="72">
        <f t="shared" ca="1" si="13"/>
        <v>18.27983498802314</v>
      </c>
      <c r="H116" s="72">
        <f t="shared" ca="1" si="14"/>
        <v>2642.9690979571856</v>
      </c>
      <c r="I116" s="72">
        <f t="shared" ca="1" si="15"/>
        <v>2657.754233252203</v>
      </c>
      <c r="J116" s="72">
        <f t="shared" ca="1" si="16"/>
        <v>33.064970283040566</v>
      </c>
    </row>
    <row r="117" spans="1:10" x14ac:dyDescent="0.3">
      <c r="A117" s="30">
        <v>103</v>
      </c>
      <c r="B117" s="72">
        <f t="shared" ca="1" si="17"/>
        <v>0.47832222475242747</v>
      </c>
      <c r="C117" s="72">
        <f t="shared" ca="1" si="17"/>
        <v>0.33337836758893891</v>
      </c>
      <c r="D117" s="72">
        <f t="shared" ca="1" si="10"/>
        <v>16.267629262460584</v>
      </c>
      <c r="E117" s="72">
        <f t="shared" ca="1" si="11"/>
        <v>9.0118369282948922</v>
      </c>
      <c r="F117" s="72">
        <f t="shared" ca="1" si="12"/>
        <v>2640.956892231623</v>
      </c>
      <c r="G117" s="72">
        <f t="shared" ca="1" si="13"/>
        <v>16.797341020580006</v>
      </c>
      <c r="H117" s="72">
        <f t="shared" ca="1" si="14"/>
        <v>2657.754233252203</v>
      </c>
      <c r="I117" s="72">
        <f t="shared" ca="1" si="15"/>
        <v>2666.766070180498</v>
      </c>
      <c r="J117" s="72">
        <f t="shared" ca="1" si="16"/>
        <v>25.809177948875003</v>
      </c>
    </row>
    <row r="118" spans="1:10" x14ac:dyDescent="0.3">
      <c r="A118" s="30">
        <v>104</v>
      </c>
      <c r="B118" s="72">
        <f t="shared" ca="1" si="17"/>
        <v>0.78517764939472678</v>
      </c>
      <c r="C118" s="72">
        <f t="shared" ca="1" si="17"/>
        <v>5.503773952624369E-2</v>
      </c>
      <c r="D118" s="72">
        <f t="shared" ca="1" si="10"/>
        <v>38.448596716585008</v>
      </c>
      <c r="E118" s="72">
        <f t="shared" ca="1" si="11"/>
        <v>1.2580064064992207</v>
      </c>
      <c r="F118" s="72">
        <f t="shared" ca="1" si="12"/>
        <v>2679.4054889482081</v>
      </c>
      <c r="G118" s="72">
        <f t="shared" ca="1" si="13"/>
        <v>0</v>
      </c>
      <c r="H118" s="72">
        <f t="shared" ca="1" si="14"/>
        <v>2679.4054889482081</v>
      </c>
      <c r="I118" s="72">
        <f t="shared" ca="1" si="15"/>
        <v>2680.6634953547073</v>
      </c>
      <c r="J118" s="72">
        <f t="shared" ca="1" si="16"/>
        <v>1.2580064064991348</v>
      </c>
    </row>
    <row r="119" spans="1:10" x14ac:dyDescent="0.3">
      <c r="A119" s="30">
        <v>105</v>
      </c>
      <c r="B119" s="72">
        <f t="shared" ca="1" si="17"/>
        <v>0.20127055730742227</v>
      </c>
      <c r="C119" s="72">
        <f t="shared" ca="1" si="17"/>
        <v>0.33382253280988072</v>
      </c>
      <c r="D119" s="72">
        <f t="shared" ca="1" si="10"/>
        <v>5.6183252617423447</v>
      </c>
      <c r="E119" s="72">
        <f t="shared" ca="1" si="11"/>
        <v>9.0266483707868712</v>
      </c>
      <c r="F119" s="72">
        <f t="shared" ca="1" si="12"/>
        <v>2685.0238142099506</v>
      </c>
      <c r="G119" s="72">
        <f t="shared" ca="1" si="13"/>
        <v>0</v>
      </c>
      <c r="H119" s="72">
        <f t="shared" ca="1" si="14"/>
        <v>2685.0238142099506</v>
      </c>
      <c r="I119" s="72">
        <f t="shared" ca="1" si="15"/>
        <v>2694.0504625807375</v>
      </c>
      <c r="J119" s="72">
        <f t="shared" ca="1" si="16"/>
        <v>9.0266483707869156</v>
      </c>
    </row>
    <row r="120" spans="1:10" x14ac:dyDescent="0.3">
      <c r="A120" s="30">
        <v>106</v>
      </c>
      <c r="B120" s="72">
        <f t="shared" ca="1" si="17"/>
        <v>0.68806973400692406</v>
      </c>
      <c r="C120" s="72">
        <f t="shared" ca="1" si="17"/>
        <v>0.90536538051751514</v>
      </c>
      <c r="D120" s="72">
        <f t="shared" ca="1" si="10"/>
        <v>29.12439056465972</v>
      </c>
      <c r="E120" s="72">
        <f t="shared" ca="1" si="11"/>
        <v>52.394042519901618</v>
      </c>
      <c r="F120" s="72">
        <f t="shared" ca="1" si="12"/>
        <v>2714.1482047746103</v>
      </c>
      <c r="G120" s="72">
        <f t="shared" ca="1" si="13"/>
        <v>0</v>
      </c>
      <c r="H120" s="72">
        <f t="shared" ca="1" si="14"/>
        <v>2714.1482047746103</v>
      </c>
      <c r="I120" s="72">
        <f t="shared" ca="1" si="15"/>
        <v>2766.542247294512</v>
      </c>
      <c r="J120" s="72">
        <f t="shared" ca="1" si="16"/>
        <v>52.394042519901632</v>
      </c>
    </row>
    <row r="121" spans="1:10" x14ac:dyDescent="0.3">
      <c r="A121" s="30">
        <v>107</v>
      </c>
      <c r="B121" s="72">
        <f t="shared" ca="1" si="17"/>
        <v>0.38395572429700564</v>
      </c>
      <c r="C121" s="72">
        <f t="shared" ca="1" si="17"/>
        <v>0.23949176541722128</v>
      </c>
      <c r="D121" s="72">
        <f t="shared" ca="1" si="10"/>
        <v>12.110911047258968</v>
      </c>
      <c r="E121" s="72">
        <f t="shared" ca="1" si="11"/>
        <v>6.0837408775035087</v>
      </c>
      <c r="F121" s="72">
        <f t="shared" ca="1" si="12"/>
        <v>2726.2591158218693</v>
      </c>
      <c r="G121" s="72">
        <f t="shared" ca="1" si="13"/>
        <v>40.283131472642708</v>
      </c>
      <c r="H121" s="72">
        <f t="shared" ca="1" si="14"/>
        <v>2766.542247294512</v>
      </c>
      <c r="I121" s="72">
        <f t="shared" ca="1" si="15"/>
        <v>2772.6259881720157</v>
      </c>
      <c r="J121" s="72">
        <f t="shared" ca="1" si="16"/>
        <v>46.366872350146423</v>
      </c>
    </row>
    <row r="122" spans="1:10" x14ac:dyDescent="0.3">
      <c r="A122" s="30">
        <v>108</v>
      </c>
      <c r="B122" s="72">
        <f t="shared" ca="1" si="17"/>
        <v>0.12365014681558983</v>
      </c>
      <c r="C122" s="72">
        <f t="shared" ca="1" si="17"/>
        <v>0.60881820668213349</v>
      </c>
      <c r="D122" s="72">
        <f t="shared" ca="1" si="10"/>
        <v>3.2997472998433879</v>
      </c>
      <c r="E122" s="72">
        <f t="shared" ca="1" si="11"/>
        <v>20.857397388956059</v>
      </c>
      <c r="F122" s="72">
        <f t="shared" ca="1" si="12"/>
        <v>2729.5588631217129</v>
      </c>
      <c r="G122" s="72">
        <f t="shared" ca="1" si="13"/>
        <v>43.06712505030282</v>
      </c>
      <c r="H122" s="72">
        <f t="shared" ca="1" si="14"/>
        <v>2772.6259881720157</v>
      </c>
      <c r="I122" s="72">
        <f t="shared" ca="1" si="15"/>
        <v>2793.4833855609718</v>
      </c>
      <c r="J122" s="72">
        <f t="shared" ca="1" si="16"/>
        <v>63.924522439258908</v>
      </c>
    </row>
    <row r="123" spans="1:10" x14ac:dyDescent="0.3">
      <c r="A123" s="30">
        <v>109</v>
      </c>
      <c r="B123" s="72">
        <f t="shared" ca="1" si="17"/>
        <v>7.2887653440592115E-2</v>
      </c>
      <c r="C123" s="72">
        <f t="shared" ca="1" si="17"/>
        <v>0.621037866816469</v>
      </c>
      <c r="D123" s="72">
        <f t="shared" ca="1" si="10"/>
        <v>1.8920131765043944</v>
      </c>
      <c r="E123" s="72">
        <f t="shared" ca="1" si="11"/>
        <v>21.562644251906683</v>
      </c>
      <c r="F123" s="72">
        <f t="shared" ca="1" si="12"/>
        <v>2731.4508762982173</v>
      </c>
      <c r="G123" s="72">
        <f t="shared" ca="1" si="13"/>
        <v>62.032509262754502</v>
      </c>
      <c r="H123" s="72">
        <f t="shared" ca="1" si="14"/>
        <v>2793.4833855609718</v>
      </c>
      <c r="I123" s="72">
        <f t="shared" ca="1" si="15"/>
        <v>2815.0460298128783</v>
      </c>
      <c r="J123" s="72">
        <f t="shared" ca="1" si="16"/>
        <v>83.595153514660979</v>
      </c>
    </row>
    <row r="124" spans="1:10" x14ac:dyDescent="0.3">
      <c r="A124" s="30">
        <v>110</v>
      </c>
      <c r="B124" s="72">
        <f t="shared" ca="1" si="17"/>
        <v>0.90730170265068177</v>
      </c>
      <c r="C124" s="72">
        <f t="shared" ca="1" si="17"/>
        <v>0.70154708225377893</v>
      </c>
      <c r="D124" s="72">
        <f t="shared" ca="1" si="10"/>
        <v>59.460129347506985</v>
      </c>
      <c r="E124" s="72">
        <f t="shared" ca="1" si="11"/>
        <v>26.869846401855149</v>
      </c>
      <c r="F124" s="72">
        <f t="shared" ca="1" si="12"/>
        <v>2790.9110056457243</v>
      </c>
      <c r="G124" s="72">
        <f t="shared" ca="1" si="13"/>
        <v>24.135024167153915</v>
      </c>
      <c r="H124" s="72">
        <f t="shared" ca="1" si="14"/>
        <v>2815.0460298128783</v>
      </c>
      <c r="I124" s="72">
        <f t="shared" ca="1" si="15"/>
        <v>2841.9158762147335</v>
      </c>
      <c r="J124" s="72">
        <f t="shared" ca="1" si="16"/>
        <v>51.004870569009199</v>
      </c>
    </row>
    <row r="125" spans="1:10" x14ac:dyDescent="0.3">
      <c r="A125" s="30">
        <v>111</v>
      </c>
      <c r="B125" s="72">
        <f t="shared" ca="1" si="17"/>
        <v>0.609063368569842</v>
      </c>
      <c r="C125" s="72">
        <f t="shared" ca="1" si="17"/>
        <v>0.70665017945385566</v>
      </c>
      <c r="D125" s="72">
        <f t="shared" ca="1" si="10"/>
        <v>23.480245002119034</v>
      </c>
      <c r="E125" s="72">
        <f t="shared" ca="1" si="11"/>
        <v>27.253099007782339</v>
      </c>
      <c r="F125" s="72">
        <f t="shared" ca="1" si="12"/>
        <v>2814.3912506478432</v>
      </c>
      <c r="G125" s="72">
        <f t="shared" ca="1" si="13"/>
        <v>27.524625566890336</v>
      </c>
      <c r="H125" s="72">
        <f t="shared" ca="1" si="14"/>
        <v>2841.9158762147335</v>
      </c>
      <c r="I125" s="72">
        <f t="shared" ca="1" si="15"/>
        <v>2869.1689752225157</v>
      </c>
      <c r="J125" s="72">
        <f t="shared" ca="1" si="16"/>
        <v>54.777724574672447</v>
      </c>
    </row>
    <row r="126" spans="1:10" x14ac:dyDescent="0.3">
      <c r="A126" s="30">
        <v>112</v>
      </c>
      <c r="B126" s="72">
        <f t="shared" ca="1" si="17"/>
        <v>0.66459198783437823</v>
      </c>
      <c r="C126" s="72">
        <f t="shared" ca="1" si="17"/>
        <v>0.97504180071208513</v>
      </c>
      <c r="D126" s="72">
        <f t="shared" ca="1" si="10"/>
        <v>27.31018853723743</v>
      </c>
      <c r="E126" s="72">
        <f t="shared" ca="1" si="11"/>
        <v>82.012286266601649</v>
      </c>
      <c r="F126" s="72">
        <f t="shared" ca="1" si="12"/>
        <v>2841.7014391850807</v>
      </c>
      <c r="G126" s="72">
        <f t="shared" ca="1" si="13"/>
        <v>27.467536037434911</v>
      </c>
      <c r="H126" s="72">
        <f t="shared" ca="1" si="14"/>
        <v>2869.1689752225157</v>
      </c>
      <c r="I126" s="72">
        <f t="shared" ca="1" si="15"/>
        <v>2951.1812614891173</v>
      </c>
      <c r="J126" s="72">
        <f t="shared" ca="1" si="16"/>
        <v>109.47982230403659</v>
      </c>
    </row>
    <row r="127" spans="1:10" x14ac:dyDescent="0.3">
      <c r="A127" s="30">
        <v>113</v>
      </c>
      <c r="B127" s="72">
        <f t="shared" ca="1" si="17"/>
        <v>0.38418650196577486</v>
      </c>
      <c r="C127" s="72">
        <f t="shared" ca="1" si="17"/>
        <v>0.89535538016018268</v>
      </c>
      <c r="D127" s="72">
        <f t="shared" ca="1" si="10"/>
        <v>12.120278105550485</v>
      </c>
      <c r="E127" s="72">
        <f t="shared" ca="1" si="11"/>
        <v>50.159672053388334</v>
      </c>
      <c r="F127" s="72">
        <f t="shared" ca="1" si="12"/>
        <v>2853.8217172906311</v>
      </c>
      <c r="G127" s="72">
        <f t="shared" ca="1" si="13"/>
        <v>97.359544198486219</v>
      </c>
      <c r="H127" s="72">
        <f t="shared" ca="1" si="14"/>
        <v>2951.1812614891173</v>
      </c>
      <c r="I127" s="72">
        <f t="shared" ca="1" si="15"/>
        <v>3001.3409335425058</v>
      </c>
      <c r="J127" s="72">
        <f t="shared" ca="1" si="16"/>
        <v>147.5192162518747</v>
      </c>
    </row>
    <row r="128" spans="1:10" x14ac:dyDescent="0.3">
      <c r="A128" s="30">
        <v>114</v>
      </c>
      <c r="B128" s="72">
        <f t="shared" ca="1" si="17"/>
        <v>0.84616899603737172</v>
      </c>
      <c r="C128" s="72">
        <f t="shared" ca="1" si="17"/>
        <v>0.54830645268508671</v>
      </c>
      <c r="D128" s="72">
        <f t="shared" ca="1" si="10"/>
        <v>46.797516399835352</v>
      </c>
      <c r="E128" s="72">
        <f t="shared" ca="1" si="11"/>
        <v>17.661140483488726</v>
      </c>
      <c r="F128" s="72">
        <f t="shared" ca="1" si="12"/>
        <v>2900.6192336904664</v>
      </c>
      <c r="G128" s="72">
        <f t="shared" ca="1" si="13"/>
        <v>100.72169985203936</v>
      </c>
      <c r="H128" s="72">
        <f t="shared" ca="1" si="14"/>
        <v>3001.3409335425058</v>
      </c>
      <c r="I128" s="72">
        <f t="shared" ca="1" si="15"/>
        <v>3019.0020740259947</v>
      </c>
      <c r="J128" s="72">
        <f t="shared" ca="1" si="16"/>
        <v>118.38284033552827</v>
      </c>
    </row>
    <row r="129" spans="1:10" x14ac:dyDescent="0.3">
      <c r="A129" s="30">
        <v>115</v>
      </c>
      <c r="B129" s="72">
        <f t="shared" ca="1" si="17"/>
        <v>0.33010974651023961</v>
      </c>
      <c r="C129" s="72">
        <f t="shared" ca="1" si="17"/>
        <v>0.61550614178506391</v>
      </c>
      <c r="D129" s="72">
        <f t="shared" ca="1" si="10"/>
        <v>10.016034519387173</v>
      </c>
      <c r="E129" s="72">
        <f t="shared" ca="1" si="11"/>
        <v>21.240610302160245</v>
      </c>
      <c r="F129" s="72">
        <f t="shared" ca="1" si="12"/>
        <v>2910.6352682098536</v>
      </c>
      <c r="G129" s="72">
        <f t="shared" ca="1" si="13"/>
        <v>108.3668058161411</v>
      </c>
      <c r="H129" s="72">
        <f t="shared" ca="1" si="14"/>
        <v>3019.0020740259947</v>
      </c>
      <c r="I129" s="72">
        <f t="shared" ca="1" si="15"/>
        <v>3040.2426843281551</v>
      </c>
      <c r="J129" s="72">
        <f t="shared" ca="1" si="16"/>
        <v>129.60741611830144</v>
      </c>
    </row>
    <row r="130" spans="1:10" x14ac:dyDescent="0.3">
      <c r="A130" s="30">
        <v>116</v>
      </c>
      <c r="B130" s="72">
        <f t="shared" ca="1" si="17"/>
        <v>0.81885180690993686</v>
      </c>
      <c r="C130" s="72">
        <f t="shared" ca="1" si="17"/>
        <v>0.59953516141353425</v>
      </c>
      <c r="D130" s="72">
        <f t="shared" ca="1" si="10"/>
        <v>42.7109959088083</v>
      </c>
      <c r="E130" s="72">
        <f t="shared" ca="1" si="11"/>
        <v>20.336206891542663</v>
      </c>
      <c r="F130" s="72">
        <f t="shared" ca="1" si="12"/>
        <v>2953.346264118662</v>
      </c>
      <c r="G130" s="72">
        <f t="shared" ca="1" si="13"/>
        <v>86.896420209493044</v>
      </c>
      <c r="H130" s="72">
        <f t="shared" ca="1" si="14"/>
        <v>3040.2426843281551</v>
      </c>
      <c r="I130" s="72">
        <f t="shared" ca="1" si="15"/>
        <v>3060.5788912196977</v>
      </c>
      <c r="J130" s="72">
        <f t="shared" ca="1" si="16"/>
        <v>107.23262710103563</v>
      </c>
    </row>
    <row r="131" spans="1:10" x14ac:dyDescent="0.3">
      <c r="A131" s="30">
        <v>117</v>
      </c>
      <c r="B131" s="72">
        <f t="shared" ca="1" si="17"/>
        <v>0.74093814435936789</v>
      </c>
      <c r="C131" s="72">
        <f t="shared" ca="1" si="17"/>
        <v>0.69101324424645916</v>
      </c>
      <c r="D131" s="72">
        <f t="shared" ca="1" si="10"/>
        <v>33.767210523235313</v>
      </c>
      <c r="E131" s="72">
        <f t="shared" ca="1" si="11"/>
        <v>26.099041436488985</v>
      </c>
      <c r="F131" s="72">
        <f t="shared" ca="1" si="12"/>
        <v>2987.1134746418975</v>
      </c>
      <c r="G131" s="72">
        <f t="shared" ca="1" si="13"/>
        <v>73.46541657780017</v>
      </c>
      <c r="H131" s="72">
        <f t="shared" ca="1" si="14"/>
        <v>3060.5788912196977</v>
      </c>
      <c r="I131" s="72">
        <f t="shared" ca="1" si="15"/>
        <v>3086.6779326561868</v>
      </c>
      <c r="J131" s="72">
        <f t="shared" ca="1" si="16"/>
        <v>99.564458014289357</v>
      </c>
    </row>
    <row r="132" spans="1:10" x14ac:dyDescent="0.3">
      <c r="A132" s="30">
        <v>118</v>
      </c>
      <c r="B132" s="72">
        <f t="shared" ca="1" si="17"/>
        <v>0.88784622716846628</v>
      </c>
      <c r="C132" s="72">
        <f t="shared" ca="1" si="17"/>
        <v>0.48446637719658336</v>
      </c>
      <c r="D132" s="72">
        <f t="shared" ca="1" si="10"/>
        <v>54.697109441018966</v>
      </c>
      <c r="E132" s="72">
        <f t="shared" ca="1" si="11"/>
        <v>14.723394532869388</v>
      </c>
      <c r="F132" s="72">
        <f t="shared" ca="1" si="12"/>
        <v>3041.8105840829166</v>
      </c>
      <c r="G132" s="72">
        <f t="shared" ca="1" si="13"/>
        <v>44.867348573270192</v>
      </c>
      <c r="H132" s="72">
        <f t="shared" ca="1" si="14"/>
        <v>3086.6779326561868</v>
      </c>
      <c r="I132" s="72">
        <f t="shared" ca="1" si="15"/>
        <v>3101.4013271890562</v>
      </c>
      <c r="J132" s="72">
        <f t="shared" ca="1" si="16"/>
        <v>59.590743106139598</v>
      </c>
    </row>
    <row r="133" spans="1:10" x14ac:dyDescent="0.3">
      <c r="A133" s="30">
        <v>119</v>
      </c>
      <c r="B133" s="72">
        <f t="shared" ca="1" si="17"/>
        <v>0.75763548133456504</v>
      </c>
      <c r="C133" s="72">
        <f t="shared" ca="1" si="17"/>
        <v>0.32680368044402164</v>
      </c>
      <c r="D133" s="72">
        <f t="shared" ca="1" si="10"/>
        <v>35.432810266086484</v>
      </c>
      <c r="E133" s="72">
        <f t="shared" ca="1" si="11"/>
        <v>8.7937396393110063</v>
      </c>
      <c r="F133" s="72">
        <f t="shared" ca="1" si="12"/>
        <v>3077.2433943490032</v>
      </c>
      <c r="G133" s="72">
        <f t="shared" ca="1" si="13"/>
        <v>24.157932840053036</v>
      </c>
      <c r="H133" s="72">
        <f t="shared" ca="1" si="14"/>
        <v>3101.4013271890562</v>
      </c>
      <c r="I133" s="72">
        <f t="shared" ca="1" si="15"/>
        <v>3110.1950668283671</v>
      </c>
      <c r="J133" s="72">
        <f t="shared" ca="1" si="16"/>
        <v>32.951672479363879</v>
      </c>
    </row>
    <row r="134" spans="1:10" x14ac:dyDescent="0.3">
      <c r="A134" s="30">
        <v>120</v>
      </c>
      <c r="B134" s="72">
        <f t="shared" ca="1" si="17"/>
        <v>0.56257173929058302</v>
      </c>
      <c r="C134" s="72">
        <f t="shared" ca="1" si="17"/>
        <v>0.88975378469179922</v>
      </c>
      <c r="D134" s="72">
        <f t="shared" ca="1" si="10"/>
        <v>20.671064053781404</v>
      </c>
      <c r="E134" s="72">
        <f t="shared" ca="1" si="11"/>
        <v>49.000868744771061</v>
      </c>
      <c r="F134" s="72">
        <f t="shared" ca="1" si="12"/>
        <v>3097.9144584027845</v>
      </c>
      <c r="G134" s="72">
        <f t="shared" ca="1" si="13"/>
        <v>12.280608425582614</v>
      </c>
      <c r="H134" s="72">
        <f t="shared" ca="1" si="14"/>
        <v>3110.1950668283671</v>
      </c>
      <c r="I134" s="72">
        <f t="shared" ca="1" si="15"/>
        <v>3159.1959355731383</v>
      </c>
      <c r="J134" s="72">
        <f t="shared" ca="1" si="16"/>
        <v>61.28147717035381</v>
      </c>
    </row>
    <row r="135" spans="1:10" x14ac:dyDescent="0.3">
      <c r="A135" s="30">
        <v>121</v>
      </c>
      <c r="B135" s="72">
        <f t="shared" ca="1" si="17"/>
        <v>0.95451600423781435</v>
      </c>
      <c r="C135" s="72">
        <f t="shared" ca="1" si="17"/>
        <v>9.4236405033555348E-3</v>
      </c>
      <c r="D135" s="72">
        <f t="shared" ca="1" si="10"/>
        <v>77.259868909780138</v>
      </c>
      <c r="E135" s="72">
        <f t="shared" ca="1" si="11"/>
        <v>0.210407198790066</v>
      </c>
      <c r="F135" s="72">
        <f t="shared" ca="1" si="12"/>
        <v>3175.1743273125644</v>
      </c>
      <c r="G135" s="72">
        <f t="shared" ca="1" si="13"/>
        <v>0</v>
      </c>
      <c r="H135" s="72">
        <f t="shared" ca="1" si="14"/>
        <v>3175.1743273125644</v>
      </c>
      <c r="I135" s="72">
        <f t="shared" ca="1" si="15"/>
        <v>3175.3847345113545</v>
      </c>
      <c r="J135" s="72">
        <f t="shared" ca="1" si="16"/>
        <v>0.21040719879010794</v>
      </c>
    </row>
    <row r="136" spans="1:10" x14ac:dyDescent="0.3">
      <c r="A136" s="30">
        <v>122</v>
      </c>
      <c r="B136" s="72">
        <f t="shared" ca="1" si="17"/>
        <v>0.90959493625677545</v>
      </c>
      <c r="C136" s="72">
        <f t="shared" ca="1" si="17"/>
        <v>0.60201522366125326</v>
      </c>
      <c r="D136" s="72">
        <f t="shared" ca="1" si="10"/>
        <v>60.086374957352525</v>
      </c>
      <c r="E136" s="72">
        <f t="shared" ca="1" si="11"/>
        <v>20.474256107431636</v>
      </c>
      <c r="F136" s="72">
        <f t="shared" ca="1" si="12"/>
        <v>3235.2607022699171</v>
      </c>
      <c r="G136" s="72">
        <f t="shared" ca="1" si="13"/>
        <v>0</v>
      </c>
      <c r="H136" s="72">
        <f t="shared" ca="1" si="14"/>
        <v>3235.2607022699171</v>
      </c>
      <c r="I136" s="72">
        <f t="shared" ca="1" si="15"/>
        <v>3255.7349583773489</v>
      </c>
      <c r="J136" s="72">
        <f t="shared" ca="1" si="16"/>
        <v>20.474256107431756</v>
      </c>
    </row>
    <row r="137" spans="1:10" x14ac:dyDescent="0.3">
      <c r="A137" s="30">
        <v>123</v>
      </c>
      <c r="B137" s="72">
        <f t="shared" ca="1" si="17"/>
        <v>0.2888270352070631</v>
      </c>
      <c r="C137" s="72">
        <f t="shared" ca="1" si="17"/>
        <v>0.43755856775725155</v>
      </c>
      <c r="D137" s="72">
        <f t="shared" ca="1" si="10"/>
        <v>8.520990225330447</v>
      </c>
      <c r="E137" s="72">
        <f t="shared" ca="1" si="11"/>
        <v>12.78818379515131</v>
      </c>
      <c r="F137" s="72">
        <f t="shared" ca="1" si="12"/>
        <v>3243.7816924952476</v>
      </c>
      <c r="G137" s="72">
        <f t="shared" ca="1" si="13"/>
        <v>11.953265882101277</v>
      </c>
      <c r="H137" s="72">
        <f t="shared" ca="1" si="14"/>
        <v>3255.7349583773489</v>
      </c>
      <c r="I137" s="72">
        <f t="shared" ca="1" si="15"/>
        <v>3268.5231421725002</v>
      </c>
      <c r="J137" s="72">
        <f t="shared" ca="1" si="16"/>
        <v>24.741449677252604</v>
      </c>
    </row>
    <row r="138" spans="1:10" x14ac:dyDescent="0.3">
      <c r="A138" s="30">
        <v>124</v>
      </c>
      <c r="B138" s="72">
        <f t="shared" ca="1" si="17"/>
        <v>3.4861191280606163E-2</v>
      </c>
      <c r="C138" s="72">
        <f t="shared" ca="1" si="17"/>
        <v>0.63442578466734345</v>
      </c>
      <c r="D138" s="72">
        <f t="shared" ca="1" si="10"/>
        <v>0.88708361887661369</v>
      </c>
      <c r="E138" s="72">
        <f t="shared" ca="1" si="11"/>
        <v>22.361910419527526</v>
      </c>
      <c r="F138" s="72">
        <f t="shared" ca="1" si="12"/>
        <v>3244.6687761141243</v>
      </c>
      <c r="G138" s="72">
        <f t="shared" ca="1" si="13"/>
        <v>23.854366058375945</v>
      </c>
      <c r="H138" s="72">
        <f t="shared" ca="1" si="14"/>
        <v>3268.5231421725002</v>
      </c>
      <c r="I138" s="72">
        <f t="shared" ca="1" si="15"/>
        <v>3290.8850525920279</v>
      </c>
      <c r="J138" s="72">
        <f t="shared" ca="1" si="16"/>
        <v>46.216276477903648</v>
      </c>
    </row>
    <row r="139" spans="1:10" x14ac:dyDescent="0.3">
      <c r="A139" s="30">
        <v>125</v>
      </c>
      <c r="B139" s="72">
        <f t="shared" ca="1" si="17"/>
        <v>0.92816823494429979</v>
      </c>
      <c r="C139" s="72">
        <f t="shared" ca="1" si="17"/>
        <v>0.573046430030142</v>
      </c>
      <c r="D139" s="72">
        <f t="shared" ca="1" si="10"/>
        <v>65.835712262899904</v>
      </c>
      <c r="E139" s="72">
        <f t="shared" ca="1" si="11"/>
        <v>18.912889046649468</v>
      </c>
      <c r="F139" s="72">
        <f t="shared" ca="1" si="12"/>
        <v>3310.5044883770242</v>
      </c>
      <c r="G139" s="72">
        <f t="shared" ca="1" si="13"/>
        <v>0</v>
      </c>
      <c r="H139" s="72">
        <f t="shared" ca="1" si="14"/>
        <v>3310.5044883770242</v>
      </c>
      <c r="I139" s="72">
        <f t="shared" ca="1" si="15"/>
        <v>3329.4173774236738</v>
      </c>
      <c r="J139" s="72">
        <f t="shared" ca="1" si="16"/>
        <v>18.912889046649525</v>
      </c>
    </row>
    <row r="140" spans="1:10" x14ac:dyDescent="0.3">
      <c r="A140" s="30">
        <v>126</v>
      </c>
      <c r="B140" s="72">
        <f t="shared" ca="1" si="17"/>
        <v>0.31153159355155902</v>
      </c>
      <c r="C140" s="72">
        <f t="shared" ca="1" si="17"/>
        <v>0.69738213763616486</v>
      </c>
      <c r="D140" s="72">
        <f t="shared" ca="1" si="10"/>
        <v>9.3321462344408399</v>
      </c>
      <c r="E140" s="72">
        <f t="shared" ca="1" si="11"/>
        <v>26.561876661052018</v>
      </c>
      <c r="F140" s="72">
        <f t="shared" ca="1" si="12"/>
        <v>3319.8366346114649</v>
      </c>
      <c r="G140" s="72">
        <f t="shared" ca="1" si="13"/>
        <v>9.5807428122088822</v>
      </c>
      <c r="H140" s="72">
        <f t="shared" ca="1" si="14"/>
        <v>3329.4173774236738</v>
      </c>
      <c r="I140" s="72">
        <f t="shared" ca="1" si="15"/>
        <v>3355.9792540847257</v>
      </c>
      <c r="J140" s="72">
        <f t="shared" ca="1" si="16"/>
        <v>36.142619473260766</v>
      </c>
    </row>
    <row r="141" spans="1:10" x14ac:dyDescent="0.3">
      <c r="A141" s="30">
        <v>127</v>
      </c>
      <c r="B141" s="72">
        <f t="shared" ca="1" si="17"/>
        <v>0.61583788104032244</v>
      </c>
      <c r="C141" s="72">
        <f t="shared" ca="1" si="17"/>
        <v>3.2328198457778567E-2</v>
      </c>
      <c r="D141" s="72">
        <f t="shared" ca="1" si="10"/>
        <v>23.917265767462663</v>
      </c>
      <c r="E141" s="72">
        <f t="shared" ca="1" si="11"/>
        <v>0.73027327086441707</v>
      </c>
      <c r="F141" s="72">
        <f t="shared" ca="1" si="12"/>
        <v>3343.7539003789275</v>
      </c>
      <c r="G141" s="72">
        <f t="shared" ca="1" si="13"/>
        <v>12.22535370579817</v>
      </c>
      <c r="H141" s="72">
        <f t="shared" ca="1" si="14"/>
        <v>3355.9792540847257</v>
      </c>
      <c r="I141" s="72">
        <f t="shared" ca="1" si="15"/>
        <v>3356.7095273555901</v>
      </c>
      <c r="J141" s="72">
        <f t="shared" ca="1" si="16"/>
        <v>12.955626976662643</v>
      </c>
    </row>
    <row r="142" spans="1:10" x14ac:dyDescent="0.3">
      <c r="A142" s="30">
        <v>128</v>
      </c>
      <c r="B142" s="72">
        <f t="shared" ca="1" si="17"/>
        <v>0.76332333542823394</v>
      </c>
      <c r="C142" s="72">
        <f t="shared" ca="1" si="17"/>
        <v>0.56646629765086143</v>
      </c>
      <c r="D142" s="72">
        <f t="shared" ca="1" si="10"/>
        <v>36.026508845943319</v>
      </c>
      <c r="E142" s="72">
        <f t="shared" ca="1" si="11"/>
        <v>18.573016467410568</v>
      </c>
      <c r="F142" s="72">
        <f t="shared" ca="1" si="12"/>
        <v>3379.7804092248707</v>
      </c>
      <c r="G142" s="72">
        <f t="shared" ca="1" si="13"/>
        <v>0</v>
      </c>
      <c r="H142" s="72">
        <f t="shared" ca="1" si="14"/>
        <v>3379.7804092248707</v>
      </c>
      <c r="I142" s="72">
        <f t="shared" ca="1" si="15"/>
        <v>3398.3534256922812</v>
      </c>
      <c r="J142" s="72">
        <f t="shared" ca="1" si="16"/>
        <v>18.573016467410525</v>
      </c>
    </row>
    <row r="143" spans="1:10" x14ac:dyDescent="0.3">
      <c r="A143" s="30">
        <v>129</v>
      </c>
      <c r="B143" s="72">
        <f t="shared" ca="1" si="17"/>
        <v>0.60747435137565386</v>
      </c>
      <c r="C143" s="72">
        <f t="shared" ca="1" si="17"/>
        <v>0.43889754241505019</v>
      </c>
      <c r="D143" s="72">
        <f t="shared" ca="1" si="10"/>
        <v>23.378834927026581</v>
      </c>
      <c r="E143" s="72">
        <f t="shared" ca="1" si="11"/>
        <v>12.841150139860115</v>
      </c>
      <c r="F143" s="72">
        <f t="shared" ca="1" si="12"/>
        <v>3403.1592441518974</v>
      </c>
      <c r="G143" s="72">
        <f t="shared" ca="1" si="13"/>
        <v>0</v>
      </c>
      <c r="H143" s="72">
        <f t="shared" ca="1" si="14"/>
        <v>3403.1592441518974</v>
      </c>
      <c r="I143" s="72">
        <f t="shared" ca="1" si="15"/>
        <v>3416.0003942917574</v>
      </c>
      <c r="J143" s="72">
        <f t="shared" ca="1" si="16"/>
        <v>12.841150139860019</v>
      </c>
    </row>
    <row r="144" spans="1:10" x14ac:dyDescent="0.3">
      <c r="A144" s="30">
        <v>130</v>
      </c>
      <c r="B144" s="72">
        <f t="shared" ca="1" si="17"/>
        <v>0.69304619735711892</v>
      </c>
      <c r="C144" s="72">
        <f t="shared" ca="1" si="17"/>
        <v>0.74520490802697947</v>
      </c>
      <c r="D144" s="72">
        <f t="shared" ca="1" si="10"/>
        <v>29.526450567720126</v>
      </c>
      <c r="E144" s="72">
        <f t="shared" ca="1" si="11"/>
        <v>30.384347060931969</v>
      </c>
      <c r="F144" s="72">
        <f t="shared" ca="1" si="12"/>
        <v>3432.6856947196175</v>
      </c>
      <c r="G144" s="72">
        <f t="shared" ca="1" si="13"/>
        <v>0</v>
      </c>
      <c r="H144" s="72">
        <f t="shared" ca="1" si="14"/>
        <v>3432.6856947196175</v>
      </c>
      <c r="I144" s="72">
        <f t="shared" ca="1" si="15"/>
        <v>3463.0700417805492</v>
      </c>
      <c r="J144" s="72">
        <f t="shared" ca="1" si="16"/>
        <v>30.384347060931759</v>
      </c>
    </row>
    <row r="145" spans="1:10" x14ac:dyDescent="0.3">
      <c r="A145" s="30">
        <v>131</v>
      </c>
      <c r="B145" s="72">
        <f t="shared" ref="B145:C176" ca="1" si="18">RAND()</f>
        <v>8.7427153625410647E-2</v>
      </c>
      <c r="C145" s="72">
        <f t="shared" ca="1" si="18"/>
        <v>0.15922609367995233</v>
      </c>
      <c r="D145" s="72">
        <f t="shared" ref="D145:D208" ca="1" si="19">(1/$F$2)*LN(1/(1-B145))</f>
        <v>2.2871841267120221</v>
      </c>
      <c r="E145" s="72">
        <f t="shared" ref="E145:E208" ca="1" si="20">(1/$J$2)*LN(1/(1-C145))</f>
        <v>3.8540554277589782</v>
      </c>
      <c r="F145" s="72">
        <f t="shared" ref="F145:F208" ca="1" si="21">F144+D145</f>
        <v>3434.9728788463294</v>
      </c>
      <c r="G145" s="72">
        <f t="shared" ref="G145:G208" ca="1" si="22">IF(I144&gt;F145,I144-F145,0)</f>
        <v>28.097162934219796</v>
      </c>
      <c r="H145" s="72">
        <f t="shared" ref="H145:H208" ca="1" si="23">F145+G145</f>
        <v>3463.0700417805492</v>
      </c>
      <c r="I145" s="72">
        <f t="shared" ref="I145:I208" ca="1" si="24">H145+E145</f>
        <v>3466.924097208308</v>
      </c>
      <c r="J145" s="72">
        <f t="shared" ref="J145:J208" ca="1" si="25">I145-F145</f>
        <v>31.95121836197859</v>
      </c>
    </row>
    <row r="146" spans="1:10" x14ac:dyDescent="0.3">
      <c r="A146" s="30">
        <v>132</v>
      </c>
      <c r="B146" s="72">
        <f t="shared" ca="1" si="18"/>
        <v>0.20241919764620397</v>
      </c>
      <c r="C146" s="72">
        <f t="shared" ca="1" si="18"/>
        <v>0.5198120652379159</v>
      </c>
      <c r="D146" s="72">
        <f t="shared" ca="1" si="19"/>
        <v>5.6543032472432389</v>
      </c>
      <c r="E146" s="72">
        <f t="shared" ca="1" si="20"/>
        <v>16.301727132311633</v>
      </c>
      <c r="F146" s="72">
        <f t="shared" ca="1" si="21"/>
        <v>3440.6271820935726</v>
      </c>
      <c r="G146" s="72">
        <f t="shared" ca="1" si="22"/>
        <v>26.296915114735384</v>
      </c>
      <c r="H146" s="72">
        <f t="shared" ca="1" si="23"/>
        <v>3466.924097208308</v>
      </c>
      <c r="I146" s="72">
        <f t="shared" ca="1" si="24"/>
        <v>3483.2258243406195</v>
      </c>
      <c r="J146" s="72">
        <f t="shared" ca="1" si="25"/>
        <v>42.598642247046882</v>
      </c>
    </row>
    <row r="147" spans="1:10" x14ac:dyDescent="0.3">
      <c r="A147" s="30">
        <v>133</v>
      </c>
      <c r="B147" s="72">
        <f t="shared" ca="1" si="18"/>
        <v>0.12661507133244887</v>
      </c>
      <c r="C147" s="72">
        <f t="shared" ca="1" si="18"/>
        <v>0.73262307648287917</v>
      </c>
      <c r="D147" s="72">
        <f t="shared" ca="1" si="19"/>
        <v>3.3844723503302627</v>
      </c>
      <c r="E147" s="72">
        <f t="shared" ca="1" si="20"/>
        <v>29.313242611678142</v>
      </c>
      <c r="F147" s="72">
        <f t="shared" ca="1" si="21"/>
        <v>3444.0116544439029</v>
      </c>
      <c r="G147" s="72">
        <f t="shared" ca="1" si="22"/>
        <v>39.214169896716612</v>
      </c>
      <c r="H147" s="72">
        <f t="shared" ca="1" si="23"/>
        <v>3483.2258243406195</v>
      </c>
      <c r="I147" s="72">
        <f t="shared" ca="1" si="24"/>
        <v>3512.5390669522976</v>
      </c>
      <c r="J147" s="72">
        <f t="shared" ca="1" si="25"/>
        <v>68.527412508394718</v>
      </c>
    </row>
    <row r="148" spans="1:10" x14ac:dyDescent="0.3">
      <c r="A148" s="30">
        <v>134</v>
      </c>
      <c r="B148" s="72">
        <f t="shared" ca="1" si="18"/>
        <v>0.59920864190309819</v>
      </c>
      <c r="C148" s="72">
        <f t="shared" ca="1" si="18"/>
        <v>0.50581006858508015</v>
      </c>
      <c r="D148" s="72">
        <f t="shared" ca="1" si="19"/>
        <v>22.857857276960345</v>
      </c>
      <c r="E148" s="72">
        <f t="shared" ca="1" si="20"/>
        <v>15.663007980843615</v>
      </c>
      <c r="F148" s="72">
        <f t="shared" ca="1" si="21"/>
        <v>3466.8695117208631</v>
      </c>
      <c r="G148" s="72">
        <f t="shared" ca="1" si="22"/>
        <v>45.669555231434515</v>
      </c>
      <c r="H148" s="72">
        <f t="shared" ca="1" si="23"/>
        <v>3512.5390669522976</v>
      </c>
      <c r="I148" s="72">
        <f t="shared" ca="1" si="24"/>
        <v>3528.2020749331414</v>
      </c>
      <c r="J148" s="72">
        <f t="shared" ca="1" si="25"/>
        <v>61.332563212278274</v>
      </c>
    </row>
    <row r="149" spans="1:10" x14ac:dyDescent="0.3">
      <c r="A149" s="30">
        <v>135</v>
      </c>
      <c r="B149" s="72">
        <f t="shared" ca="1" si="18"/>
        <v>8.5096403751743988E-2</v>
      </c>
      <c r="C149" s="72">
        <f t="shared" ca="1" si="18"/>
        <v>5.4987723272929001E-2</v>
      </c>
      <c r="D149" s="72">
        <f t="shared" ca="1" si="19"/>
        <v>2.2234144637204816</v>
      </c>
      <c r="E149" s="72">
        <f t="shared" ca="1" si="20"/>
        <v>1.2568302294933804</v>
      </c>
      <c r="F149" s="72">
        <f t="shared" ca="1" si="21"/>
        <v>3469.0929261845836</v>
      </c>
      <c r="G149" s="72">
        <f t="shared" ca="1" si="22"/>
        <v>59.1091487485578</v>
      </c>
      <c r="H149" s="72">
        <f t="shared" ca="1" si="23"/>
        <v>3528.2020749331414</v>
      </c>
      <c r="I149" s="72">
        <f t="shared" ca="1" si="24"/>
        <v>3529.4589051626349</v>
      </c>
      <c r="J149" s="72">
        <f t="shared" ca="1" si="25"/>
        <v>60.365978978051317</v>
      </c>
    </row>
    <row r="150" spans="1:10" x14ac:dyDescent="0.3">
      <c r="A150" s="30">
        <v>136</v>
      </c>
      <c r="B150" s="72">
        <f t="shared" ca="1" si="18"/>
        <v>0.33906834783770778</v>
      </c>
      <c r="C150" s="72">
        <f t="shared" ca="1" si="18"/>
        <v>0.98139742217454351</v>
      </c>
      <c r="D150" s="72">
        <f t="shared" ca="1" si="19"/>
        <v>10.352621128471451</v>
      </c>
      <c r="E150" s="72">
        <f t="shared" ca="1" si="20"/>
        <v>88.543447002213185</v>
      </c>
      <c r="F150" s="72">
        <f t="shared" ca="1" si="21"/>
        <v>3479.4455473130552</v>
      </c>
      <c r="G150" s="72">
        <f t="shared" ca="1" si="22"/>
        <v>50.013357849579734</v>
      </c>
      <c r="H150" s="72">
        <f t="shared" ca="1" si="23"/>
        <v>3529.4589051626349</v>
      </c>
      <c r="I150" s="72">
        <f t="shared" ca="1" si="24"/>
        <v>3618.0023521648482</v>
      </c>
      <c r="J150" s="72">
        <f t="shared" ca="1" si="25"/>
        <v>138.556804851793</v>
      </c>
    </row>
    <row r="151" spans="1:10" x14ac:dyDescent="0.3">
      <c r="A151" s="30">
        <v>137</v>
      </c>
      <c r="B151" s="72">
        <f t="shared" ca="1" si="18"/>
        <v>0.26384968213974902</v>
      </c>
      <c r="C151" s="72">
        <f t="shared" ca="1" si="18"/>
        <v>0.57912057439825038</v>
      </c>
      <c r="D151" s="72">
        <f t="shared" ca="1" si="19"/>
        <v>7.6580236220867945</v>
      </c>
      <c r="E151" s="72">
        <f t="shared" ca="1" si="20"/>
        <v>19.231308584798022</v>
      </c>
      <c r="F151" s="72">
        <f t="shared" ca="1" si="21"/>
        <v>3487.1035709351418</v>
      </c>
      <c r="G151" s="72">
        <f t="shared" ca="1" si="22"/>
        <v>130.8987812297064</v>
      </c>
      <c r="H151" s="72">
        <f t="shared" ca="1" si="23"/>
        <v>3618.0023521648482</v>
      </c>
      <c r="I151" s="72">
        <f t="shared" ca="1" si="24"/>
        <v>3637.2336607496463</v>
      </c>
      <c r="J151" s="72">
        <f t="shared" ca="1" si="25"/>
        <v>150.13008981450457</v>
      </c>
    </row>
    <row r="152" spans="1:10" x14ac:dyDescent="0.3">
      <c r="A152" s="30">
        <v>138</v>
      </c>
      <c r="B152" s="72">
        <f t="shared" ca="1" si="18"/>
        <v>0.37868966928175019</v>
      </c>
      <c r="C152" s="72">
        <f t="shared" ca="1" si="18"/>
        <v>0.90668213638224193</v>
      </c>
      <c r="D152" s="72">
        <f t="shared" ca="1" si="19"/>
        <v>11.898114861655641</v>
      </c>
      <c r="E152" s="72">
        <f t="shared" ca="1" si="20"/>
        <v>52.705416114914073</v>
      </c>
      <c r="F152" s="72">
        <f t="shared" ca="1" si="21"/>
        <v>3499.0016857967976</v>
      </c>
      <c r="G152" s="72">
        <f t="shared" ca="1" si="22"/>
        <v>138.23197495284876</v>
      </c>
      <c r="H152" s="72">
        <f t="shared" ca="1" si="23"/>
        <v>3637.2336607496463</v>
      </c>
      <c r="I152" s="72">
        <f t="shared" ca="1" si="24"/>
        <v>3689.9390768645603</v>
      </c>
      <c r="J152" s="72">
        <f t="shared" ca="1" si="25"/>
        <v>190.93739106776275</v>
      </c>
    </row>
    <row r="153" spans="1:10" x14ac:dyDescent="0.3">
      <c r="A153" s="30">
        <v>139</v>
      </c>
      <c r="B153" s="72">
        <f t="shared" ca="1" si="18"/>
        <v>7.1293464613698898E-2</v>
      </c>
      <c r="C153" s="72">
        <f t="shared" ca="1" si="18"/>
        <v>0.44342188442194641</v>
      </c>
      <c r="D153" s="72">
        <f t="shared" ca="1" si="19"/>
        <v>1.8490620772745781</v>
      </c>
      <c r="E153" s="72">
        <f t="shared" ca="1" si="20"/>
        <v>13.021061082331252</v>
      </c>
      <c r="F153" s="72">
        <f t="shared" ca="1" si="21"/>
        <v>3500.8507478740721</v>
      </c>
      <c r="G153" s="72">
        <f t="shared" ca="1" si="22"/>
        <v>189.08832899048821</v>
      </c>
      <c r="H153" s="72">
        <f t="shared" ca="1" si="23"/>
        <v>3689.9390768645603</v>
      </c>
      <c r="I153" s="72">
        <f t="shared" ca="1" si="24"/>
        <v>3702.9601379468918</v>
      </c>
      <c r="J153" s="72">
        <f t="shared" ca="1" si="25"/>
        <v>202.10939007281968</v>
      </c>
    </row>
    <row r="154" spans="1:10" x14ac:dyDescent="0.3">
      <c r="A154" s="30">
        <v>140</v>
      </c>
      <c r="B154" s="72">
        <f t="shared" ca="1" si="18"/>
        <v>0.54462229872023982</v>
      </c>
      <c r="C154" s="72">
        <f t="shared" ca="1" si="18"/>
        <v>0.60672490479693597</v>
      </c>
      <c r="D154" s="72">
        <f t="shared" ca="1" si="19"/>
        <v>19.665702292035299</v>
      </c>
      <c r="E154" s="72">
        <f t="shared" ca="1" si="20"/>
        <v>20.738798315466848</v>
      </c>
      <c r="F154" s="72">
        <f t="shared" ca="1" si="21"/>
        <v>3520.5164501661075</v>
      </c>
      <c r="G154" s="72">
        <f t="shared" ca="1" si="22"/>
        <v>182.44368778078433</v>
      </c>
      <c r="H154" s="72">
        <f t="shared" ca="1" si="23"/>
        <v>3702.9601379468918</v>
      </c>
      <c r="I154" s="72">
        <f t="shared" ca="1" si="24"/>
        <v>3723.6989362623585</v>
      </c>
      <c r="J154" s="72">
        <f t="shared" ca="1" si="25"/>
        <v>203.18248609625107</v>
      </c>
    </row>
    <row r="155" spans="1:10" x14ac:dyDescent="0.3">
      <c r="A155" s="30">
        <v>141</v>
      </c>
      <c r="B155" s="72">
        <f t="shared" ca="1" si="18"/>
        <v>0.31458875180467238</v>
      </c>
      <c r="C155" s="72">
        <f t="shared" ca="1" si="18"/>
        <v>0.4678398891239377</v>
      </c>
      <c r="D155" s="72">
        <f t="shared" ca="1" si="19"/>
        <v>9.4434064634082819</v>
      </c>
      <c r="E155" s="72">
        <f t="shared" ca="1" si="20"/>
        <v>14.018019436146819</v>
      </c>
      <c r="F155" s="72">
        <f t="shared" ca="1" si="21"/>
        <v>3529.9598566295158</v>
      </c>
      <c r="G155" s="72">
        <f t="shared" ca="1" si="22"/>
        <v>193.73907963284273</v>
      </c>
      <c r="H155" s="72">
        <f t="shared" ca="1" si="23"/>
        <v>3723.6989362623585</v>
      </c>
      <c r="I155" s="72">
        <f t="shared" ca="1" si="24"/>
        <v>3737.7169556985054</v>
      </c>
      <c r="J155" s="72">
        <f t="shared" ca="1" si="25"/>
        <v>207.75709906898965</v>
      </c>
    </row>
    <row r="156" spans="1:10" x14ac:dyDescent="0.3">
      <c r="A156" s="30">
        <v>142</v>
      </c>
      <c r="B156" s="72">
        <f t="shared" ca="1" si="18"/>
        <v>0.16709085282457414</v>
      </c>
      <c r="C156" s="72">
        <f t="shared" ca="1" si="18"/>
        <v>0.44346042237113004</v>
      </c>
      <c r="D156" s="72">
        <f t="shared" ca="1" si="19"/>
        <v>4.5707677444957335</v>
      </c>
      <c r="E156" s="72">
        <f t="shared" ca="1" si="20"/>
        <v>13.022599821453481</v>
      </c>
      <c r="F156" s="72">
        <f t="shared" ca="1" si="21"/>
        <v>3534.5306243740115</v>
      </c>
      <c r="G156" s="72">
        <f t="shared" ca="1" si="22"/>
        <v>203.18633132449395</v>
      </c>
      <c r="H156" s="72">
        <f t="shared" ca="1" si="23"/>
        <v>3737.7169556985054</v>
      </c>
      <c r="I156" s="72">
        <f t="shared" ca="1" si="24"/>
        <v>3750.7395555199591</v>
      </c>
      <c r="J156" s="72">
        <f t="shared" ca="1" si="25"/>
        <v>216.20893114594764</v>
      </c>
    </row>
    <row r="157" spans="1:10" x14ac:dyDescent="0.3">
      <c r="A157" s="30">
        <v>143</v>
      </c>
      <c r="B157" s="72">
        <f t="shared" ca="1" si="18"/>
        <v>0.94688612694135588</v>
      </c>
      <c r="C157" s="72">
        <f t="shared" ca="1" si="18"/>
        <v>0.70900785464065319</v>
      </c>
      <c r="D157" s="72">
        <f t="shared" ca="1" si="19"/>
        <v>73.382928049569799</v>
      </c>
      <c r="E157" s="72">
        <f t="shared" ca="1" si="20"/>
        <v>27.432422312604693</v>
      </c>
      <c r="F157" s="72">
        <f t="shared" ca="1" si="21"/>
        <v>3607.9135524235812</v>
      </c>
      <c r="G157" s="72">
        <f t="shared" ca="1" si="22"/>
        <v>142.82600309637792</v>
      </c>
      <c r="H157" s="72">
        <f t="shared" ca="1" si="23"/>
        <v>3750.7395555199591</v>
      </c>
      <c r="I157" s="72">
        <f t="shared" ca="1" si="24"/>
        <v>3778.1719778325637</v>
      </c>
      <c r="J157" s="72">
        <f t="shared" ca="1" si="25"/>
        <v>170.25842540898248</v>
      </c>
    </row>
    <row r="158" spans="1:10" x14ac:dyDescent="0.3">
      <c r="A158" s="30">
        <v>144</v>
      </c>
      <c r="B158" s="72">
        <f t="shared" ca="1" si="18"/>
        <v>0.87982546294745467</v>
      </c>
      <c r="C158" s="72">
        <f t="shared" ca="1" si="18"/>
        <v>0.26101823427141335</v>
      </c>
      <c r="D158" s="72">
        <f t="shared" ca="1" si="19"/>
        <v>52.970252937177086</v>
      </c>
      <c r="E158" s="72">
        <f t="shared" ca="1" si="20"/>
        <v>6.7218229464277179</v>
      </c>
      <c r="F158" s="72">
        <f t="shared" ca="1" si="21"/>
        <v>3660.8838053607583</v>
      </c>
      <c r="G158" s="72">
        <f t="shared" ca="1" si="22"/>
        <v>117.28817247180541</v>
      </c>
      <c r="H158" s="72">
        <f t="shared" ca="1" si="23"/>
        <v>3778.1719778325637</v>
      </c>
      <c r="I158" s="72">
        <f t="shared" ca="1" si="24"/>
        <v>3784.8938007789916</v>
      </c>
      <c r="J158" s="72">
        <f t="shared" ca="1" si="25"/>
        <v>124.0099954182333</v>
      </c>
    </row>
    <row r="159" spans="1:10" x14ac:dyDescent="0.3">
      <c r="A159" s="30">
        <v>145</v>
      </c>
      <c r="B159" s="72">
        <f t="shared" ca="1" si="18"/>
        <v>0.49986933263978273</v>
      </c>
      <c r="C159" s="72">
        <f t="shared" ca="1" si="18"/>
        <v>0.47820401049078698</v>
      </c>
      <c r="D159" s="72">
        <f t="shared" ca="1" si="19"/>
        <v>17.322146999537015</v>
      </c>
      <c r="E159" s="72">
        <f t="shared" ca="1" si="20"/>
        <v>14.455079826363736</v>
      </c>
      <c r="F159" s="72">
        <f t="shared" ca="1" si="21"/>
        <v>3678.2059523602952</v>
      </c>
      <c r="G159" s="72">
        <f t="shared" ca="1" si="22"/>
        <v>106.68784841869638</v>
      </c>
      <c r="H159" s="72">
        <f t="shared" ca="1" si="23"/>
        <v>3784.8938007789916</v>
      </c>
      <c r="I159" s="72">
        <f t="shared" ca="1" si="24"/>
        <v>3799.3488806053551</v>
      </c>
      <c r="J159" s="72">
        <f t="shared" ca="1" si="25"/>
        <v>121.14292824505992</v>
      </c>
    </row>
    <row r="160" spans="1:10" x14ac:dyDescent="0.3">
      <c r="A160" s="30">
        <v>146</v>
      </c>
      <c r="B160" s="72">
        <f t="shared" ca="1" si="18"/>
        <v>0.53380730639712581</v>
      </c>
      <c r="C160" s="72">
        <f t="shared" ca="1" si="18"/>
        <v>0.95383697215958452</v>
      </c>
      <c r="D160" s="72">
        <f t="shared" ca="1" si="19"/>
        <v>19.078905618519954</v>
      </c>
      <c r="E160" s="72">
        <f t="shared" ca="1" si="20"/>
        <v>68.346134766009811</v>
      </c>
      <c r="F160" s="72">
        <f t="shared" ca="1" si="21"/>
        <v>3697.2848579788151</v>
      </c>
      <c r="G160" s="72">
        <f t="shared" ca="1" si="22"/>
        <v>102.06402262654001</v>
      </c>
      <c r="H160" s="72">
        <f t="shared" ca="1" si="23"/>
        <v>3799.3488806053551</v>
      </c>
      <c r="I160" s="72">
        <f t="shared" ca="1" si="24"/>
        <v>3867.6950153713651</v>
      </c>
      <c r="J160" s="72">
        <f t="shared" ca="1" si="25"/>
        <v>170.41015739254999</v>
      </c>
    </row>
    <row r="161" spans="1:10" x14ac:dyDescent="0.3">
      <c r="A161" s="30">
        <v>147</v>
      </c>
      <c r="B161" s="72">
        <f t="shared" ca="1" si="18"/>
        <v>4.1757331122124874E-2</v>
      </c>
      <c r="C161" s="72">
        <f t="shared" ca="1" si="18"/>
        <v>0.65459954032364365</v>
      </c>
      <c r="D161" s="72">
        <f t="shared" ca="1" si="19"/>
        <v>1.0663556320641692</v>
      </c>
      <c r="E161" s="72">
        <f t="shared" ca="1" si="20"/>
        <v>23.623350720405011</v>
      </c>
      <c r="F161" s="72">
        <f t="shared" ca="1" si="21"/>
        <v>3698.3512136108793</v>
      </c>
      <c r="G161" s="72">
        <f t="shared" ca="1" si="22"/>
        <v>169.3438017604858</v>
      </c>
      <c r="H161" s="72">
        <f t="shared" ca="1" si="23"/>
        <v>3867.6950153713651</v>
      </c>
      <c r="I161" s="72">
        <f t="shared" ca="1" si="24"/>
        <v>3891.3183660917703</v>
      </c>
      <c r="J161" s="72">
        <f t="shared" ca="1" si="25"/>
        <v>192.96715248089095</v>
      </c>
    </row>
    <row r="162" spans="1:10" x14ac:dyDescent="0.3">
      <c r="A162" s="30">
        <v>148</v>
      </c>
      <c r="B162" s="72">
        <f t="shared" ca="1" si="18"/>
        <v>9.8276352842437964E-3</v>
      </c>
      <c r="C162" s="72">
        <f t="shared" ca="1" si="18"/>
        <v>2.4842771348073001E-2</v>
      </c>
      <c r="D162" s="72">
        <f t="shared" ca="1" si="19"/>
        <v>0.2469061308665372</v>
      </c>
      <c r="E162" s="72">
        <f t="shared" ca="1" si="20"/>
        <v>0.55903468509974585</v>
      </c>
      <c r="F162" s="72">
        <f t="shared" ca="1" si="21"/>
        <v>3698.5981197417459</v>
      </c>
      <c r="G162" s="72">
        <f t="shared" ca="1" si="22"/>
        <v>192.72024635002435</v>
      </c>
      <c r="H162" s="72">
        <f t="shared" ca="1" si="23"/>
        <v>3891.3183660917703</v>
      </c>
      <c r="I162" s="72">
        <f t="shared" ca="1" si="24"/>
        <v>3891.8774007768702</v>
      </c>
      <c r="J162" s="72">
        <f t="shared" ca="1" si="25"/>
        <v>193.27928103512431</v>
      </c>
    </row>
    <row r="163" spans="1:10" x14ac:dyDescent="0.3">
      <c r="A163" s="30">
        <v>149</v>
      </c>
      <c r="B163" s="72">
        <f t="shared" ca="1" si="18"/>
        <v>0.75133762669213267</v>
      </c>
      <c r="C163" s="72">
        <f t="shared" ca="1" si="18"/>
        <v>0.63054507656652659</v>
      </c>
      <c r="D163" s="72">
        <f t="shared" ca="1" si="19"/>
        <v>34.791480827837404</v>
      </c>
      <c r="E163" s="72">
        <f t="shared" ca="1" si="20"/>
        <v>22.127256432218385</v>
      </c>
      <c r="F163" s="72">
        <f t="shared" ca="1" si="21"/>
        <v>3733.3896005695833</v>
      </c>
      <c r="G163" s="72">
        <f t="shared" ca="1" si="22"/>
        <v>158.48780020728691</v>
      </c>
      <c r="H163" s="72">
        <f t="shared" ca="1" si="23"/>
        <v>3891.8774007768702</v>
      </c>
      <c r="I163" s="72">
        <f t="shared" ca="1" si="24"/>
        <v>3914.0046572090887</v>
      </c>
      <c r="J163" s="72">
        <f t="shared" ca="1" si="25"/>
        <v>180.61505663950538</v>
      </c>
    </row>
    <row r="164" spans="1:10" x14ac:dyDescent="0.3">
      <c r="A164" s="30">
        <v>150</v>
      </c>
      <c r="B164" s="72">
        <f t="shared" ca="1" si="18"/>
        <v>9.325690610671733E-2</v>
      </c>
      <c r="C164" s="72">
        <f t="shared" ca="1" si="18"/>
        <v>0.48041871643002132</v>
      </c>
      <c r="D164" s="72">
        <f t="shared" ca="1" si="19"/>
        <v>2.4474029294391757</v>
      </c>
      <c r="E164" s="72">
        <f t="shared" ca="1" si="20"/>
        <v>14.549600348387907</v>
      </c>
      <c r="F164" s="72">
        <f t="shared" ca="1" si="21"/>
        <v>3735.8370034990226</v>
      </c>
      <c r="G164" s="72">
        <f t="shared" ca="1" si="22"/>
        <v>178.16765371006613</v>
      </c>
      <c r="H164" s="72">
        <f t="shared" ca="1" si="23"/>
        <v>3914.0046572090887</v>
      </c>
      <c r="I164" s="72">
        <f t="shared" ca="1" si="24"/>
        <v>3928.5542575574764</v>
      </c>
      <c r="J164" s="72">
        <f t="shared" ca="1" si="25"/>
        <v>192.71725405845382</v>
      </c>
    </row>
    <row r="165" spans="1:10" x14ac:dyDescent="0.3">
      <c r="A165" s="30">
        <v>151</v>
      </c>
      <c r="B165" s="72">
        <f t="shared" ca="1" si="18"/>
        <v>0.30889519736318372</v>
      </c>
      <c r="C165" s="72">
        <f t="shared" ca="1" si="18"/>
        <v>0.54334069314318523</v>
      </c>
      <c r="D165" s="72">
        <f t="shared" ca="1" si="19"/>
        <v>9.236594966106507</v>
      </c>
      <c r="E165" s="72">
        <f t="shared" ca="1" si="20"/>
        <v>17.418170340664108</v>
      </c>
      <c r="F165" s="72">
        <f t="shared" ca="1" si="21"/>
        <v>3745.0735984651292</v>
      </c>
      <c r="G165" s="72">
        <f t="shared" ca="1" si="22"/>
        <v>183.4806590923472</v>
      </c>
      <c r="H165" s="72">
        <f t="shared" ca="1" si="23"/>
        <v>3928.5542575574764</v>
      </c>
      <c r="I165" s="72">
        <f t="shared" ca="1" si="24"/>
        <v>3945.9724278981403</v>
      </c>
      <c r="J165" s="72">
        <f t="shared" ca="1" si="25"/>
        <v>200.89882943301109</v>
      </c>
    </row>
    <row r="166" spans="1:10" x14ac:dyDescent="0.3">
      <c r="A166" s="30">
        <v>152</v>
      </c>
      <c r="B166" s="72">
        <f t="shared" ca="1" si="18"/>
        <v>0.96661308900774257</v>
      </c>
      <c r="C166" s="72">
        <f t="shared" ca="1" si="18"/>
        <v>0.74107936344490999</v>
      </c>
      <c r="D166" s="72">
        <f t="shared" ca="1" si="19"/>
        <v>84.989783556660157</v>
      </c>
      <c r="E166" s="72">
        <f t="shared" ca="1" si="20"/>
        <v>30.027415262373484</v>
      </c>
      <c r="F166" s="72">
        <f t="shared" ca="1" si="21"/>
        <v>3830.0633820217895</v>
      </c>
      <c r="G166" s="72">
        <f t="shared" ca="1" si="22"/>
        <v>115.90904587635077</v>
      </c>
      <c r="H166" s="72">
        <f t="shared" ca="1" si="23"/>
        <v>3945.9724278981403</v>
      </c>
      <c r="I166" s="72">
        <f t="shared" ca="1" si="24"/>
        <v>3975.9998431605136</v>
      </c>
      <c r="J166" s="72">
        <f t="shared" ca="1" si="25"/>
        <v>145.9364611387241</v>
      </c>
    </row>
    <row r="167" spans="1:10" x14ac:dyDescent="0.3">
      <c r="A167" s="30">
        <v>153</v>
      </c>
      <c r="B167" s="72">
        <f t="shared" ca="1" si="18"/>
        <v>9.758339806280758E-2</v>
      </c>
      <c r="C167" s="72">
        <f t="shared" ca="1" si="18"/>
        <v>0.45545028807725707</v>
      </c>
      <c r="D167" s="72">
        <f t="shared" ca="1" si="19"/>
        <v>2.5669750217698217</v>
      </c>
      <c r="E167" s="72">
        <f t="shared" ca="1" si="20"/>
        <v>13.506578721766871</v>
      </c>
      <c r="F167" s="72">
        <f t="shared" ca="1" si="21"/>
        <v>3832.6303570435593</v>
      </c>
      <c r="G167" s="72">
        <f t="shared" ca="1" si="22"/>
        <v>143.36948611695425</v>
      </c>
      <c r="H167" s="72">
        <f t="shared" ca="1" si="23"/>
        <v>3975.9998431605136</v>
      </c>
      <c r="I167" s="72">
        <f t="shared" ca="1" si="24"/>
        <v>3989.5064218822804</v>
      </c>
      <c r="J167" s="72">
        <f t="shared" ca="1" si="25"/>
        <v>156.87606483872105</v>
      </c>
    </row>
    <row r="168" spans="1:10" x14ac:dyDescent="0.3">
      <c r="A168" s="30">
        <v>154</v>
      </c>
      <c r="B168" s="72">
        <f t="shared" ca="1" si="18"/>
        <v>0.81274584709363762</v>
      </c>
      <c r="C168" s="72">
        <f t="shared" ca="1" si="18"/>
        <v>3.7264269554057594E-2</v>
      </c>
      <c r="D168" s="72">
        <f t="shared" ca="1" si="19"/>
        <v>41.882211960640142</v>
      </c>
      <c r="E168" s="72">
        <f t="shared" ca="1" si="20"/>
        <v>0.8439184012863965</v>
      </c>
      <c r="F168" s="72">
        <f t="shared" ca="1" si="21"/>
        <v>3874.5125690041996</v>
      </c>
      <c r="G168" s="72">
        <f t="shared" ca="1" si="22"/>
        <v>114.99385287808082</v>
      </c>
      <c r="H168" s="72">
        <f t="shared" ca="1" si="23"/>
        <v>3989.5064218822804</v>
      </c>
      <c r="I168" s="72">
        <f t="shared" ca="1" si="24"/>
        <v>3990.3503402835668</v>
      </c>
      <c r="J168" s="72">
        <f t="shared" ca="1" si="25"/>
        <v>115.83777127936719</v>
      </c>
    </row>
    <row r="169" spans="1:10" x14ac:dyDescent="0.3">
      <c r="A169" s="30">
        <v>155</v>
      </c>
      <c r="B169" s="72">
        <f t="shared" ca="1" si="18"/>
        <v>0.20666618793833813</v>
      </c>
      <c r="C169" s="72">
        <f t="shared" ca="1" si="18"/>
        <v>0.36628008845194837</v>
      </c>
      <c r="D169" s="72">
        <f t="shared" ca="1" si="19"/>
        <v>5.7877799386459721</v>
      </c>
      <c r="E169" s="72">
        <f t="shared" ca="1" si="20"/>
        <v>10.136626712245803</v>
      </c>
      <c r="F169" s="72">
        <f t="shared" ca="1" si="21"/>
        <v>3880.3003489428456</v>
      </c>
      <c r="G169" s="72">
        <f t="shared" ca="1" si="22"/>
        <v>110.04999134072114</v>
      </c>
      <c r="H169" s="72">
        <f t="shared" ca="1" si="23"/>
        <v>3990.3503402835668</v>
      </c>
      <c r="I169" s="72">
        <f t="shared" ca="1" si="24"/>
        <v>4000.4869669958125</v>
      </c>
      <c r="J169" s="72">
        <f t="shared" ca="1" si="25"/>
        <v>120.18661805296688</v>
      </c>
    </row>
    <row r="170" spans="1:10" x14ac:dyDescent="0.3">
      <c r="A170" s="30">
        <v>156</v>
      </c>
      <c r="B170" s="72">
        <f t="shared" ca="1" si="18"/>
        <v>6.2427797742492186E-2</v>
      </c>
      <c r="C170" s="72">
        <f t="shared" ca="1" si="18"/>
        <v>0.55877322352378722</v>
      </c>
      <c r="D170" s="72">
        <f t="shared" ca="1" si="19"/>
        <v>1.6115377090447358</v>
      </c>
      <c r="E170" s="72">
        <f t="shared" ca="1" si="20"/>
        <v>18.182140074112958</v>
      </c>
      <c r="F170" s="72">
        <f t="shared" ca="1" si="21"/>
        <v>3881.9118866518902</v>
      </c>
      <c r="G170" s="72">
        <f t="shared" ca="1" si="22"/>
        <v>118.57508034392231</v>
      </c>
      <c r="H170" s="72">
        <f t="shared" ca="1" si="23"/>
        <v>4000.4869669958125</v>
      </c>
      <c r="I170" s="72">
        <f t="shared" ca="1" si="24"/>
        <v>4018.6691070699253</v>
      </c>
      <c r="J170" s="72">
        <f t="shared" ca="1" si="25"/>
        <v>136.7572204180351</v>
      </c>
    </row>
    <row r="171" spans="1:10" x14ac:dyDescent="0.3">
      <c r="A171" s="30">
        <v>157</v>
      </c>
      <c r="B171" s="72">
        <f t="shared" ca="1" si="18"/>
        <v>0.2986778592600281</v>
      </c>
      <c r="C171" s="72">
        <f t="shared" ca="1" si="18"/>
        <v>0.54611681963844239</v>
      </c>
      <c r="D171" s="72">
        <f t="shared" ca="1" si="19"/>
        <v>8.8696988235236347</v>
      </c>
      <c r="E171" s="72">
        <f t="shared" ca="1" si="20"/>
        <v>17.553676134003208</v>
      </c>
      <c r="F171" s="72">
        <f t="shared" ca="1" si="21"/>
        <v>3890.781585475414</v>
      </c>
      <c r="G171" s="72">
        <f t="shared" ca="1" si="22"/>
        <v>127.88752159451133</v>
      </c>
      <c r="H171" s="72">
        <f t="shared" ca="1" si="23"/>
        <v>4018.6691070699253</v>
      </c>
      <c r="I171" s="72">
        <f t="shared" ca="1" si="24"/>
        <v>4036.2227832039284</v>
      </c>
      <c r="J171" s="72">
        <f t="shared" ca="1" si="25"/>
        <v>145.44119772851445</v>
      </c>
    </row>
    <row r="172" spans="1:10" x14ac:dyDescent="0.3">
      <c r="A172" s="30">
        <v>158</v>
      </c>
      <c r="B172" s="72">
        <f t="shared" ca="1" si="18"/>
        <v>0.94545408735107805</v>
      </c>
      <c r="C172" s="72">
        <f t="shared" ca="1" si="18"/>
        <v>0.7731900004451755</v>
      </c>
      <c r="D172" s="72">
        <f t="shared" ca="1" si="19"/>
        <v>72.717812450901505</v>
      </c>
      <c r="E172" s="72">
        <f t="shared" ca="1" si="20"/>
        <v>32.969835963390246</v>
      </c>
      <c r="F172" s="72">
        <f t="shared" ca="1" si="21"/>
        <v>3963.4993979263154</v>
      </c>
      <c r="G172" s="72">
        <f t="shared" ca="1" si="22"/>
        <v>72.723385277613033</v>
      </c>
      <c r="H172" s="72">
        <f t="shared" ca="1" si="23"/>
        <v>4036.2227832039284</v>
      </c>
      <c r="I172" s="72">
        <f t="shared" ca="1" si="24"/>
        <v>4069.1926191673188</v>
      </c>
      <c r="J172" s="72">
        <f t="shared" ca="1" si="25"/>
        <v>105.69322124100336</v>
      </c>
    </row>
    <row r="173" spans="1:10" x14ac:dyDescent="0.3">
      <c r="A173" s="30">
        <v>159</v>
      </c>
      <c r="B173" s="72">
        <f t="shared" ca="1" si="18"/>
        <v>0.57378731055700827</v>
      </c>
      <c r="C173" s="72">
        <f t="shared" ca="1" si="18"/>
        <v>0.71912265796618546</v>
      </c>
      <c r="D173" s="72">
        <f t="shared" ca="1" si="19"/>
        <v>21.320419657853034</v>
      </c>
      <c r="E173" s="72">
        <f t="shared" ca="1" si="20"/>
        <v>28.218604670272626</v>
      </c>
      <c r="F173" s="72">
        <f t="shared" ca="1" si="21"/>
        <v>3984.8198175841685</v>
      </c>
      <c r="G173" s="72">
        <f t="shared" ca="1" si="22"/>
        <v>84.372801583150249</v>
      </c>
      <c r="H173" s="72">
        <f t="shared" ca="1" si="23"/>
        <v>4069.1926191673188</v>
      </c>
      <c r="I173" s="72">
        <f t="shared" ca="1" si="24"/>
        <v>4097.411223837591</v>
      </c>
      <c r="J173" s="72">
        <f t="shared" ca="1" si="25"/>
        <v>112.59140625342252</v>
      </c>
    </row>
    <row r="174" spans="1:10" x14ac:dyDescent="0.3">
      <c r="A174" s="30">
        <v>160</v>
      </c>
      <c r="B174" s="72">
        <f t="shared" ca="1" si="18"/>
        <v>0.71755555861668519</v>
      </c>
      <c r="C174" s="72">
        <f t="shared" ca="1" si="18"/>
        <v>0.14220907739700028</v>
      </c>
      <c r="D174" s="72">
        <f t="shared" ca="1" si="19"/>
        <v>31.606835385173639</v>
      </c>
      <c r="E174" s="72">
        <f t="shared" ca="1" si="20"/>
        <v>3.4087753141964789</v>
      </c>
      <c r="F174" s="72">
        <f t="shared" ca="1" si="21"/>
        <v>4016.4266529693423</v>
      </c>
      <c r="G174" s="72">
        <f t="shared" ca="1" si="22"/>
        <v>80.984570868248738</v>
      </c>
      <c r="H174" s="72">
        <f t="shared" ca="1" si="23"/>
        <v>4097.411223837591</v>
      </c>
      <c r="I174" s="72">
        <f t="shared" ca="1" si="24"/>
        <v>4100.8199991517877</v>
      </c>
      <c r="J174" s="72">
        <f t="shared" ca="1" si="25"/>
        <v>84.393346182445384</v>
      </c>
    </row>
    <row r="175" spans="1:10" x14ac:dyDescent="0.3">
      <c r="A175" s="30">
        <v>161</v>
      </c>
      <c r="B175" s="72">
        <f t="shared" ca="1" si="18"/>
        <v>4.5882274797784284E-2</v>
      </c>
      <c r="C175" s="72">
        <f t="shared" ca="1" si="18"/>
        <v>0.8882771250219953</v>
      </c>
      <c r="D175" s="72">
        <f t="shared" ca="1" si="19"/>
        <v>1.1742053366935035</v>
      </c>
      <c r="E175" s="72">
        <f t="shared" ca="1" si="20"/>
        <v>48.705195654563241</v>
      </c>
      <c r="F175" s="72">
        <f t="shared" ca="1" si="21"/>
        <v>4017.6008583060357</v>
      </c>
      <c r="G175" s="72">
        <f t="shared" ca="1" si="22"/>
        <v>83.219140845752008</v>
      </c>
      <c r="H175" s="72">
        <f t="shared" ca="1" si="23"/>
        <v>4100.8199991517877</v>
      </c>
      <c r="I175" s="72">
        <f t="shared" ca="1" si="24"/>
        <v>4149.5251948063506</v>
      </c>
      <c r="J175" s="72">
        <f t="shared" ca="1" si="25"/>
        <v>131.92433650031489</v>
      </c>
    </row>
    <row r="176" spans="1:10" x14ac:dyDescent="0.3">
      <c r="A176" s="30">
        <v>162</v>
      </c>
      <c r="B176" s="72">
        <f t="shared" ca="1" si="18"/>
        <v>0.33067165159827738</v>
      </c>
      <c r="C176" s="72">
        <f t="shared" ca="1" si="18"/>
        <v>0.67777823350899546</v>
      </c>
      <c r="D176" s="72">
        <f t="shared" ca="1" si="19"/>
        <v>10.037013361833717</v>
      </c>
      <c r="E176" s="72">
        <f t="shared" ca="1" si="20"/>
        <v>25.167005659623399</v>
      </c>
      <c r="F176" s="72">
        <f t="shared" ca="1" si="21"/>
        <v>4027.6378716678696</v>
      </c>
      <c r="G176" s="72">
        <f t="shared" ca="1" si="22"/>
        <v>121.88732313848095</v>
      </c>
      <c r="H176" s="72">
        <f t="shared" ca="1" si="23"/>
        <v>4149.5251948063506</v>
      </c>
      <c r="I176" s="72">
        <f t="shared" ca="1" si="24"/>
        <v>4174.6922004659737</v>
      </c>
      <c r="J176" s="72">
        <f t="shared" ca="1" si="25"/>
        <v>147.05432879810405</v>
      </c>
    </row>
    <row r="177" spans="1:10" x14ac:dyDescent="0.3">
      <c r="A177" s="30">
        <v>163</v>
      </c>
      <c r="B177" s="72">
        <f t="shared" ref="B177:C214" ca="1" si="26">RAND()</f>
        <v>0.28196962037408202</v>
      </c>
      <c r="C177" s="72">
        <f t="shared" ca="1" si="26"/>
        <v>3.7993703077526364E-2</v>
      </c>
      <c r="D177" s="72">
        <f t="shared" ca="1" si="19"/>
        <v>8.2810849843076735</v>
      </c>
      <c r="E177" s="72">
        <f t="shared" ca="1" si="20"/>
        <v>0.8607618373421384</v>
      </c>
      <c r="F177" s="72">
        <f t="shared" ca="1" si="21"/>
        <v>4035.9189566521773</v>
      </c>
      <c r="G177" s="72">
        <f t="shared" ca="1" si="22"/>
        <v>138.7732438137964</v>
      </c>
      <c r="H177" s="72">
        <f t="shared" ca="1" si="23"/>
        <v>4174.6922004659737</v>
      </c>
      <c r="I177" s="72">
        <f t="shared" ca="1" si="24"/>
        <v>4175.5529623033162</v>
      </c>
      <c r="J177" s="72">
        <f t="shared" ca="1" si="25"/>
        <v>139.63400565113898</v>
      </c>
    </row>
    <row r="178" spans="1:10" x14ac:dyDescent="0.3">
      <c r="A178" s="30">
        <v>164</v>
      </c>
      <c r="B178" s="72">
        <f t="shared" ca="1" si="26"/>
        <v>0.35874155761640403</v>
      </c>
      <c r="C178" s="72">
        <f t="shared" ca="1" si="26"/>
        <v>0.15631208132668795</v>
      </c>
      <c r="D178" s="72">
        <f t="shared" ca="1" si="19"/>
        <v>11.108067926833531</v>
      </c>
      <c r="E178" s="72">
        <f t="shared" ca="1" si="20"/>
        <v>3.7771692749121941</v>
      </c>
      <c r="F178" s="72">
        <f t="shared" ca="1" si="21"/>
        <v>4047.0270245790107</v>
      </c>
      <c r="G178" s="72">
        <f t="shared" ca="1" si="22"/>
        <v>128.52593772430555</v>
      </c>
      <c r="H178" s="72">
        <f t="shared" ca="1" si="23"/>
        <v>4175.5529623033162</v>
      </c>
      <c r="I178" s="72">
        <f t="shared" ca="1" si="24"/>
        <v>4179.3301315782282</v>
      </c>
      <c r="J178" s="72">
        <f t="shared" ca="1" si="25"/>
        <v>132.30310699921756</v>
      </c>
    </row>
    <row r="179" spans="1:10" x14ac:dyDescent="0.3">
      <c r="A179" s="30">
        <v>165</v>
      </c>
      <c r="B179" s="72">
        <f t="shared" ca="1" si="26"/>
        <v>0.22514080969965133</v>
      </c>
      <c r="C179" s="72">
        <f t="shared" ca="1" si="26"/>
        <v>0.34803770232582321</v>
      </c>
      <c r="D179" s="72">
        <f t="shared" ca="1" si="19"/>
        <v>6.3768489017859959</v>
      </c>
      <c r="E179" s="72">
        <f t="shared" ca="1" si="20"/>
        <v>9.5059676529012176</v>
      </c>
      <c r="F179" s="72">
        <f t="shared" ca="1" si="21"/>
        <v>4053.4038734807968</v>
      </c>
      <c r="G179" s="72">
        <f t="shared" ca="1" si="22"/>
        <v>125.9262580974314</v>
      </c>
      <c r="H179" s="72">
        <f t="shared" ca="1" si="23"/>
        <v>4179.3301315782282</v>
      </c>
      <c r="I179" s="72">
        <f t="shared" ca="1" si="24"/>
        <v>4188.8360992311291</v>
      </c>
      <c r="J179" s="72">
        <f t="shared" ca="1" si="25"/>
        <v>135.43222575033224</v>
      </c>
    </row>
    <row r="180" spans="1:10" x14ac:dyDescent="0.3">
      <c r="A180" s="30">
        <v>166</v>
      </c>
      <c r="B180" s="72">
        <f t="shared" ca="1" si="26"/>
        <v>0.55407305744230873</v>
      </c>
      <c r="C180" s="72">
        <f t="shared" ca="1" si="26"/>
        <v>9.8369850334885545E-2</v>
      </c>
      <c r="D180" s="72">
        <f t="shared" ca="1" si="19"/>
        <v>20.190003657604695</v>
      </c>
      <c r="E180" s="72">
        <f t="shared" ca="1" si="20"/>
        <v>2.3011305919329423</v>
      </c>
      <c r="F180" s="72">
        <f t="shared" ca="1" si="21"/>
        <v>4073.5938771384017</v>
      </c>
      <c r="G180" s="72">
        <f t="shared" ca="1" si="22"/>
        <v>115.24222209272739</v>
      </c>
      <c r="H180" s="72">
        <f t="shared" ca="1" si="23"/>
        <v>4188.8360992311291</v>
      </c>
      <c r="I180" s="72">
        <f t="shared" ca="1" si="24"/>
        <v>4191.1372298230617</v>
      </c>
      <c r="J180" s="72">
        <f t="shared" ca="1" si="25"/>
        <v>117.54335268466002</v>
      </c>
    </row>
    <row r="181" spans="1:10" x14ac:dyDescent="0.3">
      <c r="A181" s="30">
        <v>167</v>
      </c>
      <c r="B181" s="72">
        <f t="shared" ca="1" si="26"/>
        <v>0.25656117299557391</v>
      </c>
      <c r="C181" s="72">
        <f t="shared" ca="1" si="26"/>
        <v>0.91090504666595562</v>
      </c>
      <c r="D181" s="72">
        <f t="shared" ca="1" si="19"/>
        <v>7.4117198382209839</v>
      </c>
      <c r="E181" s="72">
        <f t="shared" ca="1" si="20"/>
        <v>53.734501924008612</v>
      </c>
      <c r="F181" s="72">
        <f t="shared" ca="1" si="21"/>
        <v>4081.0055969766227</v>
      </c>
      <c r="G181" s="72">
        <f t="shared" ca="1" si="22"/>
        <v>110.13163284643906</v>
      </c>
      <c r="H181" s="72">
        <f t="shared" ca="1" si="23"/>
        <v>4191.1372298230617</v>
      </c>
      <c r="I181" s="72">
        <f t="shared" ca="1" si="24"/>
        <v>4244.87173174707</v>
      </c>
      <c r="J181" s="72">
        <f t="shared" ca="1" si="25"/>
        <v>163.86613477044739</v>
      </c>
    </row>
    <row r="182" spans="1:10" x14ac:dyDescent="0.3">
      <c r="A182" s="30">
        <v>168</v>
      </c>
      <c r="B182" s="72">
        <f t="shared" ca="1" si="26"/>
        <v>0.73460919731562735</v>
      </c>
      <c r="C182" s="72">
        <f t="shared" ca="1" si="26"/>
        <v>0.14386583825557075</v>
      </c>
      <c r="D182" s="72">
        <f t="shared" ca="1" si="19"/>
        <v>33.16379530567982</v>
      </c>
      <c r="E182" s="72">
        <f t="shared" ca="1" si="20"/>
        <v>3.4517374247015389</v>
      </c>
      <c r="F182" s="72">
        <f t="shared" ca="1" si="21"/>
        <v>4114.1693922823024</v>
      </c>
      <c r="G182" s="72">
        <f t="shared" ca="1" si="22"/>
        <v>130.70233946476765</v>
      </c>
      <c r="H182" s="72">
        <f t="shared" ca="1" si="23"/>
        <v>4244.87173174707</v>
      </c>
      <c r="I182" s="72">
        <f t="shared" ca="1" si="24"/>
        <v>4248.3234691717716</v>
      </c>
      <c r="J182" s="72">
        <f t="shared" ca="1" si="25"/>
        <v>134.15407688946925</v>
      </c>
    </row>
    <row r="183" spans="1:10" x14ac:dyDescent="0.3">
      <c r="A183" s="30">
        <v>169</v>
      </c>
      <c r="B183" s="72">
        <f t="shared" ca="1" si="26"/>
        <v>0.79046130198722342</v>
      </c>
      <c r="C183" s="72">
        <f t="shared" ca="1" si="26"/>
        <v>0.61996697851941651</v>
      </c>
      <c r="D183" s="72">
        <f t="shared" ca="1" si="19"/>
        <v>39.071171015660362</v>
      </c>
      <c r="E183" s="72">
        <f t="shared" ca="1" si="20"/>
        <v>21.499936253423524</v>
      </c>
      <c r="F183" s="72">
        <f t="shared" ca="1" si="21"/>
        <v>4153.2405632979626</v>
      </c>
      <c r="G183" s="72">
        <f t="shared" ca="1" si="22"/>
        <v>95.082905873809068</v>
      </c>
      <c r="H183" s="72">
        <f t="shared" ca="1" si="23"/>
        <v>4248.3234691717716</v>
      </c>
      <c r="I183" s="72">
        <f t="shared" ca="1" si="24"/>
        <v>4269.8234054251952</v>
      </c>
      <c r="J183" s="72">
        <f t="shared" ca="1" si="25"/>
        <v>116.58284212723265</v>
      </c>
    </row>
    <row r="184" spans="1:10" x14ac:dyDescent="0.3">
      <c r="A184" s="30">
        <v>170</v>
      </c>
      <c r="B184" s="72">
        <f t="shared" ca="1" si="26"/>
        <v>0.79887504312805269</v>
      </c>
      <c r="C184" s="72">
        <f t="shared" ca="1" si="26"/>
        <v>0.67202840146143072</v>
      </c>
      <c r="D184" s="72">
        <f t="shared" ca="1" si="19"/>
        <v>40.095722202592114</v>
      </c>
      <c r="E184" s="72">
        <f t="shared" ca="1" si="20"/>
        <v>24.773961425967634</v>
      </c>
      <c r="F184" s="72">
        <f t="shared" ca="1" si="21"/>
        <v>4193.3362855005544</v>
      </c>
      <c r="G184" s="72">
        <f t="shared" ca="1" si="22"/>
        <v>76.487119924640865</v>
      </c>
      <c r="H184" s="72">
        <f t="shared" ca="1" si="23"/>
        <v>4269.8234054251952</v>
      </c>
      <c r="I184" s="72">
        <f t="shared" ca="1" si="24"/>
        <v>4294.5973668511633</v>
      </c>
      <c r="J184" s="72">
        <f t="shared" ca="1" si="25"/>
        <v>101.26108135060895</v>
      </c>
    </row>
    <row r="185" spans="1:10" x14ac:dyDescent="0.3">
      <c r="A185" s="30">
        <v>171</v>
      </c>
      <c r="B185" s="72">
        <f t="shared" ca="1" si="26"/>
        <v>0.35972487638144379</v>
      </c>
      <c r="C185" s="72">
        <f t="shared" ca="1" si="26"/>
        <v>0.69134380063816292</v>
      </c>
      <c r="D185" s="72">
        <f t="shared" ca="1" si="19"/>
        <v>11.146432858666051</v>
      </c>
      <c r="E185" s="72">
        <f t="shared" ca="1" si="20"/>
        <v>26.122827665195768</v>
      </c>
      <c r="F185" s="72">
        <f t="shared" ca="1" si="21"/>
        <v>4204.4827183592206</v>
      </c>
      <c r="G185" s="72">
        <f t="shared" ca="1" si="22"/>
        <v>90.114648491942717</v>
      </c>
      <c r="H185" s="72">
        <f t="shared" ca="1" si="23"/>
        <v>4294.5973668511633</v>
      </c>
      <c r="I185" s="72">
        <f t="shared" ca="1" si="24"/>
        <v>4320.7201945163588</v>
      </c>
      <c r="J185" s="72">
        <f t="shared" ca="1" si="25"/>
        <v>116.23747615713819</v>
      </c>
    </row>
    <row r="186" spans="1:10" x14ac:dyDescent="0.3">
      <c r="A186" s="30">
        <v>172</v>
      </c>
      <c r="B186" s="72">
        <f t="shared" ca="1" si="26"/>
        <v>0.72057243961588657</v>
      </c>
      <c r="C186" s="72">
        <f t="shared" ca="1" si="26"/>
        <v>0.77170782623178247</v>
      </c>
      <c r="D186" s="72">
        <f t="shared" ca="1" si="19"/>
        <v>31.87530489266241</v>
      </c>
      <c r="E186" s="72">
        <f t="shared" ca="1" si="20"/>
        <v>32.825089033468551</v>
      </c>
      <c r="F186" s="72">
        <f t="shared" ca="1" si="21"/>
        <v>4236.3580232518834</v>
      </c>
      <c r="G186" s="72">
        <f t="shared" ca="1" si="22"/>
        <v>84.362171264475364</v>
      </c>
      <c r="H186" s="72">
        <f t="shared" ca="1" si="23"/>
        <v>4320.7201945163588</v>
      </c>
      <c r="I186" s="72">
        <f t="shared" ca="1" si="24"/>
        <v>4353.5452835498272</v>
      </c>
      <c r="J186" s="72">
        <f t="shared" ca="1" si="25"/>
        <v>117.18726029794379</v>
      </c>
    </row>
    <row r="187" spans="1:10" x14ac:dyDescent="0.3">
      <c r="A187" s="30">
        <v>173</v>
      </c>
      <c r="B187" s="72">
        <f t="shared" ca="1" si="26"/>
        <v>0.60181574457181164</v>
      </c>
      <c r="C187" s="72">
        <f t="shared" ca="1" si="26"/>
        <v>0.95551683877058269</v>
      </c>
      <c r="D187" s="72">
        <f t="shared" ca="1" si="19"/>
        <v>23.021010687259402</v>
      </c>
      <c r="E187" s="72">
        <f t="shared" ca="1" si="20"/>
        <v>69.169879127999437</v>
      </c>
      <c r="F187" s="72">
        <f t="shared" ca="1" si="21"/>
        <v>4259.3790339391426</v>
      </c>
      <c r="G187" s="72">
        <f t="shared" ca="1" si="22"/>
        <v>94.166249610684645</v>
      </c>
      <c r="H187" s="72">
        <f t="shared" ca="1" si="23"/>
        <v>4353.5452835498272</v>
      </c>
      <c r="I187" s="72">
        <f t="shared" ca="1" si="24"/>
        <v>4422.7151626778268</v>
      </c>
      <c r="J187" s="72">
        <f t="shared" ca="1" si="25"/>
        <v>163.33612873868424</v>
      </c>
    </row>
    <row r="188" spans="1:10" x14ac:dyDescent="0.3">
      <c r="A188" s="30">
        <v>174</v>
      </c>
      <c r="B188" s="72">
        <f t="shared" ca="1" si="26"/>
        <v>0.70007198575653862</v>
      </c>
      <c r="C188" s="72">
        <f t="shared" ca="1" si="26"/>
        <v>0.66644107108239869</v>
      </c>
      <c r="D188" s="72">
        <f t="shared" ca="1" si="19"/>
        <v>30.105319641023598</v>
      </c>
      <c r="E188" s="72">
        <f t="shared" ca="1" si="20"/>
        <v>24.39857179627068</v>
      </c>
      <c r="F188" s="72">
        <f t="shared" ca="1" si="21"/>
        <v>4289.4843535801665</v>
      </c>
      <c r="G188" s="72">
        <f t="shared" ca="1" si="22"/>
        <v>133.23080909766031</v>
      </c>
      <c r="H188" s="72">
        <f t="shared" ca="1" si="23"/>
        <v>4422.7151626778268</v>
      </c>
      <c r="I188" s="72">
        <f t="shared" ca="1" si="24"/>
        <v>4447.1137344740973</v>
      </c>
      <c r="J188" s="72">
        <f t="shared" ca="1" si="25"/>
        <v>157.62938089393083</v>
      </c>
    </row>
    <row r="189" spans="1:10" x14ac:dyDescent="0.3">
      <c r="A189" s="30">
        <v>175</v>
      </c>
      <c r="B189" s="72">
        <f t="shared" ca="1" si="26"/>
        <v>0.67828107387354353</v>
      </c>
      <c r="C189" s="72">
        <f t="shared" ca="1" si="26"/>
        <v>0.61417559617064232</v>
      </c>
      <c r="D189" s="72">
        <f t="shared" ca="1" si="19"/>
        <v>28.351925371634451</v>
      </c>
      <c r="E189" s="72">
        <f t="shared" ca="1" si="20"/>
        <v>21.163842786233371</v>
      </c>
      <c r="F189" s="72">
        <f t="shared" ca="1" si="21"/>
        <v>4317.8362789518005</v>
      </c>
      <c r="G189" s="72">
        <f t="shared" ca="1" si="22"/>
        <v>129.2774555222968</v>
      </c>
      <c r="H189" s="72">
        <f t="shared" ca="1" si="23"/>
        <v>4447.1137344740973</v>
      </c>
      <c r="I189" s="72">
        <f t="shared" ca="1" si="24"/>
        <v>4468.2775772603309</v>
      </c>
      <c r="J189" s="72">
        <f t="shared" ca="1" si="25"/>
        <v>150.44129830853035</v>
      </c>
    </row>
    <row r="190" spans="1:10" x14ac:dyDescent="0.3">
      <c r="A190" s="30">
        <v>176</v>
      </c>
      <c r="B190" s="72">
        <f t="shared" ca="1" si="26"/>
        <v>0.6347022286040962</v>
      </c>
      <c r="C190" s="72">
        <f t="shared" ca="1" si="26"/>
        <v>0.77062365787823595</v>
      </c>
      <c r="D190" s="72">
        <f t="shared" ca="1" si="19"/>
        <v>25.176061148746044</v>
      </c>
      <c r="E190" s="72">
        <f t="shared" ca="1" si="20"/>
        <v>32.719804643963784</v>
      </c>
      <c r="F190" s="72">
        <f t="shared" ca="1" si="21"/>
        <v>4343.0123401005467</v>
      </c>
      <c r="G190" s="72">
        <f t="shared" ca="1" si="22"/>
        <v>125.26523715978419</v>
      </c>
      <c r="H190" s="72">
        <f t="shared" ca="1" si="23"/>
        <v>4468.2775772603309</v>
      </c>
      <c r="I190" s="72">
        <f t="shared" ca="1" si="24"/>
        <v>4500.9973819042943</v>
      </c>
      <c r="J190" s="72">
        <f t="shared" ca="1" si="25"/>
        <v>157.98504180374766</v>
      </c>
    </row>
    <row r="191" spans="1:10" x14ac:dyDescent="0.3">
      <c r="A191" s="30">
        <v>177</v>
      </c>
      <c r="B191" s="72">
        <f t="shared" ca="1" si="26"/>
        <v>0.24979204274365674</v>
      </c>
      <c r="C191" s="72">
        <f t="shared" ca="1" si="26"/>
        <v>0.44222472593965489</v>
      </c>
      <c r="D191" s="72">
        <f t="shared" ca="1" si="19"/>
        <v>7.1851208635992574</v>
      </c>
      <c r="E191" s="72">
        <f t="shared" ca="1" si="20"/>
        <v>12.973314052868647</v>
      </c>
      <c r="F191" s="72">
        <f t="shared" ca="1" si="21"/>
        <v>4350.1974609641456</v>
      </c>
      <c r="G191" s="72">
        <f t="shared" ca="1" si="22"/>
        <v>150.7999209401487</v>
      </c>
      <c r="H191" s="72">
        <f t="shared" ca="1" si="23"/>
        <v>4500.9973819042943</v>
      </c>
      <c r="I191" s="72">
        <f t="shared" ca="1" si="24"/>
        <v>4513.9706959571631</v>
      </c>
      <c r="J191" s="72">
        <f t="shared" ca="1" si="25"/>
        <v>163.77323499301747</v>
      </c>
    </row>
    <row r="192" spans="1:10" x14ac:dyDescent="0.3">
      <c r="A192" s="30">
        <v>178</v>
      </c>
      <c r="B192" s="72">
        <f t="shared" ca="1" si="26"/>
        <v>0.13505212862917737</v>
      </c>
      <c r="C192" s="72">
        <f t="shared" ca="1" si="26"/>
        <v>3.9758722094321297E-2</v>
      </c>
      <c r="D192" s="72">
        <f t="shared" ca="1" si="19"/>
        <v>3.6271509544352987</v>
      </c>
      <c r="E192" s="72">
        <f t="shared" ca="1" si="20"/>
        <v>0.90157099881976355</v>
      </c>
      <c r="F192" s="72">
        <f t="shared" ca="1" si="21"/>
        <v>4353.8246119185806</v>
      </c>
      <c r="G192" s="72">
        <f t="shared" ca="1" si="22"/>
        <v>160.14608403858256</v>
      </c>
      <c r="H192" s="72">
        <f t="shared" ca="1" si="23"/>
        <v>4513.9706959571631</v>
      </c>
      <c r="I192" s="72">
        <f t="shared" ca="1" si="24"/>
        <v>4514.8722669559829</v>
      </c>
      <c r="J192" s="72">
        <f t="shared" ca="1" si="25"/>
        <v>161.04765503740236</v>
      </c>
    </row>
    <row r="193" spans="1:10" x14ac:dyDescent="0.3">
      <c r="A193" s="30">
        <v>179</v>
      </c>
      <c r="B193" s="72">
        <f t="shared" ca="1" si="26"/>
        <v>0.64843428610247522</v>
      </c>
      <c r="C193" s="72">
        <f t="shared" ca="1" si="26"/>
        <v>0.1536769174788456</v>
      </c>
      <c r="D193" s="72">
        <f t="shared" ca="1" si="19"/>
        <v>26.133965810953093</v>
      </c>
      <c r="E193" s="72">
        <f t="shared" ca="1" si="20"/>
        <v>3.7078688454647364</v>
      </c>
      <c r="F193" s="72">
        <f t="shared" ca="1" si="21"/>
        <v>4379.9585777295333</v>
      </c>
      <c r="G193" s="72">
        <f t="shared" ca="1" si="22"/>
        <v>134.91368922644961</v>
      </c>
      <c r="H193" s="72">
        <f t="shared" ca="1" si="23"/>
        <v>4514.8722669559829</v>
      </c>
      <c r="I193" s="72">
        <f t="shared" ca="1" si="24"/>
        <v>4518.5801358014478</v>
      </c>
      <c r="J193" s="72">
        <f t="shared" ca="1" si="25"/>
        <v>138.62155807191448</v>
      </c>
    </row>
    <row r="194" spans="1:10" x14ac:dyDescent="0.3">
      <c r="A194" s="30">
        <v>180</v>
      </c>
      <c r="B194" s="72">
        <f t="shared" ca="1" si="26"/>
        <v>0.96590541443049804</v>
      </c>
      <c r="C194" s="72">
        <f t="shared" ca="1" si="26"/>
        <v>0.25026319174502754</v>
      </c>
      <c r="D194" s="72">
        <f t="shared" ca="1" si="19"/>
        <v>84.465417206317952</v>
      </c>
      <c r="E194" s="72">
        <f t="shared" ca="1" si="20"/>
        <v>6.4007345859140621</v>
      </c>
      <c r="F194" s="72">
        <f t="shared" ca="1" si="21"/>
        <v>4464.4239949358516</v>
      </c>
      <c r="G194" s="72">
        <f t="shared" ca="1" si="22"/>
        <v>54.156140865596171</v>
      </c>
      <c r="H194" s="72">
        <f t="shared" ca="1" si="23"/>
        <v>4518.5801358014478</v>
      </c>
      <c r="I194" s="72">
        <f t="shared" ca="1" si="24"/>
        <v>4524.9808703873623</v>
      </c>
      <c r="J194" s="72">
        <f t="shared" ca="1" si="25"/>
        <v>60.556875451510678</v>
      </c>
    </row>
    <row r="195" spans="1:10" x14ac:dyDescent="0.3">
      <c r="A195" s="30">
        <v>181</v>
      </c>
      <c r="B195" s="72">
        <f t="shared" ca="1" si="26"/>
        <v>0.64100609649491569</v>
      </c>
      <c r="C195" s="72">
        <f t="shared" ca="1" si="26"/>
        <v>0.77419947844437453</v>
      </c>
      <c r="D195" s="72">
        <f t="shared" ca="1" si="19"/>
        <v>25.611246812950995</v>
      </c>
      <c r="E195" s="72">
        <f t="shared" ca="1" si="20"/>
        <v>33.068962610153491</v>
      </c>
      <c r="F195" s="72">
        <f t="shared" ca="1" si="21"/>
        <v>4490.0352417488029</v>
      </c>
      <c r="G195" s="72">
        <f t="shared" ca="1" si="22"/>
        <v>34.945628638559356</v>
      </c>
      <c r="H195" s="72">
        <f t="shared" ca="1" si="23"/>
        <v>4524.9808703873623</v>
      </c>
      <c r="I195" s="72">
        <f t="shared" ca="1" si="24"/>
        <v>4558.0498329975162</v>
      </c>
      <c r="J195" s="72">
        <f t="shared" ca="1" si="25"/>
        <v>68.014591248713259</v>
      </c>
    </row>
    <row r="196" spans="1:10" x14ac:dyDescent="0.3">
      <c r="A196" s="30">
        <v>182</v>
      </c>
      <c r="B196" s="72">
        <f t="shared" ca="1" si="26"/>
        <v>0.74798382054235291</v>
      </c>
      <c r="C196" s="72">
        <f t="shared" ca="1" si="26"/>
        <v>0.96396574903951404</v>
      </c>
      <c r="D196" s="72">
        <f t="shared" ca="1" si="19"/>
        <v>34.456549733367567</v>
      </c>
      <c r="E196" s="72">
        <f t="shared" ca="1" si="20"/>
        <v>73.850786161464413</v>
      </c>
      <c r="F196" s="72">
        <f t="shared" ca="1" si="21"/>
        <v>4524.4917914821708</v>
      </c>
      <c r="G196" s="72">
        <f t="shared" ca="1" si="22"/>
        <v>33.558041515345394</v>
      </c>
      <c r="H196" s="72">
        <f t="shared" ca="1" si="23"/>
        <v>4558.0498329975162</v>
      </c>
      <c r="I196" s="72">
        <f t="shared" ca="1" si="24"/>
        <v>4631.9006191589806</v>
      </c>
      <c r="J196" s="72">
        <f t="shared" ca="1" si="25"/>
        <v>107.40882767680978</v>
      </c>
    </row>
    <row r="197" spans="1:10" x14ac:dyDescent="0.3">
      <c r="A197" s="30">
        <v>183</v>
      </c>
      <c r="B197" s="72">
        <f t="shared" ca="1" si="26"/>
        <v>0.11302827046409636</v>
      </c>
      <c r="C197" s="72">
        <f t="shared" ca="1" si="26"/>
        <v>0.96778845610496755</v>
      </c>
      <c r="D197" s="72">
        <f t="shared" ca="1" si="19"/>
        <v>2.9985542295147307</v>
      </c>
      <c r="E197" s="72">
        <f t="shared" ca="1" si="20"/>
        <v>76.342897436062387</v>
      </c>
      <c r="F197" s="72">
        <f t="shared" ca="1" si="21"/>
        <v>4527.4903457116852</v>
      </c>
      <c r="G197" s="72">
        <f t="shared" ca="1" si="22"/>
        <v>104.41027344729537</v>
      </c>
      <c r="H197" s="72">
        <f t="shared" ca="1" si="23"/>
        <v>4631.9006191589806</v>
      </c>
      <c r="I197" s="72">
        <f t="shared" ca="1" si="24"/>
        <v>4708.2435165950428</v>
      </c>
      <c r="J197" s="72">
        <f t="shared" ca="1" si="25"/>
        <v>180.7531708833576</v>
      </c>
    </row>
    <row r="198" spans="1:10" x14ac:dyDescent="0.3">
      <c r="A198" s="30">
        <v>184</v>
      </c>
      <c r="B198" s="72">
        <f t="shared" ca="1" si="26"/>
        <v>0.48574722094202072</v>
      </c>
      <c r="C198" s="72">
        <f t="shared" ca="1" si="26"/>
        <v>0.9545789571335207</v>
      </c>
      <c r="D198" s="72">
        <f t="shared" ca="1" si="19"/>
        <v>16.626008659113484</v>
      </c>
      <c r="E198" s="72">
        <f t="shared" ca="1" si="20"/>
        <v>68.706217379017303</v>
      </c>
      <c r="F198" s="72">
        <f t="shared" ca="1" si="21"/>
        <v>4544.1163543707989</v>
      </c>
      <c r="G198" s="72">
        <f t="shared" ca="1" si="22"/>
        <v>164.12716222424388</v>
      </c>
      <c r="H198" s="72">
        <f t="shared" ca="1" si="23"/>
        <v>4708.2435165950428</v>
      </c>
      <c r="I198" s="72">
        <f t="shared" ca="1" si="24"/>
        <v>4776.9497339740601</v>
      </c>
      <c r="J198" s="72">
        <f t="shared" ca="1" si="25"/>
        <v>232.83337960326116</v>
      </c>
    </row>
    <row r="199" spans="1:10" x14ac:dyDescent="0.3">
      <c r="A199" s="30">
        <v>185</v>
      </c>
      <c r="B199" s="72">
        <f t="shared" ca="1" si="26"/>
        <v>0.82180598584900799</v>
      </c>
      <c r="C199" s="72">
        <f t="shared" ca="1" si="26"/>
        <v>0.33723904509439506</v>
      </c>
      <c r="D199" s="72">
        <f t="shared" ca="1" si="19"/>
        <v>43.122058878313652</v>
      </c>
      <c r="E199" s="72">
        <f t="shared" ca="1" si="20"/>
        <v>9.1409089884572072</v>
      </c>
      <c r="F199" s="72">
        <f t="shared" ca="1" si="21"/>
        <v>4587.2384132491125</v>
      </c>
      <c r="G199" s="72">
        <f t="shared" ca="1" si="22"/>
        <v>189.71132072494765</v>
      </c>
      <c r="H199" s="72">
        <f t="shared" ca="1" si="23"/>
        <v>4776.9497339740601</v>
      </c>
      <c r="I199" s="72">
        <f t="shared" ca="1" si="24"/>
        <v>4786.0906429625174</v>
      </c>
      <c r="J199" s="72">
        <f t="shared" ca="1" si="25"/>
        <v>198.85222971340499</v>
      </c>
    </row>
    <row r="200" spans="1:10" x14ac:dyDescent="0.3">
      <c r="A200" s="30">
        <v>186</v>
      </c>
      <c r="B200" s="72">
        <f t="shared" ca="1" si="26"/>
        <v>0.75074428110517755</v>
      </c>
      <c r="C200" s="72">
        <f t="shared" ca="1" si="26"/>
        <v>0.92525264967572851</v>
      </c>
      <c r="D200" s="72">
        <f t="shared" ca="1" si="19"/>
        <v>34.731898149772029</v>
      </c>
      <c r="E200" s="72">
        <f t="shared" ca="1" si="20"/>
        <v>57.636478100145411</v>
      </c>
      <c r="F200" s="72">
        <f t="shared" ca="1" si="21"/>
        <v>4621.9703113988844</v>
      </c>
      <c r="G200" s="72">
        <f t="shared" ca="1" si="22"/>
        <v>164.12033156363304</v>
      </c>
      <c r="H200" s="72">
        <f t="shared" ca="1" si="23"/>
        <v>4786.0906429625174</v>
      </c>
      <c r="I200" s="72">
        <f t="shared" ca="1" si="24"/>
        <v>4843.7271210626632</v>
      </c>
      <c r="J200" s="72">
        <f t="shared" ca="1" si="25"/>
        <v>221.75680966377877</v>
      </c>
    </row>
    <row r="201" spans="1:10" x14ac:dyDescent="0.3">
      <c r="A201" s="30">
        <v>187</v>
      </c>
      <c r="B201" s="72">
        <f t="shared" ca="1" si="26"/>
        <v>0.88393543745398795</v>
      </c>
      <c r="C201" s="72">
        <f t="shared" ca="1" si="26"/>
        <v>0.31601439550588062</v>
      </c>
      <c r="D201" s="72">
        <f t="shared" ca="1" si="19"/>
        <v>53.840216725823353</v>
      </c>
      <c r="E201" s="72">
        <f t="shared" ca="1" si="20"/>
        <v>8.4404090587174885</v>
      </c>
      <c r="F201" s="72">
        <f t="shared" ca="1" si="21"/>
        <v>4675.8105281247081</v>
      </c>
      <c r="G201" s="72">
        <f t="shared" ca="1" si="22"/>
        <v>167.9165929379551</v>
      </c>
      <c r="H201" s="72">
        <f t="shared" ca="1" si="23"/>
        <v>4843.7271210626632</v>
      </c>
      <c r="I201" s="72">
        <f t="shared" ca="1" si="24"/>
        <v>4852.1675301213809</v>
      </c>
      <c r="J201" s="72">
        <f t="shared" ca="1" si="25"/>
        <v>176.35700199667281</v>
      </c>
    </row>
    <row r="202" spans="1:10" x14ac:dyDescent="0.3">
      <c r="A202" s="30">
        <v>188</v>
      </c>
      <c r="B202" s="72">
        <f t="shared" ca="1" si="26"/>
        <v>0.38048493522733606</v>
      </c>
      <c r="C202" s="72">
        <f t="shared" ca="1" si="26"/>
        <v>0.70245264831525323</v>
      </c>
      <c r="D202" s="72">
        <f t="shared" ca="1" si="19"/>
        <v>11.970456514429747</v>
      </c>
      <c r="E202" s="72">
        <f t="shared" ca="1" si="20"/>
        <v>26.937375585222878</v>
      </c>
      <c r="F202" s="72">
        <f t="shared" ca="1" si="21"/>
        <v>4687.7809846391374</v>
      </c>
      <c r="G202" s="72">
        <f t="shared" ca="1" si="22"/>
        <v>164.38654548224349</v>
      </c>
      <c r="H202" s="72">
        <f t="shared" ca="1" si="23"/>
        <v>4852.1675301213809</v>
      </c>
      <c r="I202" s="72">
        <f t="shared" ca="1" si="24"/>
        <v>4879.1049057066039</v>
      </c>
      <c r="J202" s="72">
        <f t="shared" ca="1" si="25"/>
        <v>191.32392106746647</v>
      </c>
    </row>
    <row r="203" spans="1:10" x14ac:dyDescent="0.3">
      <c r="A203" s="30">
        <v>189</v>
      </c>
      <c r="B203" s="72">
        <f t="shared" ca="1" si="26"/>
        <v>0.80102309157374019</v>
      </c>
      <c r="C203" s="72">
        <f t="shared" ca="1" si="26"/>
        <v>0.44424502366355767</v>
      </c>
      <c r="D203" s="72">
        <f t="shared" ca="1" si="19"/>
        <v>40.364162476239429</v>
      </c>
      <c r="E203" s="72">
        <f t="shared" ca="1" si="20"/>
        <v>13.053950486807093</v>
      </c>
      <c r="F203" s="72">
        <f t="shared" ca="1" si="21"/>
        <v>4728.1451471153769</v>
      </c>
      <c r="G203" s="72">
        <f t="shared" ca="1" si="22"/>
        <v>150.959758591227</v>
      </c>
      <c r="H203" s="72">
        <f t="shared" ca="1" si="23"/>
        <v>4879.1049057066039</v>
      </c>
      <c r="I203" s="72">
        <f t="shared" ca="1" si="24"/>
        <v>4892.1588561934113</v>
      </c>
      <c r="J203" s="72">
        <f t="shared" ca="1" si="25"/>
        <v>164.01370907803448</v>
      </c>
    </row>
    <row r="204" spans="1:10" x14ac:dyDescent="0.3">
      <c r="A204" s="30">
        <v>190</v>
      </c>
      <c r="B204" s="72">
        <f t="shared" ca="1" si="26"/>
        <v>0.61825447858908245</v>
      </c>
      <c r="C204" s="72">
        <f t="shared" ca="1" si="26"/>
        <v>0.91999233589891383</v>
      </c>
      <c r="D204" s="72">
        <f t="shared" ca="1" si="19"/>
        <v>24.075026667130945</v>
      </c>
      <c r="E204" s="72">
        <f t="shared" ca="1" si="20"/>
        <v>56.125174391851687</v>
      </c>
      <c r="F204" s="72">
        <f t="shared" ca="1" si="21"/>
        <v>4752.220173782508</v>
      </c>
      <c r="G204" s="72">
        <f t="shared" ca="1" si="22"/>
        <v>139.93868241090331</v>
      </c>
      <c r="H204" s="72">
        <f t="shared" ca="1" si="23"/>
        <v>4892.1588561934113</v>
      </c>
      <c r="I204" s="72">
        <f t="shared" ca="1" si="24"/>
        <v>4948.2840305852633</v>
      </c>
      <c r="J204" s="72">
        <f t="shared" ca="1" si="25"/>
        <v>196.06385680275525</v>
      </c>
    </row>
    <row r="205" spans="1:10" x14ac:dyDescent="0.3">
      <c r="A205" s="30">
        <v>191</v>
      </c>
      <c r="B205" s="72">
        <f t="shared" ca="1" si="26"/>
        <v>0.66922023332167391</v>
      </c>
      <c r="C205" s="72">
        <f t="shared" ca="1" si="26"/>
        <v>0.90213216998268031</v>
      </c>
      <c r="D205" s="72">
        <f t="shared" ca="1" si="19"/>
        <v>27.657562063022006</v>
      </c>
      <c r="E205" s="72">
        <f t="shared" ca="1" si="20"/>
        <v>51.647497419612975</v>
      </c>
      <c r="F205" s="72">
        <f t="shared" ca="1" si="21"/>
        <v>4779.87773584553</v>
      </c>
      <c r="G205" s="72">
        <f t="shared" ca="1" si="22"/>
        <v>168.40629473973331</v>
      </c>
      <c r="H205" s="72">
        <f t="shared" ca="1" si="23"/>
        <v>4948.2840305852633</v>
      </c>
      <c r="I205" s="72">
        <f t="shared" ca="1" si="24"/>
        <v>4999.9315280048759</v>
      </c>
      <c r="J205" s="72">
        <f t="shared" ca="1" si="25"/>
        <v>220.0537921593459</v>
      </c>
    </row>
    <row r="206" spans="1:10" x14ac:dyDescent="0.3">
      <c r="A206" s="30">
        <v>192</v>
      </c>
      <c r="B206" s="72">
        <f t="shared" ca="1" si="26"/>
        <v>0.38049769231162534</v>
      </c>
      <c r="C206" s="72">
        <f t="shared" ca="1" si="26"/>
        <v>0.14332831202167806</v>
      </c>
      <c r="D206" s="72">
        <f t="shared" ca="1" si="19"/>
        <v>11.970971320943899</v>
      </c>
      <c r="E206" s="72">
        <f t="shared" ca="1" si="20"/>
        <v>3.4377895183303444</v>
      </c>
      <c r="F206" s="72">
        <f t="shared" ca="1" si="21"/>
        <v>4791.848707166474</v>
      </c>
      <c r="G206" s="72">
        <f t="shared" ca="1" si="22"/>
        <v>208.08282083840186</v>
      </c>
      <c r="H206" s="72">
        <f t="shared" ca="1" si="23"/>
        <v>4999.9315280048759</v>
      </c>
      <c r="I206" s="72">
        <f t="shared" ca="1" si="24"/>
        <v>5003.3693175232065</v>
      </c>
      <c r="J206" s="72">
        <f t="shared" ca="1" si="25"/>
        <v>211.5206103567325</v>
      </c>
    </row>
    <row r="207" spans="1:10" x14ac:dyDescent="0.3">
      <c r="A207" s="30">
        <v>193</v>
      </c>
      <c r="B207" s="72">
        <f t="shared" ca="1" si="26"/>
        <v>0.8865756617033258</v>
      </c>
      <c r="C207" s="72">
        <f t="shared" ca="1" si="26"/>
        <v>0.87700824718307979</v>
      </c>
      <c r="D207" s="72">
        <f t="shared" ca="1" si="19"/>
        <v>54.415482182233411</v>
      </c>
      <c r="E207" s="72">
        <f t="shared" ca="1" si="20"/>
        <v>46.569732802814009</v>
      </c>
      <c r="F207" s="72">
        <f t="shared" ca="1" si="21"/>
        <v>4846.2641893487071</v>
      </c>
      <c r="G207" s="72">
        <f t="shared" ca="1" si="22"/>
        <v>157.10512817449944</v>
      </c>
      <c r="H207" s="72">
        <f t="shared" ca="1" si="23"/>
        <v>5003.3693175232065</v>
      </c>
      <c r="I207" s="72">
        <f t="shared" ca="1" si="24"/>
        <v>5049.9390503260202</v>
      </c>
      <c r="J207" s="72">
        <f t="shared" ca="1" si="25"/>
        <v>203.67486097731307</v>
      </c>
    </row>
    <row r="208" spans="1:10" x14ac:dyDescent="0.3">
      <c r="A208" s="30">
        <v>194</v>
      </c>
      <c r="B208" s="72">
        <f t="shared" ca="1" si="26"/>
        <v>0.93425201027647287</v>
      </c>
      <c r="C208" s="72">
        <f t="shared" ca="1" si="26"/>
        <v>0.95353228169091364</v>
      </c>
      <c r="D208" s="72">
        <f t="shared" ca="1" si="19"/>
        <v>68.048154573469745</v>
      </c>
      <c r="E208" s="72">
        <f t="shared" ca="1" si="20"/>
        <v>68.199943053113785</v>
      </c>
      <c r="F208" s="72">
        <f t="shared" ca="1" si="21"/>
        <v>4914.3123439221772</v>
      </c>
      <c r="G208" s="72">
        <f t="shared" ca="1" si="22"/>
        <v>135.62670640384295</v>
      </c>
      <c r="H208" s="72">
        <f t="shared" ca="1" si="23"/>
        <v>5049.9390503260202</v>
      </c>
      <c r="I208" s="72">
        <f t="shared" ca="1" si="24"/>
        <v>5118.1389933791343</v>
      </c>
      <c r="J208" s="72">
        <f t="shared" ca="1" si="25"/>
        <v>203.82664945695706</v>
      </c>
    </row>
    <row r="209" spans="1:19" x14ac:dyDescent="0.3">
      <c r="A209" s="30">
        <v>195</v>
      </c>
      <c r="B209" s="72">
        <f t="shared" ca="1" si="26"/>
        <v>0.19427102705940313</v>
      </c>
      <c r="C209" s="72">
        <f t="shared" ca="1" si="26"/>
        <v>0.29387819195812714</v>
      </c>
      <c r="D209" s="72">
        <f t="shared" ref="D209:D214" ca="1" si="27">(1/$F$2)*LN(1/(1-B209))</f>
        <v>5.4001963721126724</v>
      </c>
      <c r="E209" s="72">
        <f t="shared" ref="E209:E214" ca="1" si="28">(1/$J$2)*LN(1/(1-C209))</f>
        <v>7.7326116385272226</v>
      </c>
      <c r="F209" s="72">
        <f t="shared" ref="F209:F214" ca="1" si="29">F208+D209</f>
        <v>4919.7125402942902</v>
      </c>
      <c r="G209" s="72">
        <f t="shared" ref="G209:G214" ca="1" si="30">IF(I208&gt;F209,I208-F209,0)</f>
        <v>198.42645308484407</v>
      </c>
      <c r="H209" s="72">
        <f t="shared" ref="H209:H214" ca="1" si="31">F209+G209</f>
        <v>5118.1389933791343</v>
      </c>
      <c r="I209" s="72">
        <f t="shared" ref="I209:I214" ca="1" si="32">H209+E209</f>
        <v>5125.8716050176618</v>
      </c>
      <c r="J209" s="72">
        <f t="shared" ref="J209:J214" ca="1" si="33">I209-F209</f>
        <v>206.15906472337156</v>
      </c>
    </row>
    <row r="210" spans="1:19" x14ac:dyDescent="0.3">
      <c r="A210" s="30">
        <v>196</v>
      </c>
      <c r="B210" s="72">
        <f t="shared" ca="1" si="26"/>
        <v>0.12853170700606531</v>
      </c>
      <c r="C210" s="72">
        <f t="shared" ca="1" si="26"/>
        <v>0.92223196482936398</v>
      </c>
      <c r="D210" s="72">
        <f t="shared" ca="1" si="27"/>
        <v>3.4393949197673446</v>
      </c>
      <c r="E210" s="72">
        <f t="shared" ca="1" si="28"/>
        <v>56.756106471393899</v>
      </c>
      <c r="F210" s="72">
        <f t="shared" ca="1" si="29"/>
        <v>4923.1519352140576</v>
      </c>
      <c r="G210" s="72">
        <f t="shared" ca="1" si="30"/>
        <v>202.71966980360412</v>
      </c>
      <c r="H210" s="72">
        <f t="shared" ca="1" si="31"/>
        <v>5125.8716050176618</v>
      </c>
      <c r="I210" s="72">
        <f t="shared" ca="1" si="32"/>
        <v>5182.6277114890554</v>
      </c>
      <c r="J210" s="72">
        <f t="shared" ca="1" si="33"/>
        <v>259.47577627499777</v>
      </c>
    </row>
    <row r="211" spans="1:19" x14ac:dyDescent="0.3">
      <c r="A211" s="30">
        <v>197</v>
      </c>
      <c r="B211" s="72">
        <f t="shared" ca="1" si="26"/>
        <v>0.7507059806842834</v>
      </c>
      <c r="C211" s="72">
        <f t="shared" ca="1" si="26"/>
        <v>0.25766829926072465</v>
      </c>
      <c r="D211" s="72">
        <f t="shared" ca="1" si="27"/>
        <v>34.728056966231641</v>
      </c>
      <c r="E211" s="72">
        <f t="shared" ca="1" si="28"/>
        <v>6.621313325974171</v>
      </c>
      <c r="F211" s="72">
        <f t="shared" ca="1" si="29"/>
        <v>4957.8799921802893</v>
      </c>
      <c r="G211" s="72">
        <f t="shared" ca="1" si="30"/>
        <v>224.74771930876614</v>
      </c>
      <c r="H211" s="72">
        <f t="shared" ca="1" si="31"/>
        <v>5182.6277114890554</v>
      </c>
      <c r="I211" s="72">
        <f t="shared" ca="1" si="32"/>
        <v>5189.2490248150298</v>
      </c>
      <c r="J211" s="72">
        <f t="shared" ca="1" si="33"/>
        <v>231.36903263474051</v>
      </c>
    </row>
    <row r="212" spans="1:19" x14ac:dyDescent="0.3">
      <c r="A212" s="30">
        <v>198</v>
      </c>
      <c r="B212" s="72">
        <f t="shared" ca="1" si="26"/>
        <v>0.78111526627989558</v>
      </c>
      <c r="C212" s="72">
        <f t="shared" ca="1" si="26"/>
        <v>0.71330712054262058</v>
      </c>
      <c r="D212" s="72">
        <f t="shared" ca="1" si="27"/>
        <v>37.980250444277516</v>
      </c>
      <c r="E212" s="72">
        <f t="shared" ca="1" si="28"/>
        <v>27.763194280343768</v>
      </c>
      <c r="F212" s="72">
        <f t="shared" ca="1" si="29"/>
        <v>4995.860242624567</v>
      </c>
      <c r="G212" s="72">
        <f t="shared" ca="1" si="30"/>
        <v>193.38878219046273</v>
      </c>
      <c r="H212" s="72">
        <f t="shared" ca="1" si="31"/>
        <v>5189.2490248150298</v>
      </c>
      <c r="I212" s="72">
        <f t="shared" ca="1" si="32"/>
        <v>5217.0122190953734</v>
      </c>
      <c r="J212" s="72">
        <f t="shared" ca="1" si="33"/>
        <v>221.1519764708064</v>
      </c>
    </row>
    <row r="213" spans="1:19" x14ac:dyDescent="0.3">
      <c r="A213" s="30">
        <v>199</v>
      </c>
      <c r="B213" s="72">
        <f t="shared" ca="1" si="26"/>
        <v>0.79387118640990773</v>
      </c>
      <c r="C213" s="72">
        <f t="shared" ca="1" si="26"/>
        <v>0.30178504661786243</v>
      </c>
      <c r="D213" s="72">
        <f t="shared" ca="1" si="27"/>
        <v>39.481349923170093</v>
      </c>
      <c r="E213" s="72">
        <f t="shared" ca="1" si="28"/>
        <v>7.9828503887478774</v>
      </c>
      <c r="F213" s="72">
        <f t="shared" ca="1" si="29"/>
        <v>5035.3415925477375</v>
      </c>
      <c r="G213" s="72">
        <f t="shared" ca="1" si="30"/>
        <v>181.67062654763595</v>
      </c>
      <c r="H213" s="72">
        <f t="shared" ca="1" si="31"/>
        <v>5217.0122190953734</v>
      </c>
      <c r="I213" s="72">
        <f t="shared" ca="1" si="32"/>
        <v>5224.9950694841209</v>
      </c>
      <c r="J213" s="72">
        <f t="shared" ca="1" si="33"/>
        <v>189.65347693638341</v>
      </c>
    </row>
    <row r="214" spans="1:19" x14ac:dyDescent="0.3">
      <c r="A214" s="30">
        <v>200</v>
      </c>
      <c r="B214" s="72">
        <f t="shared" ca="1" si="26"/>
        <v>0.26264544249308119</v>
      </c>
      <c r="C214" s="72">
        <f t="shared" ca="1" si="26"/>
        <v>0.70630354483813618</v>
      </c>
      <c r="D214" s="72">
        <f t="shared" ca="1" si="27"/>
        <v>7.6171605094188228</v>
      </c>
      <c r="E214" s="72">
        <f t="shared" ca="1" si="28"/>
        <v>27.226855787530653</v>
      </c>
      <c r="F214" s="72">
        <f t="shared" ca="1" si="29"/>
        <v>5042.9587530571562</v>
      </c>
      <c r="G214" s="72">
        <f t="shared" ca="1" si="30"/>
        <v>182.03631642696473</v>
      </c>
      <c r="H214" s="72">
        <f t="shared" ca="1" si="31"/>
        <v>5224.9950694841209</v>
      </c>
      <c r="I214" s="72">
        <f t="shared" ca="1" si="32"/>
        <v>5252.2219252716513</v>
      </c>
      <c r="J214" s="72">
        <f t="shared" ca="1" si="33"/>
        <v>209.26317221449517</v>
      </c>
    </row>
    <row r="222" spans="1:19" x14ac:dyDescent="0.3">
      <c r="A222" s="30">
        <v>1</v>
      </c>
      <c r="B222" s="30">
        <v>2</v>
      </c>
      <c r="C222" s="30">
        <v>3</v>
      </c>
      <c r="D222" s="30">
        <v>4</v>
      </c>
      <c r="E222" s="30">
        <v>5</v>
      </c>
      <c r="F222" s="30">
        <v>6</v>
      </c>
      <c r="G222" s="30">
        <v>7</v>
      </c>
      <c r="H222" s="30">
        <v>8</v>
      </c>
      <c r="I222" s="30">
        <v>9</v>
      </c>
      <c r="J222" s="30">
        <v>10</v>
      </c>
      <c r="K222" s="30">
        <v>11</v>
      </c>
      <c r="L222" s="30">
        <v>12</v>
      </c>
      <c r="M222" s="30">
        <v>13</v>
      </c>
      <c r="N222" s="30">
        <v>14</v>
      </c>
      <c r="O222" s="30">
        <v>15</v>
      </c>
      <c r="P222" s="30">
        <v>16</v>
      </c>
      <c r="Q222" s="30">
        <v>17</v>
      </c>
      <c r="R222" s="30">
        <v>18</v>
      </c>
      <c r="S222" s="30">
        <v>19</v>
      </c>
    </row>
    <row r="223" spans="1:19" x14ac:dyDescent="0.3">
      <c r="H223" t="str">
        <f>""</f>
        <v/>
      </c>
    </row>
    <row r="226" spans="1:28" ht="33.6" x14ac:dyDescent="0.65">
      <c r="E226" s="81" t="s">
        <v>218</v>
      </c>
    </row>
    <row r="228" spans="1:28" ht="54" x14ac:dyDescent="0.3">
      <c r="F228" s="82" t="s">
        <v>214</v>
      </c>
      <c r="J228" s="82" t="s">
        <v>215</v>
      </c>
      <c r="N228" s="83" t="s">
        <v>216</v>
      </c>
      <c r="Y228" s="3" t="s">
        <v>2</v>
      </c>
      <c r="Z228" s="30">
        <f>$F$2</f>
        <v>0.04</v>
      </c>
      <c r="AA228" s="6" t="s">
        <v>4</v>
      </c>
      <c r="AB228" s="30">
        <f>$J$2</f>
        <v>4.4999999999999998E-2</v>
      </c>
    </row>
    <row r="229" spans="1:28" ht="18" x14ac:dyDescent="0.3">
      <c r="A229" s="8" t="s">
        <v>19</v>
      </c>
      <c r="B229" s="9" t="s">
        <v>11</v>
      </c>
      <c r="C229" s="9" t="s">
        <v>211</v>
      </c>
      <c r="D229" s="9" t="s">
        <v>15</v>
      </c>
      <c r="E229" s="9" t="s">
        <v>212</v>
      </c>
      <c r="G229" s="8" t="s">
        <v>19</v>
      </c>
      <c r="H229" s="9" t="s">
        <v>213</v>
      </c>
      <c r="I229" s="9" t="s">
        <v>196</v>
      </c>
      <c r="K229" s="8" t="s">
        <v>19</v>
      </c>
      <c r="L229" s="9" t="s">
        <v>213</v>
      </c>
      <c r="M229" s="9" t="s">
        <v>196</v>
      </c>
      <c r="O229" s="8" t="s">
        <v>19</v>
      </c>
      <c r="P229" s="9" t="s">
        <v>213</v>
      </c>
      <c r="Q229" s="9" t="s">
        <v>196</v>
      </c>
      <c r="R229" s="9" t="s">
        <v>217</v>
      </c>
    </row>
    <row r="230" spans="1:28" x14ac:dyDescent="0.3">
      <c r="A230" s="30">
        <v>1</v>
      </c>
      <c r="B230" s="72">
        <v>24.817226850868281</v>
      </c>
      <c r="C230" s="30">
        <v>1</v>
      </c>
      <c r="D230" s="72">
        <v>39.422070580585164</v>
      </c>
      <c r="E230" s="30">
        <v>-1</v>
      </c>
      <c r="G230" s="30">
        <v>1</v>
      </c>
      <c r="H230" s="72">
        <f>B230</f>
        <v>24.817226850868281</v>
      </c>
      <c r="I230" s="30">
        <f>C230</f>
        <v>1</v>
      </c>
      <c r="K230" s="30">
        <v>1</v>
      </c>
      <c r="L230" s="72">
        <v>24.817226850868281</v>
      </c>
      <c r="M230" s="84">
        <v>1</v>
      </c>
      <c r="O230" s="30">
        <v>1</v>
      </c>
      <c r="P230" s="72">
        <v>24.817226850868281</v>
      </c>
      <c r="Q230" s="84">
        <v>1</v>
      </c>
      <c r="R230" s="30">
        <f>Q230</f>
        <v>1</v>
      </c>
    </row>
    <row r="231" spans="1:28" x14ac:dyDescent="0.3">
      <c r="A231" s="30">
        <v>2</v>
      </c>
      <c r="B231" s="72">
        <v>66.525062875428091</v>
      </c>
      <c r="C231" s="30">
        <v>1</v>
      </c>
      <c r="D231" s="72">
        <v>76.636316052650287</v>
      </c>
      <c r="E231" s="30">
        <v>-1</v>
      </c>
      <c r="G231" s="30">
        <v>2</v>
      </c>
      <c r="H231" s="72">
        <f t="shared" ref="H231:H294" si="34">B231</f>
        <v>66.525062875428091</v>
      </c>
      <c r="I231" s="30">
        <f t="shared" ref="I231:I294" si="35">C231</f>
        <v>1</v>
      </c>
      <c r="K231" s="30">
        <v>2</v>
      </c>
      <c r="L231" s="72">
        <v>66.525062875428091</v>
      </c>
      <c r="M231" s="84">
        <v>1</v>
      </c>
      <c r="O231" s="30">
        <v>2</v>
      </c>
      <c r="P231" s="72">
        <v>39.422070580585164</v>
      </c>
      <c r="Q231" s="84">
        <v>-1</v>
      </c>
      <c r="R231" s="30">
        <f>R230+Q231</f>
        <v>0</v>
      </c>
    </row>
    <row r="232" spans="1:28" x14ac:dyDescent="0.3">
      <c r="A232" s="30">
        <v>3</v>
      </c>
      <c r="B232" s="72">
        <v>77.355806851930467</v>
      </c>
      <c r="C232" s="30">
        <v>1</v>
      </c>
      <c r="D232" s="72">
        <v>106.73239264372573</v>
      </c>
      <c r="E232" s="30">
        <v>-1</v>
      </c>
      <c r="G232" s="30">
        <v>3</v>
      </c>
      <c r="H232" s="72">
        <f t="shared" si="34"/>
        <v>77.355806851930467</v>
      </c>
      <c r="I232" s="30">
        <f t="shared" si="35"/>
        <v>1</v>
      </c>
      <c r="K232" s="30">
        <v>3</v>
      </c>
      <c r="L232" s="72">
        <v>77.355806851930467</v>
      </c>
      <c r="M232" s="84">
        <v>1</v>
      </c>
      <c r="O232" s="30">
        <v>3</v>
      </c>
      <c r="P232" s="72">
        <v>66.525062875428091</v>
      </c>
      <c r="Q232" s="84">
        <v>1</v>
      </c>
      <c r="R232" s="30">
        <f t="shared" ref="R232:R295" si="36">R231+Q232</f>
        <v>1</v>
      </c>
    </row>
    <row r="233" spans="1:28" x14ac:dyDescent="0.3">
      <c r="A233" s="30">
        <v>4</v>
      </c>
      <c r="B233" s="72">
        <v>120.90955211034559</v>
      </c>
      <c r="C233" s="30">
        <v>1</v>
      </c>
      <c r="D233" s="72">
        <v>168.64225104519846</v>
      </c>
      <c r="E233" s="30">
        <v>-1</v>
      </c>
      <c r="G233" s="30">
        <v>4</v>
      </c>
      <c r="H233" s="72">
        <f t="shared" si="34"/>
        <v>120.90955211034559</v>
      </c>
      <c r="I233" s="30">
        <f t="shared" si="35"/>
        <v>1</v>
      </c>
      <c r="K233" s="30">
        <v>4</v>
      </c>
      <c r="L233" s="72">
        <v>120.90955211034559</v>
      </c>
      <c r="M233" s="84">
        <v>1</v>
      </c>
      <c r="O233" s="30">
        <v>4</v>
      </c>
      <c r="P233" s="72">
        <v>76.636316052650287</v>
      </c>
      <c r="Q233" s="84">
        <v>-1</v>
      </c>
      <c r="R233" s="30">
        <f t="shared" si="36"/>
        <v>0</v>
      </c>
    </row>
    <row r="234" spans="1:28" x14ac:dyDescent="0.3">
      <c r="A234" s="30">
        <v>5</v>
      </c>
      <c r="B234" s="72">
        <v>136.70801691365298</v>
      </c>
      <c r="C234" s="30">
        <v>1</v>
      </c>
      <c r="D234" s="72">
        <v>225.26655393135667</v>
      </c>
      <c r="E234" s="30">
        <v>-1</v>
      </c>
      <c r="G234" s="30">
        <v>5</v>
      </c>
      <c r="H234" s="72">
        <f t="shared" si="34"/>
        <v>136.70801691365298</v>
      </c>
      <c r="I234" s="30">
        <f t="shared" si="35"/>
        <v>1</v>
      </c>
      <c r="K234" s="30">
        <v>5</v>
      </c>
      <c r="L234" s="72">
        <v>136.70801691365298</v>
      </c>
      <c r="M234" s="84">
        <v>1</v>
      </c>
      <c r="O234" s="30">
        <v>5</v>
      </c>
      <c r="P234" s="72">
        <v>77.355806851930467</v>
      </c>
      <c r="Q234" s="84">
        <v>1</v>
      </c>
      <c r="R234" s="30">
        <f t="shared" si="36"/>
        <v>1</v>
      </c>
    </row>
    <row r="235" spans="1:28" x14ac:dyDescent="0.3">
      <c r="A235" s="30">
        <v>6</v>
      </c>
      <c r="B235" s="72">
        <v>187.17893936230263</v>
      </c>
      <c r="C235" s="30">
        <v>1</v>
      </c>
      <c r="D235" s="72">
        <v>243.41036743989144</v>
      </c>
      <c r="E235" s="30">
        <v>-1</v>
      </c>
      <c r="G235" s="30">
        <v>6</v>
      </c>
      <c r="H235" s="72">
        <f t="shared" si="34"/>
        <v>187.17893936230263</v>
      </c>
      <c r="I235" s="30">
        <f t="shared" si="35"/>
        <v>1</v>
      </c>
      <c r="K235" s="30">
        <v>6</v>
      </c>
      <c r="L235" s="72">
        <v>187.17893936230263</v>
      </c>
      <c r="M235" s="84">
        <v>1</v>
      </c>
      <c r="O235" s="30">
        <v>6</v>
      </c>
      <c r="P235" s="72">
        <v>106.73239264372573</v>
      </c>
      <c r="Q235" s="84">
        <v>-1</v>
      </c>
      <c r="R235" s="30">
        <f t="shared" si="36"/>
        <v>0</v>
      </c>
    </row>
    <row r="236" spans="1:28" x14ac:dyDescent="0.3">
      <c r="A236" s="30">
        <v>7</v>
      </c>
      <c r="B236" s="72">
        <v>189.10894573105273</v>
      </c>
      <c r="C236" s="30">
        <v>1</v>
      </c>
      <c r="D236" s="72">
        <v>260.32178375485375</v>
      </c>
      <c r="E236" s="30">
        <v>-1</v>
      </c>
      <c r="G236" s="30">
        <v>7</v>
      </c>
      <c r="H236" s="72">
        <f t="shared" si="34"/>
        <v>189.10894573105273</v>
      </c>
      <c r="I236" s="30">
        <f t="shared" si="35"/>
        <v>1</v>
      </c>
      <c r="K236" s="30">
        <v>7</v>
      </c>
      <c r="L236" s="72">
        <v>189.10894573105273</v>
      </c>
      <c r="M236" s="84">
        <v>1</v>
      </c>
      <c r="O236" s="30">
        <v>7</v>
      </c>
      <c r="P236" s="72">
        <v>120.90955211034559</v>
      </c>
      <c r="Q236" s="84">
        <v>1</v>
      </c>
      <c r="R236" s="30">
        <f t="shared" si="36"/>
        <v>1</v>
      </c>
    </row>
    <row r="237" spans="1:28" x14ac:dyDescent="0.3">
      <c r="A237" s="30">
        <v>8</v>
      </c>
      <c r="B237" s="72">
        <v>192.08766997232181</v>
      </c>
      <c r="C237" s="30">
        <v>1</v>
      </c>
      <c r="D237" s="72">
        <v>389.36768898480818</v>
      </c>
      <c r="E237" s="30">
        <v>-1</v>
      </c>
      <c r="G237" s="30">
        <v>8</v>
      </c>
      <c r="H237" s="72">
        <f t="shared" si="34"/>
        <v>192.08766997232181</v>
      </c>
      <c r="I237" s="30">
        <f t="shared" si="35"/>
        <v>1</v>
      </c>
      <c r="K237" s="30">
        <v>8</v>
      </c>
      <c r="L237" s="72">
        <v>192.08766997232181</v>
      </c>
      <c r="M237" s="84">
        <v>1</v>
      </c>
      <c r="O237" s="30">
        <v>8</v>
      </c>
      <c r="P237" s="72">
        <v>136.70801691365298</v>
      </c>
      <c r="Q237" s="84">
        <v>1</v>
      </c>
      <c r="R237" s="30">
        <f t="shared" si="36"/>
        <v>2</v>
      </c>
    </row>
    <row r="238" spans="1:28" x14ac:dyDescent="0.3">
      <c r="A238" s="30">
        <v>9</v>
      </c>
      <c r="B238" s="72">
        <v>196.90167323508237</v>
      </c>
      <c r="C238" s="30">
        <v>1</v>
      </c>
      <c r="D238" s="72">
        <v>425.19169249262313</v>
      </c>
      <c r="E238" s="30">
        <v>-1</v>
      </c>
      <c r="G238" s="30">
        <v>9</v>
      </c>
      <c r="H238" s="72">
        <f t="shared" si="34"/>
        <v>196.90167323508237</v>
      </c>
      <c r="I238" s="30">
        <f t="shared" si="35"/>
        <v>1</v>
      </c>
      <c r="K238" s="30">
        <v>9</v>
      </c>
      <c r="L238" s="72">
        <v>196.90167323508237</v>
      </c>
      <c r="M238" s="84">
        <v>1</v>
      </c>
      <c r="O238" s="30">
        <v>9</v>
      </c>
      <c r="P238" s="72">
        <v>168.64225104519846</v>
      </c>
      <c r="Q238" s="84">
        <v>-1</v>
      </c>
      <c r="R238" s="30">
        <f t="shared" si="36"/>
        <v>1</v>
      </c>
    </row>
    <row r="239" spans="1:28" x14ac:dyDescent="0.3">
      <c r="A239" s="30">
        <v>10</v>
      </c>
      <c r="B239" s="72">
        <v>243.40119522255679</v>
      </c>
      <c r="C239" s="30">
        <v>1</v>
      </c>
      <c r="D239" s="72">
        <v>430.97466754499652</v>
      </c>
      <c r="E239" s="30">
        <v>-1</v>
      </c>
      <c r="G239" s="30">
        <v>10</v>
      </c>
      <c r="H239" s="72">
        <f t="shared" si="34"/>
        <v>243.40119522255679</v>
      </c>
      <c r="I239" s="30">
        <f t="shared" si="35"/>
        <v>1</v>
      </c>
      <c r="K239" s="30">
        <v>10</v>
      </c>
      <c r="L239" s="72">
        <v>243.40119522255679</v>
      </c>
      <c r="M239" s="84">
        <v>1</v>
      </c>
      <c r="O239" s="30">
        <v>10</v>
      </c>
      <c r="P239" s="72">
        <v>187.17893936230263</v>
      </c>
      <c r="Q239" s="84">
        <v>1</v>
      </c>
      <c r="R239" s="30">
        <f t="shared" si="36"/>
        <v>2</v>
      </c>
    </row>
    <row r="240" spans="1:28" x14ac:dyDescent="0.3">
      <c r="A240" s="30">
        <v>11</v>
      </c>
      <c r="B240" s="72">
        <v>269.84065824880486</v>
      </c>
      <c r="C240" s="30">
        <v>1</v>
      </c>
      <c r="D240" s="72">
        <v>435.58150458814572</v>
      </c>
      <c r="E240" s="30">
        <v>-1</v>
      </c>
      <c r="G240" s="30">
        <v>11</v>
      </c>
      <c r="H240" s="72">
        <f t="shared" si="34"/>
        <v>269.84065824880486</v>
      </c>
      <c r="I240" s="30">
        <f t="shared" si="35"/>
        <v>1</v>
      </c>
      <c r="K240" s="30">
        <v>11</v>
      </c>
      <c r="L240" s="72">
        <v>269.84065824880486</v>
      </c>
      <c r="M240" s="84">
        <v>1</v>
      </c>
      <c r="O240" s="30">
        <v>11</v>
      </c>
      <c r="P240" s="72">
        <v>189.10894573105273</v>
      </c>
      <c r="Q240" s="84">
        <v>1</v>
      </c>
      <c r="R240" s="30">
        <f t="shared" si="36"/>
        <v>3</v>
      </c>
    </row>
    <row r="241" spans="1:18" x14ac:dyDescent="0.3">
      <c r="A241" s="30">
        <v>12</v>
      </c>
      <c r="B241" s="72">
        <v>318.57431938127667</v>
      </c>
      <c r="C241" s="30">
        <v>1</v>
      </c>
      <c r="D241" s="72">
        <v>452.60996000494782</v>
      </c>
      <c r="E241" s="30">
        <v>-1</v>
      </c>
      <c r="G241" s="30">
        <v>12</v>
      </c>
      <c r="H241" s="72">
        <f t="shared" si="34"/>
        <v>318.57431938127667</v>
      </c>
      <c r="I241" s="30">
        <f t="shared" si="35"/>
        <v>1</v>
      </c>
      <c r="K241" s="30">
        <v>12</v>
      </c>
      <c r="L241" s="72">
        <v>318.57431938127667</v>
      </c>
      <c r="M241" s="84">
        <v>1</v>
      </c>
      <c r="O241" s="30">
        <v>12</v>
      </c>
      <c r="P241" s="72">
        <v>192.08766997232181</v>
      </c>
      <c r="Q241" s="84">
        <v>1</v>
      </c>
      <c r="R241" s="30">
        <f t="shared" si="36"/>
        <v>4</v>
      </c>
    </row>
    <row r="242" spans="1:18" x14ac:dyDescent="0.3">
      <c r="A242" s="30">
        <v>13</v>
      </c>
      <c r="B242" s="72">
        <v>350.28550753580328</v>
      </c>
      <c r="C242" s="30">
        <v>1</v>
      </c>
      <c r="D242" s="72">
        <v>481.0695949555041</v>
      </c>
      <c r="E242" s="30">
        <v>-1</v>
      </c>
      <c r="G242" s="30">
        <v>13</v>
      </c>
      <c r="H242" s="72">
        <f t="shared" si="34"/>
        <v>350.28550753580328</v>
      </c>
      <c r="I242" s="30">
        <f t="shared" si="35"/>
        <v>1</v>
      </c>
      <c r="K242" s="30">
        <v>13</v>
      </c>
      <c r="L242" s="72">
        <v>350.28550753580328</v>
      </c>
      <c r="M242" s="84">
        <v>1</v>
      </c>
      <c r="O242" s="30">
        <v>13</v>
      </c>
      <c r="P242" s="72">
        <v>196.90167323508237</v>
      </c>
      <c r="Q242" s="84">
        <v>1</v>
      </c>
      <c r="R242" s="30">
        <f t="shared" si="36"/>
        <v>5</v>
      </c>
    </row>
    <row r="243" spans="1:18" x14ac:dyDescent="0.3">
      <c r="A243" s="30">
        <v>14</v>
      </c>
      <c r="B243" s="72">
        <v>354.05257576411492</v>
      </c>
      <c r="C243" s="30">
        <v>1</v>
      </c>
      <c r="D243" s="80">
        <v>485.07770617836172</v>
      </c>
      <c r="E243" s="30">
        <v>-1</v>
      </c>
      <c r="G243" s="30">
        <v>14</v>
      </c>
      <c r="H243" s="72">
        <f t="shared" si="34"/>
        <v>354.05257576411492</v>
      </c>
      <c r="I243" s="30">
        <f t="shared" si="35"/>
        <v>1</v>
      </c>
      <c r="K243" s="30">
        <v>14</v>
      </c>
      <c r="L243" s="72">
        <v>354.05257576411492</v>
      </c>
      <c r="M243" s="84">
        <v>1</v>
      </c>
      <c r="O243" s="30">
        <v>14</v>
      </c>
      <c r="P243" s="72">
        <v>225.26655393135667</v>
      </c>
      <c r="Q243" s="84">
        <v>-1</v>
      </c>
      <c r="R243" s="30">
        <f t="shared" si="36"/>
        <v>4</v>
      </c>
    </row>
    <row r="244" spans="1:18" x14ac:dyDescent="0.3">
      <c r="A244" s="30">
        <v>15</v>
      </c>
      <c r="B244" s="72">
        <v>368.65923345398784</v>
      </c>
      <c r="C244" s="30">
        <v>1</v>
      </c>
      <c r="D244" s="72">
        <v>506.15277839847022</v>
      </c>
      <c r="E244" s="30">
        <v>-1</v>
      </c>
      <c r="G244" s="30">
        <v>15</v>
      </c>
      <c r="H244" s="72">
        <f t="shared" si="34"/>
        <v>368.65923345398784</v>
      </c>
      <c r="I244" s="30">
        <f t="shared" si="35"/>
        <v>1</v>
      </c>
      <c r="K244" s="30">
        <v>15</v>
      </c>
      <c r="L244" s="72">
        <v>368.65923345398784</v>
      </c>
      <c r="M244" s="84">
        <v>1</v>
      </c>
      <c r="O244" s="30">
        <v>15</v>
      </c>
      <c r="P244" s="72">
        <v>243.40119522255679</v>
      </c>
      <c r="Q244" s="84">
        <v>1</v>
      </c>
      <c r="R244" s="30">
        <f t="shared" si="36"/>
        <v>5</v>
      </c>
    </row>
    <row r="245" spans="1:18" x14ac:dyDescent="0.3">
      <c r="A245" s="30">
        <v>16</v>
      </c>
      <c r="B245" s="72">
        <v>455.13677022810566</v>
      </c>
      <c r="C245" s="30">
        <v>1</v>
      </c>
      <c r="D245" s="72">
        <v>548.559119878518</v>
      </c>
      <c r="E245" s="30">
        <v>-1</v>
      </c>
      <c r="G245" s="30">
        <v>16</v>
      </c>
      <c r="H245" s="72">
        <f t="shared" si="34"/>
        <v>455.13677022810566</v>
      </c>
      <c r="I245" s="30">
        <f t="shared" si="35"/>
        <v>1</v>
      </c>
      <c r="K245" s="30">
        <v>16</v>
      </c>
      <c r="L245" s="72">
        <v>455.13677022810566</v>
      </c>
      <c r="M245" s="84">
        <v>1</v>
      </c>
      <c r="O245" s="30">
        <v>16</v>
      </c>
      <c r="P245" s="72">
        <v>243.41036743989144</v>
      </c>
      <c r="Q245" s="84">
        <v>-1</v>
      </c>
      <c r="R245" s="30">
        <f t="shared" si="36"/>
        <v>4</v>
      </c>
    </row>
    <row r="246" spans="1:18" x14ac:dyDescent="0.3">
      <c r="A246" s="30">
        <v>17</v>
      </c>
      <c r="B246" s="72">
        <v>496.01444030231096</v>
      </c>
      <c r="C246" s="30">
        <v>1</v>
      </c>
      <c r="D246" s="72">
        <v>563.57668894283097</v>
      </c>
      <c r="E246" s="30">
        <v>-1</v>
      </c>
      <c r="G246" s="30">
        <v>17</v>
      </c>
      <c r="H246" s="72">
        <f t="shared" si="34"/>
        <v>496.01444030231096</v>
      </c>
      <c r="I246" s="30">
        <f t="shared" si="35"/>
        <v>1</v>
      </c>
      <c r="K246" s="30">
        <v>17</v>
      </c>
      <c r="L246" s="72">
        <v>496.01444030231096</v>
      </c>
      <c r="M246" s="84">
        <v>1</v>
      </c>
      <c r="O246" s="30">
        <v>17</v>
      </c>
      <c r="P246" s="72">
        <v>260.32178375485375</v>
      </c>
      <c r="Q246" s="84">
        <v>-1</v>
      </c>
      <c r="R246" s="30">
        <f t="shared" si="36"/>
        <v>3</v>
      </c>
    </row>
    <row r="247" spans="1:18" x14ac:dyDescent="0.3">
      <c r="A247" s="30">
        <v>18</v>
      </c>
      <c r="B247" s="72">
        <v>531.38103384361511</v>
      </c>
      <c r="C247" s="30">
        <v>1</v>
      </c>
      <c r="D247" s="72">
        <v>589.90597772738715</v>
      </c>
      <c r="E247" s="30">
        <v>-1</v>
      </c>
      <c r="G247" s="30">
        <v>18</v>
      </c>
      <c r="H247" s="72">
        <f t="shared" si="34"/>
        <v>531.38103384361511</v>
      </c>
      <c r="I247" s="30">
        <f t="shared" si="35"/>
        <v>1</v>
      </c>
      <c r="K247" s="30">
        <v>18</v>
      </c>
      <c r="L247" s="72">
        <v>531.38103384361511</v>
      </c>
      <c r="M247" s="84">
        <v>1</v>
      </c>
      <c r="O247" s="30">
        <v>18</v>
      </c>
      <c r="P247" s="72">
        <v>269.84065824880486</v>
      </c>
      <c r="Q247" s="84">
        <v>1</v>
      </c>
      <c r="R247" s="30">
        <f t="shared" si="36"/>
        <v>4</v>
      </c>
    </row>
    <row r="248" spans="1:18" x14ac:dyDescent="0.3">
      <c r="A248" s="30">
        <v>19</v>
      </c>
      <c r="B248" s="72">
        <v>539.17966921599611</v>
      </c>
      <c r="C248" s="30">
        <v>1</v>
      </c>
      <c r="D248" s="72">
        <v>604.40350511505596</v>
      </c>
      <c r="E248" s="30">
        <v>-1</v>
      </c>
      <c r="G248" s="30">
        <v>19</v>
      </c>
      <c r="H248" s="72">
        <f t="shared" si="34"/>
        <v>539.17966921599611</v>
      </c>
      <c r="I248" s="30">
        <f t="shared" si="35"/>
        <v>1</v>
      </c>
      <c r="K248" s="30">
        <v>19</v>
      </c>
      <c r="L248" s="72">
        <v>539.17966921599611</v>
      </c>
      <c r="M248" s="84">
        <v>1</v>
      </c>
      <c r="O248" s="30">
        <v>19</v>
      </c>
      <c r="P248" s="72">
        <v>318.57431938127667</v>
      </c>
      <c r="Q248" s="84">
        <v>1</v>
      </c>
      <c r="R248" s="30">
        <f t="shared" si="36"/>
        <v>5</v>
      </c>
    </row>
    <row r="249" spans="1:18" x14ac:dyDescent="0.3">
      <c r="A249" s="30">
        <v>20</v>
      </c>
      <c r="B249" s="72">
        <v>683.68416586170247</v>
      </c>
      <c r="C249" s="30">
        <v>1</v>
      </c>
      <c r="D249" s="72">
        <v>702.83536073724679</v>
      </c>
      <c r="E249" s="30">
        <v>-1</v>
      </c>
      <c r="G249" s="30">
        <v>20</v>
      </c>
      <c r="H249" s="72">
        <f t="shared" si="34"/>
        <v>683.68416586170247</v>
      </c>
      <c r="I249" s="30">
        <f t="shared" si="35"/>
        <v>1</v>
      </c>
      <c r="K249" s="30">
        <v>20</v>
      </c>
      <c r="L249" s="72">
        <v>683.68416586170247</v>
      </c>
      <c r="M249" s="84">
        <v>1</v>
      </c>
      <c r="O249" s="30">
        <v>20</v>
      </c>
      <c r="P249" s="72">
        <v>350.28550753580328</v>
      </c>
      <c r="Q249" s="84">
        <v>1</v>
      </c>
      <c r="R249" s="30">
        <f t="shared" si="36"/>
        <v>6</v>
      </c>
    </row>
    <row r="250" spans="1:18" x14ac:dyDescent="0.3">
      <c r="A250" s="30">
        <v>21</v>
      </c>
      <c r="B250" s="72">
        <v>687.2328003879519</v>
      </c>
      <c r="C250" s="30">
        <v>1</v>
      </c>
      <c r="D250" s="72">
        <v>705.91127617306779</v>
      </c>
      <c r="E250" s="30">
        <v>-1</v>
      </c>
      <c r="G250" s="30">
        <v>21</v>
      </c>
      <c r="H250" s="72">
        <f t="shared" si="34"/>
        <v>687.2328003879519</v>
      </c>
      <c r="I250" s="30">
        <f t="shared" si="35"/>
        <v>1</v>
      </c>
      <c r="K250" s="30">
        <v>21</v>
      </c>
      <c r="L250" s="72">
        <v>687.2328003879519</v>
      </c>
      <c r="M250" s="84">
        <v>1</v>
      </c>
      <c r="O250" s="30">
        <v>21</v>
      </c>
      <c r="P250" s="72">
        <v>354.05257576411492</v>
      </c>
      <c r="Q250" s="84">
        <v>1</v>
      </c>
      <c r="R250" s="30">
        <f t="shared" si="36"/>
        <v>7</v>
      </c>
    </row>
    <row r="251" spans="1:18" x14ac:dyDescent="0.3">
      <c r="A251" s="30">
        <v>22</v>
      </c>
      <c r="B251" s="72">
        <v>727.31639386754421</v>
      </c>
      <c r="C251" s="30">
        <v>1</v>
      </c>
      <c r="D251" s="72">
        <v>769.93796314675558</v>
      </c>
      <c r="E251" s="30">
        <v>-1</v>
      </c>
      <c r="G251" s="30">
        <v>22</v>
      </c>
      <c r="H251" s="72">
        <f t="shared" si="34"/>
        <v>727.31639386754421</v>
      </c>
      <c r="I251" s="30">
        <f t="shared" si="35"/>
        <v>1</v>
      </c>
      <c r="K251" s="30">
        <v>22</v>
      </c>
      <c r="L251" s="72">
        <v>727.31639386754421</v>
      </c>
      <c r="M251" s="84">
        <v>1</v>
      </c>
      <c r="O251" s="30">
        <v>22</v>
      </c>
      <c r="P251" s="72">
        <v>368.65923345398784</v>
      </c>
      <c r="Q251" s="84">
        <v>1</v>
      </c>
      <c r="R251" s="30">
        <f t="shared" si="36"/>
        <v>8</v>
      </c>
    </row>
    <row r="252" spans="1:18" x14ac:dyDescent="0.3">
      <c r="A252" s="30">
        <v>23</v>
      </c>
      <c r="B252" s="72">
        <v>734.40704481776197</v>
      </c>
      <c r="C252" s="30">
        <v>1</v>
      </c>
      <c r="D252" s="72">
        <v>773.25765450681274</v>
      </c>
      <c r="E252" s="30">
        <v>-1</v>
      </c>
      <c r="G252" s="30">
        <v>23</v>
      </c>
      <c r="H252" s="72">
        <f t="shared" si="34"/>
        <v>734.40704481776197</v>
      </c>
      <c r="I252" s="30">
        <f t="shared" si="35"/>
        <v>1</v>
      </c>
      <c r="K252" s="30">
        <v>23</v>
      </c>
      <c r="L252" s="72">
        <v>734.40704481776197</v>
      </c>
      <c r="M252" s="84">
        <v>1</v>
      </c>
      <c r="O252" s="30">
        <v>23</v>
      </c>
      <c r="P252" s="72">
        <v>389.36768898480818</v>
      </c>
      <c r="Q252" s="84">
        <v>-1</v>
      </c>
      <c r="R252" s="30">
        <f t="shared" si="36"/>
        <v>7</v>
      </c>
    </row>
    <row r="253" spans="1:18" x14ac:dyDescent="0.3">
      <c r="A253" s="30">
        <v>24</v>
      </c>
      <c r="B253" s="72">
        <v>742.52839361443603</v>
      </c>
      <c r="C253" s="30">
        <v>1</v>
      </c>
      <c r="D253" s="72">
        <v>799.05537115456355</v>
      </c>
      <c r="E253" s="30">
        <v>-1</v>
      </c>
      <c r="G253" s="30">
        <v>24</v>
      </c>
      <c r="H253" s="72">
        <f t="shared" si="34"/>
        <v>742.52839361443603</v>
      </c>
      <c r="I253" s="30">
        <f t="shared" si="35"/>
        <v>1</v>
      </c>
      <c r="K253" s="30">
        <v>24</v>
      </c>
      <c r="L253" s="72">
        <v>742.52839361443603</v>
      </c>
      <c r="M253" s="84">
        <v>1</v>
      </c>
      <c r="O253" s="30">
        <v>24</v>
      </c>
      <c r="P253" s="72">
        <v>425.19169249262313</v>
      </c>
      <c r="Q253" s="84">
        <v>-1</v>
      </c>
      <c r="R253" s="30">
        <f t="shared" si="36"/>
        <v>6</v>
      </c>
    </row>
    <row r="254" spans="1:18" x14ac:dyDescent="0.3">
      <c r="A254" s="30">
        <v>25</v>
      </c>
      <c r="B254" s="72">
        <v>766.61453046097347</v>
      </c>
      <c r="C254" s="30">
        <v>1</v>
      </c>
      <c r="D254" s="72">
        <v>809.71061397542849</v>
      </c>
      <c r="E254" s="30">
        <v>-1</v>
      </c>
      <c r="G254" s="30">
        <v>25</v>
      </c>
      <c r="H254" s="72">
        <f t="shared" si="34"/>
        <v>766.61453046097347</v>
      </c>
      <c r="I254" s="30">
        <f t="shared" si="35"/>
        <v>1</v>
      </c>
      <c r="K254" s="30">
        <v>25</v>
      </c>
      <c r="L254" s="72">
        <v>766.61453046097347</v>
      </c>
      <c r="M254" s="84">
        <v>1</v>
      </c>
      <c r="O254" s="30">
        <v>25</v>
      </c>
      <c r="P254" s="72">
        <v>430.97466754499652</v>
      </c>
      <c r="Q254" s="84">
        <v>-1</v>
      </c>
      <c r="R254" s="30">
        <f t="shared" si="36"/>
        <v>5</v>
      </c>
    </row>
    <row r="255" spans="1:18" x14ac:dyDescent="0.3">
      <c r="A255" s="30">
        <v>26</v>
      </c>
      <c r="B255" s="72">
        <v>849.10717927146152</v>
      </c>
      <c r="C255" s="30">
        <v>1</v>
      </c>
      <c r="D255" s="72">
        <v>875.51474475133853</v>
      </c>
      <c r="E255" s="30">
        <v>-1</v>
      </c>
      <c r="G255" s="30">
        <v>26</v>
      </c>
      <c r="H255" s="72">
        <f t="shared" si="34"/>
        <v>849.10717927146152</v>
      </c>
      <c r="I255" s="30">
        <f t="shared" si="35"/>
        <v>1</v>
      </c>
      <c r="K255" s="30">
        <v>26</v>
      </c>
      <c r="L255" s="72">
        <v>849.10717927146152</v>
      </c>
      <c r="M255" s="84">
        <v>1</v>
      </c>
      <c r="O255" s="30">
        <v>26</v>
      </c>
      <c r="P255" s="72">
        <v>435.58150458814572</v>
      </c>
      <c r="Q255" s="84">
        <v>-1</v>
      </c>
      <c r="R255" s="30">
        <f t="shared" si="36"/>
        <v>4</v>
      </c>
    </row>
    <row r="256" spans="1:18" x14ac:dyDescent="0.3">
      <c r="A256" s="30">
        <v>27</v>
      </c>
      <c r="B256" s="72">
        <v>900.57532365525697</v>
      </c>
      <c r="C256" s="30">
        <v>1</v>
      </c>
      <c r="D256" s="72">
        <v>922.27365656594191</v>
      </c>
      <c r="E256" s="30">
        <v>-1</v>
      </c>
      <c r="G256" s="30">
        <v>27</v>
      </c>
      <c r="H256" s="72">
        <f t="shared" si="34"/>
        <v>900.57532365525697</v>
      </c>
      <c r="I256" s="30">
        <f t="shared" si="35"/>
        <v>1</v>
      </c>
      <c r="K256" s="30">
        <v>27</v>
      </c>
      <c r="L256" s="72">
        <v>900.57532365525697</v>
      </c>
      <c r="M256" s="84">
        <v>1</v>
      </c>
      <c r="O256" s="30">
        <v>27</v>
      </c>
      <c r="P256" s="72">
        <v>452.60996000494782</v>
      </c>
      <c r="Q256" s="84">
        <v>-1</v>
      </c>
      <c r="R256" s="30">
        <f t="shared" si="36"/>
        <v>3</v>
      </c>
    </row>
    <row r="257" spans="1:18" x14ac:dyDescent="0.3">
      <c r="A257" s="30">
        <v>28</v>
      </c>
      <c r="B257" s="72">
        <v>938.2763145137975</v>
      </c>
      <c r="C257" s="30">
        <v>1</v>
      </c>
      <c r="D257" s="72">
        <v>951.41598952260017</v>
      </c>
      <c r="E257" s="30">
        <v>-1</v>
      </c>
      <c r="G257" s="30">
        <v>28</v>
      </c>
      <c r="H257" s="72">
        <f t="shared" si="34"/>
        <v>938.2763145137975</v>
      </c>
      <c r="I257" s="30">
        <f t="shared" si="35"/>
        <v>1</v>
      </c>
      <c r="K257" s="30">
        <v>28</v>
      </c>
      <c r="L257" s="72">
        <v>938.2763145137975</v>
      </c>
      <c r="M257" s="84">
        <v>1</v>
      </c>
      <c r="O257" s="30">
        <v>28</v>
      </c>
      <c r="P257" s="72">
        <v>455.13677022810566</v>
      </c>
      <c r="Q257" s="84">
        <v>1</v>
      </c>
      <c r="R257" s="30">
        <f t="shared" si="36"/>
        <v>4</v>
      </c>
    </row>
    <row r="258" spans="1:18" x14ac:dyDescent="0.3">
      <c r="A258" s="30">
        <v>29</v>
      </c>
      <c r="B258" s="72">
        <v>990.42575083461179</v>
      </c>
      <c r="C258" s="30">
        <v>1</v>
      </c>
      <c r="D258" s="72">
        <v>999.65364277525202</v>
      </c>
      <c r="E258" s="30">
        <v>-1</v>
      </c>
      <c r="G258" s="30">
        <v>29</v>
      </c>
      <c r="H258" s="72">
        <f t="shared" si="34"/>
        <v>990.42575083461179</v>
      </c>
      <c r="I258" s="30">
        <f t="shared" si="35"/>
        <v>1</v>
      </c>
      <c r="K258" s="30">
        <v>29</v>
      </c>
      <c r="L258" s="72">
        <v>990.42575083461179</v>
      </c>
      <c r="M258" s="84">
        <v>1</v>
      </c>
      <c r="O258" s="30">
        <v>29</v>
      </c>
      <c r="P258" s="72">
        <v>481.0695949555041</v>
      </c>
      <c r="Q258" s="84">
        <v>-1</v>
      </c>
      <c r="R258" s="30">
        <f t="shared" si="36"/>
        <v>3</v>
      </c>
    </row>
    <row r="259" spans="1:18" x14ac:dyDescent="0.3">
      <c r="A259" s="30">
        <v>30</v>
      </c>
      <c r="B259" s="72">
        <v>994.28765296410188</v>
      </c>
      <c r="C259" s="30">
        <v>1</v>
      </c>
      <c r="D259" s="72">
        <v>1003.8656957416249</v>
      </c>
      <c r="E259" s="30">
        <v>-1</v>
      </c>
      <c r="G259" s="30">
        <v>30</v>
      </c>
      <c r="H259" s="72">
        <f t="shared" si="34"/>
        <v>994.28765296410188</v>
      </c>
      <c r="I259" s="30">
        <f t="shared" si="35"/>
        <v>1</v>
      </c>
      <c r="K259" s="30">
        <v>30</v>
      </c>
      <c r="L259" s="72">
        <v>994.28765296410188</v>
      </c>
      <c r="M259" s="84">
        <v>1</v>
      </c>
      <c r="O259" s="30">
        <v>30</v>
      </c>
      <c r="P259" s="72">
        <v>485.07770617836172</v>
      </c>
      <c r="Q259" s="84">
        <v>-1</v>
      </c>
      <c r="R259" s="30">
        <f t="shared" si="36"/>
        <v>2</v>
      </c>
    </row>
    <row r="260" spans="1:18" x14ac:dyDescent="0.3">
      <c r="A260" s="30">
        <v>31</v>
      </c>
      <c r="B260" s="72">
        <v>1022.8549282347039</v>
      </c>
      <c r="C260" s="30">
        <v>1</v>
      </c>
      <c r="D260" s="72">
        <v>1022.9952845046004</v>
      </c>
      <c r="E260" s="30">
        <v>-1</v>
      </c>
      <c r="G260" s="30">
        <v>31</v>
      </c>
      <c r="H260" s="72">
        <f t="shared" si="34"/>
        <v>1022.8549282347039</v>
      </c>
      <c r="I260" s="30">
        <f t="shared" si="35"/>
        <v>1</v>
      </c>
      <c r="K260" s="30">
        <v>31</v>
      </c>
      <c r="L260" s="72">
        <v>1022.8549282347039</v>
      </c>
      <c r="M260" s="84">
        <v>1</v>
      </c>
      <c r="O260" s="30">
        <v>31</v>
      </c>
      <c r="P260" s="72">
        <v>496.01444030231096</v>
      </c>
      <c r="Q260" s="84">
        <v>1</v>
      </c>
      <c r="R260" s="30">
        <f t="shared" si="36"/>
        <v>3</v>
      </c>
    </row>
    <row r="261" spans="1:18" x14ac:dyDescent="0.3">
      <c r="A261" s="30">
        <v>32</v>
      </c>
      <c r="B261" s="72">
        <v>1042.076219721328</v>
      </c>
      <c r="C261" s="30">
        <v>1</v>
      </c>
      <c r="D261" s="72">
        <v>1059.663368308715</v>
      </c>
      <c r="E261" s="30">
        <v>-1</v>
      </c>
      <c r="G261" s="30">
        <v>32</v>
      </c>
      <c r="H261" s="72">
        <f t="shared" si="34"/>
        <v>1042.076219721328</v>
      </c>
      <c r="I261" s="30">
        <f t="shared" si="35"/>
        <v>1</v>
      </c>
      <c r="K261" s="30">
        <v>32</v>
      </c>
      <c r="L261" s="72">
        <v>1042.076219721328</v>
      </c>
      <c r="M261" s="84">
        <v>1</v>
      </c>
      <c r="O261" s="30">
        <v>32</v>
      </c>
      <c r="P261" s="72">
        <v>506.15277839847022</v>
      </c>
      <c r="Q261" s="84">
        <v>-1</v>
      </c>
      <c r="R261" s="30">
        <f t="shared" si="36"/>
        <v>2</v>
      </c>
    </row>
    <row r="262" spans="1:18" x14ac:dyDescent="0.3">
      <c r="A262" s="30">
        <v>33</v>
      </c>
      <c r="B262" s="72">
        <v>1044.714603997611</v>
      </c>
      <c r="C262" s="30">
        <v>1</v>
      </c>
      <c r="D262" s="72">
        <v>1097.9575135705545</v>
      </c>
      <c r="E262" s="30">
        <v>-1</v>
      </c>
      <c r="G262" s="30">
        <v>33</v>
      </c>
      <c r="H262" s="72">
        <f t="shared" si="34"/>
        <v>1044.714603997611</v>
      </c>
      <c r="I262" s="30">
        <f t="shared" si="35"/>
        <v>1</v>
      </c>
      <c r="K262" s="30">
        <v>33</v>
      </c>
      <c r="L262" s="72">
        <v>1044.714603997611</v>
      </c>
      <c r="M262" s="84">
        <v>1</v>
      </c>
      <c r="O262" s="30">
        <v>33</v>
      </c>
      <c r="P262" s="72">
        <v>531.38103384361511</v>
      </c>
      <c r="Q262" s="84">
        <v>1</v>
      </c>
      <c r="R262" s="30">
        <f t="shared" si="36"/>
        <v>3</v>
      </c>
    </row>
    <row r="263" spans="1:18" x14ac:dyDescent="0.3">
      <c r="A263" s="30">
        <v>34</v>
      </c>
      <c r="B263" s="72">
        <v>1052.4572264015392</v>
      </c>
      <c r="C263" s="30">
        <v>1</v>
      </c>
      <c r="D263" s="72">
        <v>1103.0203224134211</v>
      </c>
      <c r="E263" s="30">
        <v>-1</v>
      </c>
      <c r="G263" s="30">
        <v>34</v>
      </c>
      <c r="H263" s="72">
        <f t="shared" si="34"/>
        <v>1052.4572264015392</v>
      </c>
      <c r="I263" s="30">
        <f t="shared" si="35"/>
        <v>1</v>
      </c>
      <c r="K263" s="30">
        <v>34</v>
      </c>
      <c r="L263" s="72">
        <v>1052.4572264015392</v>
      </c>
      <c r="M263" s="84">
        <v>1</v>
      </c>
      <c r="O263" s="30">
        <v>34</v>
      </c>
      <c r="P263" s="72">
        <v>539.17966921599611</v>
      </c>
      <c r="Q263" s="84">
        <v>1</v>
      </c>
      <c r="R263" s="30">
        <f t="shared" si="36"/>
        <v>4</v>
      </c>
    </row>
    <row r="264" spans="1:18" x14ac:dyDescent="0.3">
      <c r="A264" s="30">
        <v>35</v>
      </c>
      <c r="B264" s="72">
        <v>1079.4078475462568</v>
      </c>
      <c r="C264" s="30">
        <v>1</v>
      </c>
      <c r="D264" s="72">
        <v>1155.7741525268877</v>
      </c>
      <c r="E264" s="30">
        <v>-1</v>
      </c>
      <c r="G264" s="30">
        <v>35</v>
      </c>
      <c r="H264" s="72">
        <f t="shared" si="34"/>
        <v>1079.4078475462568</v>
      </c>
      <c r="I264" s="30">
        <f t="shared" si="35"/>
        <v>1</v>
      </c>
      <c r="K264" s="30">
        <v>35</v>
      </c>
      <c r="L264" s="72">
        <v>1079.4078475462568</v>
      </c>
      <c r="M264" s="84">
        <v>1</v>
      </c>
      <c r="O264" s="30">
        <v>35</v>
      </c>
      <c r="P264" s="72">
        <v>548.559119878518</v>
      </c>
      <c r="Q264" s="84">
        <v>-1</v>
      </c>
      <c r="R264" s="30">
        <f t="shared" si="36"/>
        <v>3</v>
      </c>
    </row>
    <row r="265" spans="1:18" x14ac:dyDescent="0.3">
      <c r="A265" s="30">
        <v>36</v>
      </c>
      <c r="B265" s="72">
        <v>1118.7147282960614</v>
      </c>
      <c r="C265" s="30">
        <v>1</v>
      </c>
      <c r="D265" s="72">
        <v>1188.9421902204367</v>
      </c>
      <c r="E265" s="30">
        <v>-1</v>
      </c>
      <c r="G265" s="30">
        <v>36</v>
      </c>
      <c r="H265" s="72">
        <f t="shared" si="34"/>
        <v>1118.7147282960614</v>
      </c>
      <c r="I265" s="30">
        <f t="shared" si="35"/>
        <v>1</v>
      </c>
      <c r="K265" s="30">
        <v>36</v>
      </c>
      <c r="L265" s="72">
        <v>1118.7147282960614</v>
      </c>
      <c r="M265" s="84">
        <v>1</v>
      </c>
      <c r="O265" s="30">
        <v>36</v>
      </c>
      <c r="P265" s="72">
        <v>563.57668894283097</v>
      </c>
      <c r="Q265" s="84">
        <v>-1</v>
      </c>
      <c r="R265" s="30">
        <f t="shared" si="36"/>
        <v>2</v>
      </c>
    </row>
    <row r="266" spans="1:18" x14ac:dyDescent="0.3">
      <c r="A266" s="30">
        <v>37</v>
      </c>
      <c r="B266" s="72">
        <v>1146.9115790936444</v>
      </c>
      <c r="C266" s="30">
        <v>1</v>
      </c>
      <c r="D266" s="72">
        <v>1197.5517005876106</v>
      </c>
      <c r="E266" s="30">
        <v>-1</v>
      </c>
      <c r="G266" s="30">
        <v>37</v>
      </c>
      <c r="H266" s="72">
        <f t="shared" si="34"/>
        <v>1146.9115790936444</v>
      </c>
      <c r="I266" s="30">
        <f t="shared" si="35"/>
        <v>1</v>
      </c>
      <c r="K266" s="30">
        <v>37</v>
      </c>
      <c r="L266" s="72">
        <v>1146.9115790936444</v>
      </c>
      <c r="M266" s="84">
        <v>1</v>
      </c>
      <c r="O266" s="30">
        <v>37</v>
      </c>
      <c r="P266" s="72">
        <v>589.90597772738715</v>
      </c>
      <c r="Q266" s="84">
        <v>-1</v>
      </c>
      <c r="R266" s="30">
        <f t="shared" si="36"/>
        <v>1</v>
      </c>
    </row>
    <row r="267" spans="1:18" x14ac:dyDescent="0.3">
      <c r="A267" s="30">
        <v>38</v>
      </c>
      <c r="B267" s="72">
        <v>1185.5963799119459</v>
      </c>
      <c r="C267" s="30">
        <v>1</v>
      </c>
      <c r="D267" s="72">
        <v>1234.0295235777012</v>
      </c>
      <c r="E267" s="30">
        <v>-1</v>
      </c>
      <c r="G267" s="30">
        <v>38</v>
      </c>
      <c r="H267" s="72">
        <f t="shared" si="34"/>
        <v>1185.5963799119459</v>
      </c>
      <c r="I267" s="30">
        <f t="shared" si="35"/>
        <v>1</v>
      </c>
      <c r="K267" s="30">
        <v>38</v>
      </c>
      <c r="L267" s="72">
        <v>1185.5963799119459</v>
      </c>
      <c r="M267" s="84">
        <v>1</v>
      </c>
      <c r="O267" s="30">
        <v>38</v>
      </c>
      <c r="P267" s="72">
        <v>604.40350511505596</v>
      </c>
      <c r="Q267" s="84">
        <v>-1</v>
      </c>
      <c r="R267" s="30">
        <f t="shared" si="36"/>
        <v>0</v>
      </c>
    </row>
    <row r="268" spans="1:18" x14ac:dyDescent="0.3">
      <c r="A268" s="30">
        <v>39</v>
      </c>
      <c r="B268" s="72">
        <v>1196.9817198334335</v>
      </c>
      <c r="C268" s="30">
        <v>1</v>
      </c>
      <c r="D268" s="72">
        <v>1250.8379633625846</v>
      </c>
      <c r="E268" s="30">
        <v>-1</v>
      </c>
      <c r="G268" s="30">
        <v>39</v>
      </c>
      <c r="H268" s="72">
        <f t="shared" si="34"/>
        <v>1196.9817198334335</v>
      </c>
      <c r="I268" s="30">
        <f t="shared" si="35"/>
        <v>1</v>
      </c>
      <c r="K268" s="30">
        <v>39</v>
      </c>
      <c r="L268" s="72">
        <v>1196.9817198334335</v>
      </c>
      <c r="M268" s="84">
        <v>1</v>
      </c>
      <c r="O268" s="30">
        <v>39</v>
      </c>
      <c r="P268" s="72">
        <v>683.68416586170247</v>
      </c>
      <c r="Q268" s="84">
        <v>1</v>
      </c>
      <c r="R268" s="30">
        <f t="shared" si="36"/>
        <v>1</v>
      </c>
    </row>
    <row r="269" spans="1:18" x14ac:dyDescent="0.3">
      <c r="A269" s="30">
        <v>40</v>
      </c>
      <c r="B269" s="72">
        <v>1230.4041271918165</v>
      </c>
      <c r="C269" s="30">
        <v>1</v>
      </c>
      <c r="D269" s="72">
        <v>1307.3458021838778</v>
      </c>
      <c r="E269" s="30">
        <v>-1</v>
      </c>
      <c r="G269" s="30">
        <v>40</v>
      </c>
      <c r="H269" s="72">
        <f t="shared" si="34"/>
        <v>1230.4041271918165</v>
      </c>
      <c r="I269" s="30">
        <f t="shared" si="35"/>
        <v>1</v>
      </c>
      <c r="K269" s="30">
        <v>40</v>
      </c>
      <c r="L269" s="72">
        <v>1230.4041271918165</v>
      </c>
      <c r="M269" s="84">
        <v>1</v>
      </c>
      <c r="O269" s="30">
        <v>40</v>
      </c>
      <c r="P269" s="72">
        <v>687.2328003879519</v>
      </c>
      <c r="Q269" s="84">
        <v>1</v>
      </c>
      <c r="R269" s="30">
        <f t="shared" si="36"/>
        <v>2</v>
      </c>
    </row>
    <row r="270" spans="1:18" x14ac:dyDescent="0.3">
      <c r="A270" s="30">
        <v>41</v>
      </c>
      <c r="B270" s="72">
        <v>1307.118558398018</v>
      </c>
      <c r="C270" s="30">
        <v>1</v>
      </c>
      <c r="D270" s="72">
        <v>1312.4648465188943</v>
      </c>
      <c r="E270" s="30">
        <v>-1</v>
      </c>
      <c r="G270" s="30">
        <v>41</v>
      </c>
      <c r="H270" s="72">
        <f t="shared" si="34"/>
        <v>1307.118558398018</v>
      </c>
      <c r="I270" s="30">
        <f t="shared" si="35"/>
        <v>1</v>
      </c>
      <c r="K270" s="30">
        <v>41</v>
      </c>
      <c r="L270" s="72">
        <v>1307.118558398018</v>
      </c>
      <c r="M270" s="84">
        <v>1</v>
      </c>
      <c r="O270" s="30">
        <v>41</v>
      </c>
      <c r="P270" s="72">
        <v>702.83536073724679</v>
      </c>
      <c r="Q270" s="84">
        <v>-1</v>
      </c>
      <c r="R270" s="30">
        <f t="shared" si="36"/>
        <v>1</v>
      </c>
    </row>
    <row r="271" spans="1:18" x14ac:dyDescent="0.3">
      <c r="A271" s="30">
        <v>42</v>
      </c>
      <c r="B271" s="72">
        <v>1387.5624866157511</v>
      </c>
      <c r="C271" s="30">
        <v>1</v>
      </c>
      <c r="D271" s="72">
        <v>1399.2069007263467</v>
      </c>
      <c r="E271" s="30">
        <v>-1</v>
      </c>
      <c r="G271" s="30">
        <v>42</v>
      </c>
      <c r="H271" s="72">
        <f t="shared" si="34"/>
        <v>1387.5624866157511</v>
      </c>
      <c r="I271" s="30">
        <f t="shared" si="35"/>
        <v>1</v>
      </c>
      <c r="K271" s="30">
        <v>42</v>
      </c>
      <c r="L271" s="72">
        <v>1387.5624866157511</v>
      </c>
      <c r="M271" s="84">
        <v>1</v>
      </c>
      <c r="O271" s="30">
        <v>42</v>
      </c>
      <c r="P271" s="72">
        <v>705.91127617306779</v>
      </c>
      <c r="Q271" s="84">
        <v>-1</v>
      </c>
      <c r="R271" s="30">
        <f t="shared" si="36"/>
        <v>0</v>
      </c>
    </row>
    <row r="272" spans="1:18" x14ac:dyDescent="0.3">
      <c r="A272" s="30">
        <v>43</v>
      </c>
      <c r="B272" s="72">
        <v>1388.1224941759376</v>
      </c>
      <c r="C272" s="30">
        <v>1</v>
      </c>
      <c r="D272" s="72">
        <v>1421.9061290364025</v>
      </c>
      <c r="E272" s="30">
        <v>-1</v>
      </c>
      <c r="G272" s="30">
        <v>43</v>
      </c>
      <c r="H272" s="72">
        <f t="shared" si="34"/>
        <v>1388.1224941759376</v>
      </c>
      <c r="I272" s="30">
        <f t="shared" si="35"/>
        <v>1</v>
      </c>
      <c r="K272" s="30">
        <v>43</v>
      </c>
      <c r="L272" s="72">
        <v>1388.1224941759376</v>
      </c>
      <c r="M272" s="84">
        <v>1</v>
      </c>
      <c r="O272" s="30">
        <v>43</v>
      </c>
      <c r="P272" s="72">
        <v>727.31639386754421</v>
      </c>
      <c r="Q272" s="84">
        <v>1</v>
      </c>
      <c r="R272" s="30">
        <f t="shared" si="36"/>
        <v>1</v>
      </c>
    </row>
    <row r="273" spans="1:18" x14ac:dyDescent="0.3">
      <c r="A273" s="30">
        <v>44</v>
      </c>
      <c r="B273" s="72">
        <v>1390.820448404311</v>
      </c>
      <c r="C273" s="30">
        <v>1</v>
      </c>
      <c r="D273" s="72">
        <v>1456.9165459903782</v>
      </c>
      <c r="E273" s="30">
        <v>-1</v>
      </c>
      <c r="G273" s="30">
        <v>44</v>
      </c>
      <c r="H273" s="72">
        <f t="shared" si="34"/>
        <v>1390.820448404311</v>
      </c>
      <c r="I273" s="30">
        <f t="shared" si="35"/>
        <v>1</v>
      </c>
      <c r="K273" s="30">
        <v>44</v>
      </c>
      <c r="L273" s="72">
        <v>1390.820448404311</v>
      </c>
      <c r="M273" s="84">
        <v>1</v>
      </c>
      <c r="O273" s="30">
        <v>44</v>
      </c>
      <c r="P273" s="72">
        <v>734.40704481776197</v>
      </c>
      <c r="Q273" s="84">
        <v>1</v>
      </c>
      <c r="R273" s="30">
        <f t="shared" si="36"/>
        <v>2</v>
      </c>
    </row>
    <row r="274" spans="1:18" x14ac:dyDescent="0.3">
      <c r="A274" s="30">
        <v>45</v>
      </c>
      <c r="B274" s="72">
        <v>1416.6262467207653</v>
      </c>
      <c r="C274" s="30">
        <v>1</v>
      </c>
      <c r="D274" s="72">
        <v>1460.9239076650276</v>
      </c>
      <c r="E274" s="30">
        <v>-1</v>
      </c>
      <c r="G274" s="30">
        <v>45</v>
      </c>
      <c r="H274" s="72">
        <f t="shared" si="34"/>
        <v>1416.6262467207653</v>
      </c>
      <c r="I274" s="30">
        <f t="shared" si="35"/>
        <v>1</v>
      </c>
      <c r="K274" s="30">
        <v>45</v>
      </c>
      <c r="L274" s="72">
        <v>1416.6262467207653</v>
      </c>
      <c r="M274" s="84">
        <v>1</v>
      </c>
      <c r="O274" s="30">
        <v>45</v>
      </c>
      <c r="P274" s="72">
        <v>742.52839361443603</v>
      </c>
      <c r="Q274" s="84">
        <v>1</v>
      </c>
      <c r="R274" s="30">
        <f t="shared" si="36"/>
        <v>3</v>
      </c>
    </row>
    <row r="275" spans="1:18" x14ac:dyDescent="0.3">
      <c r="A275" s="30">
        <v>46</v>
      </c>
      <c r="B275" s="72">
        <v>1434.4835734609831</v>
      </c>
      <c r="C275" s="30">
        <v>1</v>
      </c>
      <c r="D275" s="72">
        <v>1460.9739814062623</v>
      </c>
      <c r="E275" s="30">
        <v>-1</v>
      </c>
      <c r="G275" s="30">
        <v>46</v>
      </c>
      <c r="H275" s="72">
        <f t="shared" si="34"/>
        <v>1434.4835734609831</v>
      </c>
      <c r="I275" s="30">
        <f t="shared" si="35"/>
        <v>1</v>
      </c>
      <c r="K275" s="30">
        <v>46</v>
      </c>
      <c r="L275" s="72">
        <v>1434.4835734609831</v>
      </c>
      <c r="M275" s="84">
        <v>1</v>
      </c>
      <c r="O275" s="30">
        <v>46</v>
      </c>
      <c r="P275" s="72">
        <v>766.61453046097347</v>
      </c>
      <c r="Q275" s="84">
        <v>1</v>
      </c>
      <c r="R275" s="30">
        <f t="shared" si="36"/>
        <v>4</v>
      </c>
    </row>
    <row r="276" spans="1:18" x14ac:dyDescent="0.3">
      <c r="A276" s="30">
        <v>47</v>
      </c>
      <c r="B276" s="72">
        <v>1434.7004687643969</v>
      </c>
      <c r="C276" s="30">
        <v>1</v>
      </c>
      <c r="D276" s="72">
        <v>1480.8989580662926</v>
      </c>
      <c r="E276" s="30">
        <v>-1</v>
      </c>
      <c r="G276" s="30">
        <v>47</v>
      </c>
      <c r="H276" s="72">
        <f t="shared" si="34"/>
        <v>1434.7004687643969</v>
      </c>
      <c r="I276" s="30">
        <f t="shared" si="35"/>
        <v>1</v>
      </c>
      <c r="K276" s="30">
        <v>47</v>
      </c>
      <c r="L276" s="72">
        <v>1434.7004687643969</v>
      </c>
      <c r="M276" s="84">
        <v>1</v>
      </c>
      <c r="O276" s="30">
        <v>47</v>
      </c>
      <c r="P276" s="72">
        <v>769.93796314675558</v>
      </c>
      <c r="Q276" s="84">
        <v>-1</v>
      </c>
      <c r="R276" s="30">
        <f t="shared" si="36"/>
        <v>3</v>
      </c>
    </row>
    <row r="277" spans="1:18" x14ac:dyDescent="0.3">
      <c r="A277" s="30">
        <v>48</v>
      </c>
      <c r="B277" s="72">
        <v>1483.8349115789285</v>
      </c>
      <c r="C277" s="30">
        <v>1</v>
      </c>
      <c r="D277" s="72">
        <v>1491.8585310344943</v>
      </c>
      <c r="E277" s="30">
        <v>-1</v>
      </c>
      <c r="G277" s="30">
        <v>48</v>
      </c>
      <c r="H277" s="72">
        <f t="shared" si="34"/>
        <v>1483.8349115789285</v>
      </c>
      <c r="I277" s="30">
        <f t="shared" si="35"/>
        <v>1</v>
      </c>
      <c r="K277" s="30">
        <v>48</v>
      </c>
      <c r="L277" s="72">
        <v>1483.8349115789285</v>
      </c>
      <c r="M277" s="84">
        <v>1</v>
      </c>
      <c r="O277" s="30">
        <v>48</v>
      </c>
      <c r="P277" s="72">
        <v>773.25765450681274</v>
      </c>
      <c r="Q277" s="84">
        <v>-1</v>
      </c>
      <c r="R277" s="30">
        <f t="shared" si="36"/>
        <v>2</v>
      </c>
    </row>
    <row r="278" spans="1:18" x14ac:dyDescent="0.3">
      <c r="A278" s="30">
        <v>49</v>
      </c>
      <c r="B278" s="72">
        <v>1534.218645934614</v>
      </c>
      <c r="C278" s="30">
        <v>1</v>
      </c>
      <c r="D278" s="72">
        <v>1541.0147321932745</v>
      </c>
      <c r="E278" s="30">
        <v>-1</v>
      </c>
      <c r="G278" s="30">
        <v>49</v>
      </c>
      <c r="H278" s="72">
        <f t="shared" si="34"/>
        <v>1534.218645934614</v>
      </c>
      <c r="I278" s="30">
        <f t="shared" si="35"/>
        <v>1</v>
      </c>
      <c r="K278" s="30">
        <v>49</v>
      </c>
      <c r="L278" s="72">
        <v>1534.218645934614</v>
      </c>
      <c r="M278" s="84">
        <v>1</v>
      </c>
      <c r="O278" s="30">
        <v>49</v>
      </c>
      <c r="P278" s="72">
        <v>799.05537115456355</v>
      </c>
      <c r="Q278" s="84">
        <v>-1</v>
      </c>
      <c r="R278" s="30">
        <f t="shared" si="36"/>
        <v>1</v>
      </c>
    </row>
    <row r="279" spans="1:18" x14ac:dyDescent="0.3">
      <c r="A279" s="30">
        <v>50</v>
      </c>
      <c r="B279" s="72">
        <v>1546.4770649946906</v>
      </c>
      <c r="C279" s="30">
        <v>1</v>
      </c>
      <c r="D279" s="72">
        <v>1547.1473003423962</v>
      </c>
      <c r="E279" s="30">
        <v>-1</v>
      </c>
      <c r="G279" s="30">
        <v>50</v>
      </c>
      <c r="H279" s="72">
        <f t="shared" si="34"/>
        <v>1546.4770649946906</v>
      </c>
      <c r="I279" s="30">
        <f t="shared" si="35"/>
        <v>1</v>
      </c>
      <c r="K279" s="30">
        <v>50</v>
      </c>
      <c r="L279" s="72">
        <v>1546.4770649946906</v>
      </c>
      <c r="M279" s="84">
        <v>1</v>
      </c>
      <c r="O279" s="30">
        <v>50</v>
      </c>
      <c r="P279" s="72">
        <v>809.71061397542849</v>
      </c>
      <c r="Q279" s="84">
        <v>-1</v>
      </c>
      <c r="R279" s="30">
        <f t="shared" si="36"/>
        <v>0</v>
      </c>
    </row>
    <row r="280" spans="1:18" x14ac:dyDescent="0.3">
      <c r="A280" s="30">
        <v>51</v>
      </c>
      <c r="B280" s="72">
        <v>1595.2472001590688</v>
      </c>
      <c r="C280" s="30">
        <v>1</v>
      </c>
      <c r="D280" s="72">
        <v>1608.8173187368693</v>
      </c>
      <c r="E280" s="30">
        <v>-1</v>
      </c>
      <c r="G280" s="30">
        <v>51</v>
      </c>
      <c r="H280" s="72">
        <f t="shared" si="34"/>
        <v>1595.2472001590688</v>
      </c>
      <c r="I280" s="30">
        <f t="shared" si="35"/>
        <v>1</v>
      </c>
      <c r="K280" s="30">
        <v>51</v>
      </c>
      <c r="L280" s="72">
        <v>1595.2472001590688</v>
      </c>
      <c r="M280" s="84">
        <v>1</v>
      </c>
      <c r="O280" s="30">
        <v>51</v>
      </c>
      <c r="P280" s="72">
        <v>849.10717927146152</v>
      </c>
      <c r="Q280" s="84">
        <v>1</v>
      </c>
      <c r="R280" s="30">
        <f t="shared" si="36"/>
        <v>1</v>
      </c>
    </row>
    <row r="281" spans="1:18" x14ac:dyDescent="0.3">
      <c r="A281" s="30">
        <v>52</v>
      </c>
      <c r="B281" s="72">
        <v>1608.4841042270905</v>
      </c>
      <c r="C281" s="30">
        <v>1</v>
      </c>
      <c r="D281" s="72">
        <v>1622.9942372597811</v>
      </c>
      <c r="E281" s="30">
        <v>-1</v>
      </c>
      <c r="G281" s="30">
        <v>52</v>
      </c>
      <c r="H281" s="72">
        <f t="shared" si="34"/>
        <v>1608.4841042270905</v>
      </c>
      <c r="I281" s="30">
        <f t="shared" si="35"/>
        <v>1</v>
      </c>
      <c r="K281" s="30">
        <v>52</v>
      </c>
      <c r="L281" s="72">
        <v>1608.4841042270905</v>
      </c>
      <c r="M281" s="84">
        <v>1</v>
      </c>
      <c r="O281" s="30">
        <v>52</v>
      </c>
      <c r="P281" s="72">
        <v>875.51474475133853</v>
      </c>
      <c r="Q281" s="84">
        <v>-1</v>
      </c>
      <c r="R281" s="30">
        <f t="shared" si="36"/>
        <v>0</v>
      </c>
    </row>
    <row r="282" spans="1:18" x14ac:dyDescent="0.3">
      <c r="A282" s="30">
        <v>53</v>
      </c>
      <c r="B282" s="72">
        <v>1608.8777927205306</v>
      </c>
      <c r="C282" s="30">
        <v>1</v>
      </c>
      <c r="D282" s="72">
        <v>1627.3600171772603</v>
      </c>
      <c r="E282" s="30">
        <v>-1</v>
      </c>
      <c r="G282" s="30">
        <v>53</v>
      </c>
      <c r="H282" s="72">
        <f t="shared" si="34"/>
        <v>1608.8777927205306</v>
      </c>
      <c r="I282" s="30">
        <f t="shared" si="35"/>
        <v>1</v>
      </c>
      <c r="K282" s="30">
        <v>53</v>
      </c>
      <c r="L282" s="72">
        <v>1608.8777927205306</v>
      </c>
      <c r="M282" s="84">
        <v>1</v>
      </c>
      <c r="O282" s="30">
        <v>53</v>
      </c>
      <c r="P282" s="72">
        <v>900.57532365525697</v>
      </c>
      <c r="Q282" s="84">
        <v>1</v>
      </c>
      <c r="R282" s="30">
        <f t="shared" si="36"/>
        <v>1</v>
      </c>
    </row>
    <row r="283" spans="1:18" x14ac:dyDescent="0.3">
      <c r="A283" s="30">
        <v>54</v>
      </c>
      <c r="B283" s="72">
        <v>1611.7384968743336</v>
      </c>
      <c r="C283" s="30">
        <v>1</v>
      </c>
      <c r="D283" s="72">
        <v>1648.1461552879946</v>
      </c>
      <c r="E283" s="30">
        <v>-1</v>
      </c>
      <c r="G283" s="30">
        <v>54</v>
      </c>
      <c r="H283" s="72">
        <f t="shared" si="34"/>
        <v>1611.7384968743336</v>
      </c>
      <c r="I283" s="30">
        <f t="shared" si="35"/>
        <v>1</v>
      </c>
      <c r="K283" s="30">
        <v>54</v>
      </c>
      <c r="L283" s="72">
        <v>1611.7384968743336</v>
      </c>
      <c r="M283" s="84">
        <v>1</v>
      </c>
      <c r="O283" s="30">
        <v>54</v>
      </c>
      <c r="P283" s="72">
        <v>922.27365656594191</v>
      </c>
      <c r="Q283" s="84">
        <v>-1</v>
      </c>
      <c r="R283" s="30">
        <f t="shared" si="36"/>
        <v>0</v>
      </c>
    </row>
    <row r="284" spans="1:18" x14ac:dyDescent="0.3">
      <c r="A284" s="30">
        <v>55</v>
      </c>
      <c r="B284" s="72">
        <v>1664.6571528225745</v>
      </c>
      <c r="C284" s="30">
        <v>1</v>
      </c>
      <c r="D284" s="72">
        <v>1670.122231798988</v>
      </c>
      <c r="E284" s="30">
        <v>-1</v>
      </c>
      <c r="G284" s="30">
        <v>55</v>
      </c>
      <c r="H284" s="72">
        <f t="shared" si="34"/>
        <v>1664.6571528225745</v>
      </c>
      <c r="I284" s="30">
        <f t="shared" si="35"/>
        <v>1</v>
      </c>
      <c r="K284" s="30">
        <v>55</v>
      </c>
      <c r="L284" s="72">
        <v>1664.6571528225745</v>
      </c>
      <c r="M284" s="84">
        <v>1</v>
      </c>
      <c r="O284" s="30">
        <v>55</v>
      </c>
      <c r="P284" s="72">
        <v>938.2763145137975</v>
      </c>
      <c r="Q284" s="84">
        <v>1</v>
      </c>
      <c r="R284" s="30">
        <f t="shared" si="36"/>
        <v>1</v>
      </c>
    </row>
    <row r="285" spans="1:18" x14ac:dyDescent="0.3">
      <c r="A285" s="30">
        <v>56</v>
      </c>
      <c r="B285" s="72">
        <v>1717.5066623395503</v>
      </c>
      <c r="C285" s="30">
        <v>1</v>
      </c>
      <c r="D285" s="72">
        <v>1803.0154226890786</v>
      </c>
      <c r="E285" s="30">
        <v>-1</v>
      </c>
      <c r="G285" s="30">
        <v>56</v>
      </c>
      <c r="H285" s="72">
        <f t="shared" si="34"/>
        <v>1717.5066623395503</v>
      </c>
      <c r="I285" s="30">
        <f t="shared" si="35"/>
        <v>1</v>
      </c>
      <c r="K285" s="30">
        <v>56</v>
      </c>
      <c r="L285" s="72">
        <v>1717.5066623395503</v>
      </c>
      <c r="M285" s="84">
        <v>1</v>
      </c>
      <c r="O285" s="30">
        <v>56</v>
      </c>
      <c r="P285" s="72">
        <v>951.41598952260017</v>
      </c>
      <c r="Q285" s="84">
        <v>-1</v>
      </c>
      <c r="R285" s="30">
        <f t="shared" si="36"/>
        <v>0</v>
      </c>
    </row>
    <row r="286" spans="1:18" x14ac:dyDescent="0.3">
      <c r="A286" s="30">
        <v>57</v>
      </c>
      <c r="B286" s="72">
        <v>1733.4584244297266</v>
      </c>
      <c r="C286" s="30">
        <v>1</v>
      </c>
      <c r="D286" s="72">
        <v>1817.4527384863891</v>
      </c>
      <c r="E286" s="30">
        <v>-1</v>
      </c>
      <c r="G286" s="30">
        <v>57</v>
      </c>
      <c r="H286" s="72">
        <f t="shared" si="34"/>
        <v>1733.4584244297266</v>
      </c>
      <c r="I286" s="30">
        <f t="shared" si="35"/>
        <v>1</v>
      </c>
      <c r="K286" s="30">
        <v>57</v>
      </c>
      <c r="L286" s="72">
        <v>1733.4584244297266</v>
      </c>
      <c r="M286" s="84">
        <v>1</v>
      </c>
      <c r="O286" s="30">
        <v>57</v>
      </c>
      <c r="P286" s="72">
        <v>990.42575083461179</v>
      </c>
      <c r="Q286" s="84">
        <v>1</v>
      </c>
      <c r="R286" s="30">
        <f t="shared" si="36"/>
        <v>1</v>
      </c>
    </row>
    <row r="287" spans="1:18" x14ac:dyDescent="0.3">
      <c r="A287" s="30">
        <v>58</v>
      </c>
      <c r="B287" s="72">
        <v>1745.402750412391</v>
      </c>
      <c r="C287" s="30">
        <v>1</v>
      </c>
      <c r="D287" s="72">
        <v>1818.8338715267314</v>
      </c>
      <c r="E287" s="30">
        <v>-1</v>
      </c>
      <c r="G287" s="30">
        <v>58</v>
      </c>
      <c r="H287" s="72">
        <f t="shared" si="34"/>
        <v>1745.402750412391</v>
      </c>
      <c r="I287" s="30">
        <f t="shared" si="35"/>
        <v>1</v>
      </c>
      <c r="K287" s="30">
        <v>58</v>
      </c>
      <c r="L287" s="72">
        <v>1745.402750412391</v>
      </c>
      <c r="M287" s="84">
        <v>1</v>
      </c>
      <c r="O287" s="30">
        <v>58</v>
      </c>
      <c r="P287" s="72">
        <v>994.28765296410188</v>
      </c>
      <c r="Q287" s="84">
        <v>1</v>
      </c>
      <c r="R287" s="30">
        <f t="shared" si="36"/>
        <v>2</v>
      </c>
    </row>
    <row r="288" spans="1:18" x14ac:dyDescent="0.3">
      <c r="A288" s="30">
        <v>59</v>
      </c>
      <c r="B288" s="72">
        <v>1766.9546968556056</v>
      </c>
      <c r="C288" s="30">
        <v>1</v>
      </c>
      <c r="D288" s="72">
        <v>1826.8933450197273</v>
      </c>
      <c r="E288" s="30">
        <v>-1</v>
      </c>
      <c r="G288" s="30">
        <v>59</v>
      </c>
      <c r="H288" s="72">
        <f t="shared" si="34"/>
        <v>1766.9546968556056</v>
      </c>
      <c r="I288" s="30">
        <f t="shared" si="35"/>
        <v>1</v>
      </c>
      <c r="K288" s="30">
        <v>59</v>
      </c>
      <c r="L288" s="72">
        <v>1766.9546968556056</v>
      </c>
      <c r="M288" s="84">
        <v>1</v>
      </c>
      <c r="O288" s="30">
        <v>59</v>
      </c>
      <c r="P288" s="72">
        <v>999.65364277525202</v>
      </c>
      <c r="Q288" s="84">
        <v>-1</v>
      </c>
      <c r="R288" s="30">
        <f t="shared" si="36"/>
        <v>1</v>
      </c>
    </row>
    <row r="289" spans="1:18" x14ac:dyDescent="0.3">
      <c r="A289" s="30">
        <v>60</v>
      </c>
      <c r="B289" s="72">
        <v>1767.5368350999456</v>
      </c>
      <c r="C289" s="30">
        <v>1</v>
      </c>
      <c r="D289" s="72">
        <v>1829.7343065066782</v>
      </c>
      <c r="E289" s="30">
        <v>-1</v>
      </c>
      <c r="G289" s="30">
        <v>60</v>
      </c>
      <c r="H289" s="72">
        <f t="shared" si="34"/>
        <v>1767.5368350999456</v>
      </c>
      <c r="I289" s="30">
        <f t="shared" si="35"/>
        <v>1</v>
      </c>
      <c r="K289" s="30">
        <v>60</v>
      </c>
      <c r="L289" s="72">
        <v>1767.5368350999456</v>
      </c>
      <c r="M289" s="84">
        <v>1</v>
      </c>
      <c r="O289" s="30">
        <v>60</v>
      </c>
      <c r="P289" s="72">
        <v>1003.8656957416249</v>
      </c>
      <c r="Q289" s="84">
        <v>-1</v>
      </c>
      <c r="R289" s="30">
        <f t="shared" si="36"/>
        <v>0</v>
      </c>
    </row>
    <row r="290" spans="1:18" x14ac:dyDescent="0.3">
      <c r="A290" s="30">
        <v>61</v>
      </c>
      <c r="B290" s="72">
        <v>1844.0721502042513</v>
      </c>
      <c r="C290" s="30">
        <v>1</v>
      </c>
      <c r="D290" s="72">
        <v>1869.3514595567847</v>
      </c>
      <c r="E290" s="30">
        <v>-1</v>
      </c>
      <c r="G290" s="30">
        <v>61</v>
      </c>
      <c r="H290" s="72">
        <f t="shared" si="34"/>
        <v>1844.0721502042513</v>
      </c>
      <c r="I290" s="30">
        <f t="shared" si="35"/>
        <v>1</v>
      </c>
      <c r="K290" s="30">
        <v>61</v>
      </c>
      <c r="L290" s="72">
        <v>1844.0721502042513</v>
      </c>
      <c r="M290" s="84">
        <v>1</v>
      </c>
      <c r="O290" s="30">
        <v>61</v>
      </c>
      <c r="P290" s="72">
        <v>1022.8549282347039</v>
      </c>
      <c r="Q290" s="84">
        <v>1</v>
      </c>
      <c r="R290" s="30">
        <f t="shared" si="36"/>
        <v>1</v>
      </c>
    </row>
    <row r="291" spans="1:18" x14ac:dyDescent="0.3">
      <c r="A291" s="30">
        <v>62</v>
      </c>
      <c r="B291" s="72">
        <v>1847.9681665407079</v>
      </c>
      <c r="C291" s="30">
        <v>1</v>
      </c>
      <c r="D291" s="72">
        <v>1880.2653049444159</v>
      </c>
      <c r="E291" s="30">
        <v>-1</v>
      </c>
      <c r="G291" s="30">
        <v>62</v>
      </c>
      <c r="H291" s="72">
        <f t="shared" si="34"/>
        <v>1847.9681665407079</v>
      </c>
      <c r="I291" s="30">
        <f t="shared" si="35"/>
        <v>1</v>
      </c>
      <c r="K291" s="30">
        <v>62</v>
      </c>
      <c r="L291" s="72">
        <v>1847.9681665407079</v>
      </c>
      <c r="M291" s="84">
        <v>1</v>
      </c>
      <c r="O291" s="30">
        <v>62</v>
      </c>
      <c r="P291" s="72">
        <v>1022.9952845046004</v>
      </c>
      <c r="Q291" s="84">
        <v>-1</v>
      </c>
      <c r="R291" s="30">
        <f t="shared" si="36"/>
        <v>0</v>
      </c>
    </row>
    <row r="292" spans="1:18" x14ac:dyDescent="0.3">
      <c r="A292" s="30">
        <v>63</v>
      </c>
      <c r="B292" s="72">
        <v>1849.7319263341344</v>
      </c>
      <c r="C292" s="30">
        <v>1</v>
      </c>
      <c r="D292" s="72">
        <v>1886.0702574027086</v>
      </c>
      <c r="E292" s="30">
        <v>-1</v>
      </c>
      <c r="G292" s="30">
        <v>63</v>
      </c>
      <c r="H292" s="72">
        <f t="shared" si="34"/>
        <v>1849.7319263341344</v>
      </c>
      <c r="I292" s="30">
        <f t="shared" si="35"/>
        <v>1</v>
      </c>
      <c r="K292" s="30">
        <v>63</v>
      </c>
      <c r="L292" s="72">
        <v>1849.7319263341344</v>
      </c>
      <c r="M292" s="84">
        <v>1</v>
      </c>
      <c r="O292" s="30">
        <v>63</v>
      </c>
      <c r="P292" s="72">
        <v>1042.076219721328</v>
      </c>
      <c r="Q292" s="84">
        <v>1</v>
      </c>
      <c r="R292" s="30">
        <f t="shared" si="36"/>
        <v>1</v>
      </c>
    </row>
    <row r="293" spans="1:18" x14ac:dyDescent="0.3">
      <c r="A293" s="30">
        <v>64</v>
      </c>
      <c r="B293" s="72">
        <v>1852.0620553466765</v>
      </c>
      <c r="C293" s="30">
        <v>1</v>
      </c>
      <c r="D293" s="72">
        <v>1935.8001554120654</v>
      </c>
      <c r="E293" s="30">
        <v>-1</v>
      </c>
      <c r="G293" s="30">
        <v>64</v>
      </c>
      <c r="H293" s="72">
        <f t="shared" si="34"/>
        <v>1852.0620553466765</v>
      </c>
      <c r="I293" s="30">
        <f t="shared" si="35"/>
        <v>1</v>
      </c>
      <c r="K293" s="30">
        <v>64</v>
      </c>
      <c r="L293" s="72">
        <v>1852.0620553466765</v>
      </c>
      <c r="M293" s="84">
        <v>1</v>
      </c>
      <c r="O293" s="30">
        <v>64</v>
      </c>
      <c r="P293" s="72">
        <v>1044.714603997611</v>
      </c>
      <c r="Q293" s="84">
        <v>1</v>
      </c>
      <c r="R293" s="30">
        <f t="shared" si="36"/>
        <v>2</v>
      </c>
    </row>
    <row r="294" spans="1:18" x14ac:dyDescent="0.3">
      <c r="A294" s="30">
        <v>65</v>
      </c>
      <c r="B294" s="72">
        <v>1929.7039443388005</v>
      </c>
      <c r="C294" s="30">
        <v>1</v>
      </c>
      <c r="D294" s="72">
        <v>1941.1517568533197</v>
      </c>
      <c r="E294" s="30">
        <v>-1</v>
      </c>
      <c r="G294" s="30">
        <v>65</v>
      </c>
      <c r="H294" s="72">
        <f t="shared" si="34"/>
        <v>1929.7039443388005</v>
      </c>
      <c r="I294" s="30">
        <f t="shared" si="35"/>
        <v>1</v>
      </c>
      <c r="K294" s="30">
        <v>65</v>
      </c>
      <c r="L294" s="72">
        <v>1929.7039443388005</v>
      </c>
      <c r="M294" s="84">
        <v>1</v>
      </c>
      <c r="O294" s="30">
        <v>65</v>
      </c>
      <c r="P294" s="72">
        <v>1052.4572264015392</v>
      </c>
      <c r="Q294" s="84">
        <v>1</v>
      </c>
      <c r="R294" s="30">
        <f t="shared" si="36"/>
        <v>3</v>
      </c>
    </row>
    <row r="295" spans="1:18" x14ac:dyDescent="0.3">
      <c r="A295" s="30">
        <v>66</v>
      </c>
      <c r="B295" s="72">
        <v>1950.893805731981</v>
      </c>
      <c r="C295" s="30">
        <v>1</v>
      </c>
      <c r="D295" s="72">
        <v>1990.872784353428</v>
      </c>
      <c r="E295" s="30">
        <v>-1</v>
      </c>
      <c r="G295" s="30">
        <v>66</v>
      </c>
      <c r="H295" s="72">
        <f t="shared" ref="H295:H358" si="37">B295</f>
        <v>1950.893805731981</v>
      </c>
      <c r="I295" s="30">
        <f t="shared" ref="I295:I358" si="38">C295</f>
        <v>1</v>
      </c>
      <c r="K295" s="30">
        <v>66</v>
      </c>
      <c r="L295" s="72">
        <v>1950.893805731981</v>
      </c>
      <c r="M295" s="84">
        <v>1</v>
      </c>
      <c r="O295" s="30">
        <v>66</v>
      </c>
      <c r="P295" s="72">
        <v>1059.663368308715</v>
      </c>
      <c r="Q295" s="84">
        <v>-1</v>
      </c>
      <c r="R295" s="30">
        <f t="shared" si="36"/>
        <v>2</v>
      </c>
    </row>
    <row r="296" spans="1:18" x14ac:dyDescent="0.3">
      <c r="A296" s="30">
        <v>67</v>
      </c>
      <c r="B296" s="72">
        <v>1978.9809873798899</v>
      </c>
      <c r="C296" s="30">
        <v>1</v>
      </c>
      <c r="D296" s="72">
        <v>2065.5173812140438</v>
      </c>
      <c r="E296" s="30">
        <v>-1</v>
      </c>
      <c r="G296" s="30">
        <v>67</v>
      </c>
      <c r="H296" s="72">
        <f t="shared" si="37"/>
        <v>1978.9809873798899</v>
      </c>
      <c r="I296" s="30">
        <f t="shared" si="38"/>
        <v>1</v>
      </c>
      <c r="K296" s="30">
        <v>67</v>
      </c>
      <c r="L296" s="72">
        <v>1978.9809873798899</v>
      </c>
      <c r="M296" s="84">
        <v>1</v>
      </c>
      <c r="O296" s="30">
        <v>67</v>
      </c>
      <c r="P296" s="72">
        <v>1079.4078475462568</v>
      </c>
      <c r="Q296" s="84">
        <v>1</v>
      </c>
      <c r="R296" s="30">
        <f t="shared" ref="R296:R359" si="39">R295+Q296</f>
        <v>3</v>
      </c>
    </row>
    <row r="297" spans="1:18" x14ac:dyDescent="0.3">
      <c r="A297" s="30">
        <v>68</v>
      </c>
      <c r="B297" s="72">
        <v>2019.5077421202907</v>
      </c>
      <c r="C297" s="30">
        <v>1</v>
      </c>
      <c r="D297" s="72">
        <v>2073.1998340275591</v>
      </c>
      <c r="E297" s="30">
        <v>-1</v>
      </c>
      <c r="G297" s="30">
        <v>68</v>
      </c>
      <c r="H297" s="72">
        <f t="shared" si="37"/>
        <v>2019.5077421202907</v>
      </c>
      <c r="I297" s="30">
        <f t="shared" si="38"/>
        <v>1</v>
      </c>
      <c r="K297" s="30">
        <v>68</v>
      </c>
      <c r="L297" s="72">
        <v>2019.5077421202907</v>
      </c>
      <c r="M297" s="84">
        <v>1</v>
      </c>
      <c r="O297" s="30">
        <v>68</v>
      </c>
      <c r="P297" s="72">
        <v>1097.9575135705545</v>
      </c>
      <c r="Q297" s="84">
        <v>-1</v>
      </c>
      <c r="R297" s="30">
        <f t="shared" si="39"/>
        <v>2</v>
      </c>
    </row>
    <row r="298" spans="1:18" x14ac:dyDescent="0.3">
      <c r="A298" s="30">
        <v>69</v>
      </c>
      <c r="B298" s="72">
        <v>2096.3778988400104</v>
      </c>
      <c r="C298" s="30">
        <v>1</v>
      </c>
      <c r="D298" s="72">
        <v>2116.1682454200773</v>
      </c>
      <c r="E298" s="30">
        <v>-1</v>
      </c>
      <c r="G298" s="30">
        <v>69</v>
      </c>
      <c r="H298" s="72">
        <f t="shared" si="37"/>
        <v>2096.3778988400104</v>
      </c>
      <c r="I298" s="30">
        <f t="shared" si="38"/>
        <v>1</v>
      </c>
      <c r="K298" s="30">
        <v>69</v>
      </c>
      <c r="L298" s="72">
        <v>2096.3778988400104</v>
      </c>
      <c r="M298" s="84">
        <v>1</v>
      </c>
      <c r="O298" s="30">
        <v>69</v>
      </c>
      <c r="P298" s="72">
        <v>1103.0203224134211</v>
      </c>
      <c r="Q298" s="84">
        <v>-1</v>
      </c>
      <c r="R298" s="30">
        <f t="shared" si="39"/>
        <v>1</v>
      </c>
    </row>
    <row r="299" spans="1:18" x14ac:dyDescent="0.3">
      <c r="A299" s="30">
        <v>70</v>
      </c>
      <c r="B299" s="72">
        <v>2098.1362048442434</v>
      </c>
      <c r="C299" s="30">
        <v>1</v>
      </c>
      <c r="D299" s="72">
        <v>2122.2703754689769</v>
      </c>
      <c r="E299" s="30">
        <v>-1</v>
      </c>
      <c r="G299" s="30">
        <v>70</v>
      </c>
      <c r="H299" s="72">
        <f t="shared" si="37"/>
        <v>2098.1362048442434</v>
      </c>
      <c r="I299" s="30">
        <f t="shared" si="38"/>
        <v>1</v>
      </c>
      <c r="K299" s="30">
        <v>70</v>
      </c>
      <c r="L299" s="72">
        <v>2098.1362048442434</v>
      </c>
      <c r="M299" s="84">
        <v>1</v>
      </c>
      <c r="O299" s="30">
        <v>70</v>
      </c>
      <c r="P299" s="72">
        <v>1118.7147282960614</v>
      </c>
      <c r="Q299" s="84">
        <v>1</v>
      </c>
      <c r="R299" s="30">
        <f t="shared" si="39"/>
        <v>2</v>
      </c>
    </row>
    <row r="300" spans="1:18" x14ac:dyDescent="0.3">
      <c r="A300" s="30">
        <v>71</v>
      </c>
      <c r="B300" s="72">
        <v>2099.5524461370883</v>
      </c>
      <c r="C300" s="30">
        <v>1</v>
      </c>
      <c r="D300" s="72">
        <v>2123.9278086307468</v>
      </c>
      <c r="E300" s="30">
        <v>-1</v>
      </c>
      <c r="G300" s="30">
        <v>71</v>
      </c>
      <c r="H300" s="72">
        <f t="shared" si="37"/>
        <v>2099.5524461370883</v>
      </c>
      <c r="I300" s="30">
        <f t="shared" si="38"/>
        <v>1</v>
      </c>
      <c r="K300" s="30">
        <v>71</v>
      </c>
      <c r="L300" s="72">
        <v>2099.5524461370883</v>
      </c>
      <c r="M300" s="84">
        <v>1</v>
      </c>
      <c r="O300" s="30">
        <v>71</v>
      </c>
      <c r="P300" s="72">
        <v>1146.9115790936444</v>
      </c>
      <c r="Q300" s="84">
        <v>1</v>
      </c>
      <c r="R300" s="30">
        <f t="shared" si="39"/>
        <v>3</v>
      </c>
    </row>
    <row r="301" spans="1:18" x14ac:dyDescent="0.3">
      <c r="A301" s="30">
        <v>72</v>
      </c>
      <c r="B301" s="72">
        <v>2138.152824380219</v>
      </c>
      <c r="C301" s="30">
        <v>1</v>
      </c>
      <c r="D301" s="72">
        <v>2173.6056669783661</v>
      </c>
      <c r="E301" s="30">
        <v>-1</v>
      </c>
      <c r="G301" s="30">
        <v>72</v>
      </c>
      <c r="H301" s="72">
        <f t="shared" si="37"/>
        <v>2138.152824380219</v>
      </c>
      <c r="I301" s="30">
        <f t="shared" si="38"/>
        <v>1</v>
      </c>
      <c r="K301" s="30">
        <v>72</v>
      </c>
      <c r="L301" s="72">
        <v>2138.152824380219</v>
      </c>
      <c r="M301" s="84">
        <v>1</v>
      </c>
      <c r="O301" s="30">
        <v>72</v>
      </c>
      <c r="P301" s="72">
        <v>1155.7741525268877</v>
      </c>
      <c r="Q301" s="84">
        <v>-1</v>
      </c>
      <c r="R301" s="30">
        <f t="shared" si="39"/>
        <v>2</v>
      </c>
    </row>
    <row r="302" spans="1:18" x14ac:dyDescent="0.3">
      <c r="A302" s="30">
        <v>73</v>
      </c>
      <c r="B302" s="72">
        <v>2140.3408264860905</v>
      </c>
      <c r="C302" s="30">
        <v>1</v>
      </c>
      <c r="D302" s="72">
        <v>2204.0663414725977</v>
      </c>
      <c r="E302" s="30">
        <v>-1</v>
      </c>
      <c r="G302" s="30">
        <v>73</v>
      </c>
      <c r="H302" s="72">
        <f t="shared" si="37"/>
        <v>2140.3408264860905</v>
      </c>
      <c r="I302" s="30">
        <f t="shared" si="38"/>
        <v>1</v>
      </c>
      <c r="K302" s="30">
        <v>73</v>
      </c>
      <c r="L302" s="72">
        <v>2140.3408264860905</v>
      </c>
      <c r="M302" s="84">
        <v>1</v>
      </c>
      <c r="O302" s="30">
        <v>73</v>
      </c>
      <c r="P302" s="72">
        <v>1185.5963799119459</v>
      </c>
      <c r="Q302" s="84">
        <v>1</v>
      </c>
      <c r="R302" s="30">
        <f t="shared" si="39"/>
        <v>3</v>
      </c>
    </row>
    <row r="303" spans="1:18" x14ac:dyDescent="0.3">
      <c r="A303" s="30">
        <v>74</v>
      </c>
      <c r="B303" s="72">
        <v>2172.5356737578818</v>
      </c>
      <c r="C303" s="30">
        <v>1</v>
      </c>
      <c r="D303" s="72">
        <v>2249.200323447747</v>
      </c>
      <c r="E303" s="30">
        <v>-1</v>
      </c>
      <c r="G303" s="30">
        <v>74</v>
      </c>
      <c r="H303" s="72">
        <f t="shared" si="37"/>
        <v>2172.5356737578818</v>
      </c>
      <c r="I303" s="30">
        <f t="shared" si="38"/>
        <v>1</v>
      </c>
      <c r="K303" s="30">
        <v>74</v>
      </c>
      <c r="L303" s="72">
        <v>2172.5356737578818</v>
      </c>
      <c r="M303" s="84">
        <v>1</v>
      </c>
      <c r="O303" s="30">
        <v>74</v>
      </c>
      <c r="P303" s="72">
        <v>1188.9421902204367</v>
      </c>
      <c r="Q303" s="84">
        <v>-1</v>
      </c>
      <c r="R303" s="30">
        <f t="shared" si="39"/>
        <v>2</v>
      </c>
    </row>
    <row r="304" spans="1:18" x14ac:dyDescent="0.3">
      <c r="A304" s="30">
        <v>75</v>
      </c>
      <c r="B304" s="72">
        <v>2181.6367047116569</v>
      </c>
      <c r="C304" s="30">
        <v>1</v>
      </c>
      <c r="D304" s="72">
        <v>2269.1365819256166</v>
      </c>
      <c r="E304" s="30">
        <v>-1</v>
      </c>
      <c r="G304" s="30">
        <v>75</v>
      </c>
      <c r="H304" s="72">
        <f t="shared" si="37"/>
        <v>2181.6367047116569</v>
      </c>
      <c r="I304" s="30">
        <f t="shared" si="38"/>
        <v>1</v>
      </c>
      <c r="K304" s="30">
        <v>75</v>
      </c>
      <c r="L304" s="72">
        <v>2181.6367047116569</v>
      </c>
      <c r="M304" s="84">
        <v>1</v>
      </c>
      <c r="O304" s="30">
        <v>75</v>
      </c>
      <c r="P304" s="72">
        <v>1196.9817198334335</v>
      </c>
      <c r="Q304" s="84">
        <v>1</v>
      </c>
      <c r="R304" s="30">
        <f t="shared" si="39"/>
        <v>3</v>
      </c>
    </row>
    <row r="305" spans="1:18" x14ac:dyDescent="0.3">
      <c r="A305" s="30">
        <v>76</v>
      </c>
      <c r="B305" s="72">
        <v>2192.59171605961</v>
      </c>
      <c r="C305" s="30">
        <v>1</v>
      </c>
      <c r="D305" s="72">
        <v>2272.1154898517202</v>
      </c>
      <c r="E305" s="30">
        <v>-1</v>
      </c>
      <c r="G305" s="30">
        <v>76</v>
      </c>
      <c r="H305" s="72">
        <f t="shared" si="37"/>
        <v>2192.59171605961</v>
      </c>
      <c r="I305" s="30">
        <f t="shared" si="38"/>
        <v>1</v>
      </c>
      <c r="K305" s="30">
        <v>76</v>
      </c>
      <c r="L305" s="72">
        <v>2192.59171605961</v>
      </c>
      <c r="M305" s="84">
        <v>1</v>
      </c>
      <c r="O305" s="30">
        <v>76</v>
      </c>
      <c r="P305" s="72">
        <v>1197.5517005876106</v>
      </c>
      <c r="Q305" s="84">
        <v>-1</v>
      </c>
      <c r="R305" s="30">
        <f t="shared" si="39"/>
        <v>2</v>
      </c>
    </row>
    <row r="306" spans="1:18" x14ac:dyDescent="0.3">
      <c r="A306" s="30">
        <v>77</v>
      </c>
      <c r="B306" s="72">
        <v>2210.2483062154342</v>
      </c>
      <c r="C306" s="30">
        <v>1</v>
      </c>
      <c r="D306" s="72">
        <v>2339.7338867759413</v>
      </c>
      <c r="E306" s="30">
        <v>-1</v>
      </c>
      <c r="G306" s="30">
        <v>77</v>
      </c>
      <c r="H306" s="72">
        <f t="shared" si="37"/>
        <v>2210.2483062154342</v>
      </c>
      <c r="I306" s="30">
        <f t="shared" si="38"/>
        <v>1</v>
      </c>
      <c r="K306" s="30">
        <v>77</v>
      </c>
      <c r="L306" s="72">
        <v>2210.2483062154342</v>
      </c>
      <c r="M306" s="84">
        <v>1</v>
      </c>
      <c r="O306" s="30">
        <v>77</v>
      </c>
      <c r="P306" s="72">
        <v>1230.4041271918165</v>
      </c>
      <c r="Q306" s="84">
        <v>1</v>
      </c>
      <c r="R306" s="30">
        <f t="shared" si="39"/>
        <v>3</v>
      </c>
    </row>
    <row r="307" spans="1:18" x14ac:dyDescent="0.3">
      <c r="A307" s="30">
        <v>78</v>
      </c>
      <c r="B307" s="72">
        <v>2215.9214366372198</v>
      </c>
      <c r="C307" s="30">
        <v>1</v>
      </c>
      <c r="D307" s="72">
        <v>2390.5789670730751</v>
      </c>
      <c r="E307" s="30">
        <v>-1</v>
      </c>
      <c r="G307" s="30">
        <v>78</v>
      </c>
      <c r="H307" s="72">
        <f t="shared" si="37"/>
        <v>2215.9214366372198</v>
      </c>
      <c r="I307" s="30">
        <f t="shared" si="38"/>
        <v>1</v>
      </c>
      <c r="K307" s="30">
        <v>78</v>
      </c>
      <c r="L307" s="72">
        <v>2215.9214366372198</v>
      </c>
      <c r="M307" s="84">
        <v>1</v>
      </c>
      <c r="O307" s="30">
        <v>78</v>
      </c>
      <c r="P307" s="72">
        <v>1234.0295235777012</v>
      </c>
      <c r="Q307" s="84">
        <v>-1</v>
      </c>
      <c r="R307" s="30">
        <f t="shared" si="39"/>
        <v>2</v>
      </c>
    </row>
    <row r="308" spans="1:18" x14ac:dyDescent="0.3">
      <c r="A308" s="30">
        <v>79</v>
      </c>
      <c r="B308" s="72">
        <v>2235.1768333049063</v>
      </c>
      <c r="C308" s="30">
        <v>1</v>
      </c>
      <c r="D308" s="72">
        <v>2410.6763343226789</v>
      </c>
      <c r="E308" s="30">
        <v>-1</v>
      </c>
      <c r="G308" s="30">
        <v>79</v>
      </c>
      <c r="H308" s="72">
        <f t="shared" si="37"/>
        <v>2235.1768333049063</v>
      </c>
      <c r="I308" s="30">
        <f t="shared" si="38"/>
        <v>1</v>
      </c>
      <c r="K308" s="30">
        <v>79</v>
      </c>
      <c r="L308" s="72">
        <v>2235.1768333049063</v>
      </c>
      <c r="M308" s="84">
        <v>1</v>
      </c>
      <c r="O308" s="30">
        <v>79</v>
      </c>
      <c r="P308" s="72">
        <v>1250.8379633625846</v>
      </c>
      <c r="Q308" s="84">
        <v>-1</v>
      </c>
      <c r="R308" s="30">
        <f t="shared" si="39"/>
        <v>1</v>
      </c>
    </row>
    <row r="309" spans="1:18" x14ac:dyDescent="0.3">
      <c r="A309" s="30">
        <v>80</v>
      </c>
      <c r="B309" s="72">
        <v>2237.5499124784328</v>
      </c>
      <c r="C309" s="30">
        <v>1</v>
      </c>
      <c r="D309" s="72">
        <v>2411.0264585817199</v>
      </c>
      <c r="E309" s="30">
        <v>-1</v>
      </c>
      <c r="G309" s="30">
        <v>80</v>
      </c>
      <c r="H309" s="72">
        <f t="shared" si="37"/>
        <v>2237.5499124784328</v>
      </c>
      <c r="I309" s="30">
        <f t="shared" si="38"/>
        <v>1</v>
      </c>
      <c r="K309" s="30">
        <v>80</v>
      </c>
      <c r="L309" s="72">
        <v>2237.5499124784328</v>
      </c>
      <c r="M309" s="84">
        <v>1</v>
      </c>
      <c r="O309" s="30">
        <v>80</v>
      </c>
      <c r="P309" s="72">
        <v>1307.118558398018</v>
      </c>
      <c r="Q309" s="84">
        <v>1</v>
      </c>
      <c r="R309" s="30">
        <f t="shared" si="39"/>
        <v>2</v>
      </c>
    </row>
    <row r="310" spans="1:18" x14ac:dyDescent="0.3">
      <c r="A310" s="30">
        <v>81</v>
      </c>
      <c r="B310" s="72">
        <v>2247.9231228498079</v>
      </c>
      <c r="C310" s="30">
        <v>1</v>
      </c>
      <c r="D310" s="72">
        <v>2412.1473603464383</v>
      </c>
      <c r="E310" s="30">
        <v>-1</v>
      </c>
      <c r="G310" s="30">
        <v>81</v>
      </c>
      <c r="H310" s="72">
        <f t="shared" si="37"/>
        <v>2247.9231228498079</v>
      </c>
      <c r="I310" s="30">
        <f t="shared" si="38"/>
        <v>1</v>
      </c>
      <c r="K310" s="30">
        <v>81</v>
      </c>
      <c r="L310" s="72">
        <v>2247.9231228498079</v>
      </c>
      <c r="M310" s="84">
        <v>1</v>
      </c>
      <c r="O310" s="30">
        <v>81</v>
      </c>
      <c r="P310" s="72">
        <v>1307.3458021838778</v>
      </c>
      <c r="Q310" s="84">
        <v>-1</v>
      </c>
      <c r="R310" s="30">
        <f t="shared" si="39"/>
        <v>1</v>
      </c>
    </row>
    <row r="311" spans="1:18" x14ac:dyDescent="0.3">
      <c r="A311" s="30">
        <v>82</v>
      </c>
      <c r="B311" s="72">
        <v>2278.3000069470972</v>
      </c>
      <c r="C311" s="30">
        <v>1</v>
      </c>
      <c r="D311" s="72">
        <v>2443.4946245191463</v>
      </c>
      <c r="E311" s="30">
        <v>-1</v>
      </c>
      <c r="G311" s="30">
        <v>82</v>
      </c>
      <c r="H311" s="72">
        <f t="shared" si="37"/>
        <v>2278.3000069470972</v>
      </c>
      <c r="I311" s="30">
        <f t="shared" si="38"/>
        <v>1</v>
      </c>
      <c r="K311" s="30">
        <v>82</v>
      </c>
      <c r="L311" s="72">
        <v>2278.3000069470972</v>
      </c>
      <c r="M311" s="84">
        <v>1</v>
      </c>
      <c r="O311" s="30">
        <v>82</v>
      </c>
      <c r="P311" s="72">
        <v>1312.4648465188943</v>
      </c>
      <c r="Q311" s="84">
        <v>-1</v>
      </c>
      <c r="R311" s="30">
        <f t="shared" si="39"/>
        <v>0</v>
      </c>
    </row>
    <row r="312" spans="1:18" x14ac:dyDescent="0.3">
      <c r="A312" s="30">
        <v>83</v>
      </c>
      <c r="B312" s="72">
        <v>2300.0801045050398</v>
      </c>
      <c r="C312" s="30">
        <v>1</v>
      </c>
      <c r="D312" s="72">
        <v>2485.3562764364742</v>
      </c>
      <c r="E312" s="30">
        <v>-1</v>
      </c>
      <c r="G312" s="30">
        <v>83</v>
      </c>
      <c r="H312" s="72">
        <f t="shared" si="37"/>
        <v>2300.0801045050398</v>
      </c>
      <c r="I312" s="30">
        <f t="shared" si="38"/>
        <v>1</v>
      </c>
      <c r="K312" s="30">
        <v>83</v>
      </c>
      <c r="L312" s="72">
        <v>2300.0801045050398</v>
      </c>
      <c r="M312" s="84">
        <v>1</v>
      </c>
      <c r="O312" s="30">
        <v>83</v>
      </c>
      <c r="P312" s="72">
        <v>1387.5624866157511</v>
      </c>
      <c r="Q312" s="84">
        <v>1</v>
      </c>
      <c r="R312" s="30">
        <f t="shared" si="39"/>
        <v>1</v>
      </c>
    </row>
    <row r="313" spans="1:18" x14ac:dyDescent="0.3">
      <c r="A313" s="30">
        <v>84</v>
      </c>
      <c r="B313" s="72">
        <v>2312.424233155054</v>
      </c>
      <c r="C313" s="30">
        <v>1</v>
      </c>
      <c r="D313" s="72">
        <v>2496.4590231138573</v>
      </c>
      <c r="E313" s="30">
        <v>-1</v>
      </c>
      <c r="G313" s="30">
        <v>84</v>
      </c>
      <c r="H313" s="72">
        <f t="shared" si="37"/>
        <v>2312.424233155054</v>
      </c>
      <c r="I313" s="30">
        <f t="shared" si="38"/>
        <v>1</v>
      </c>
      <c r="K313" s="30">
        <v>84</v>
      </c>
      <c r="L313" s="72">
        <v>2312.424233155054</v>
      </c>
      <c r="M313" s="84">
        <v>1</v>
      </c>
      <c r="O313" s="30">
        <v>84</v>
      </c>
      <c r="P313" s="72">
        <v>1388.1224941759376</v>
      </c>
      <c r="Q313" s="84">
        <v>1</v>
      </c>
      <c r="R313" s="30">
        <f t="shared" si="39"/>
        <v>2</v>
      </c>
    </row>
    <row r="314" spans="1:18" x14ac:dyDescent="0.3">
      <c r="A314" s="30">
        <v>85</v>
      </c>
      <c r="B314" s="72">
        <v>2424.3099168983654</v>
      </c>
      <c r="C314" s="30">
        <v>1</v>
      </c>
      <c r="D314" s="72">
        <v>2505.1254214126684</v>
      </c>
      <c r="E314" s="30">
        <v>-1</v>
      </c>
      <c r="G314" s="30">
        <v>85</v>
      </c>
      <c r="H314" s="72">
        <f t="shared" si="37"/>
        <v>2424.3099168983654</v>
      </c>
      <c r="I314" s="30">
        <f t="shared" si="38"/>
        <v>1</v>
      </c>
      <c r="K314" s="30">
        <v>85</v>
      </c>
      <c r="L314" s="72">
        <v>2424.3099168983654</v>
      </c>
      <c r="M314" s="84">
        <v>1</v>
      </c>
      <c r="O314" s="30">
        <v>85</v>
      </c>
      <c r="P314" s="72">
        <v>1390.820448404311</v>
      </c>
      <c r="Q314" s="84">
        <v>1</v>
      </c>
      <c r="R314" s="30">
        <f t="shared" si="39"/>
        <v>3</v>
      </c>
    </row>
    <row r="315" spans="1:18" x14ac:dyDescent="0.3">
      <c r="A315" s="30">
        <v>86</v>
      </c>
      <c r="B315" s="72">
        <v>2488.2839077079493</v>
      </c>
      <c r="C315" s="30">
        <v>1</v>
      </c>
      <c r="D315" s="72">
        <v>2521.9213024018336</v>
      </c>
      <c r="E315" s="30">
        <v>-1</v>
      </c>
      <c r="G315" s="30">
        <v>86</v>
      </c>
      <c r="H315" s="72">
        <f t="shared" si="37"/>
        <v>2488.2839077079493</v>
      </c>
      <c r="I315" s="30">
        <f t="shared" si="38"/>
        <v>1</v>
      </c>
      <c r="K315" s="30">
        <v>86</v>
      </c>
      <c r="L315" s="72">
        <v>2488.2839077079493</v>
      </c>
      <c r="M315" s="84">
        <v>1</v>
      </c>
      <c r="O315" s="30">
        <v>86</v>
      </c>
      <c r="P315" s="72">
        <v>1399.2069007263467</v>
      </c>
      <c r="Q315" s="84">
        <v>-1</v>
      </c>
      <c r="R315" s="30">
        <f t="shared" si="39"/>
        <v>2</v>
      </c>
    </row>
    <row r="316" spans="1:18" x14ac:dyDescent="0.3">
      <c r="A316" s="30">
        <v>87</v>
      </c>
      <c r="B316" s="72">
        <v>2522.4189791411245</v>
      </c>
      <c r="C316" s="30">
        <v>1</v>
      </c>
      <c r="D316" s="72">
        <v>2578.8050559187814</v>
      </c>
      <c r="E316" s="30">
        <v>-1</v>
      </c>
      <c r="G316" s="30">
        <v>87</v>
      </c>
      <c r="H316" s="72">
        <f t="shared" si="37"/>
        <v>2522.4189791411245</v>
      </c>
      <c r="I316" s="30">
        <f t="shared" si="38"/>
        <v>1</v>
      </c>
      <c r="K316" s="30">
        <v>87</v>
      </c>
      <c r="L316" s="72">
        <v>2522.4189791411245</v>
      </c>
      <c r="M316" s="84">
        <v>1</v>
      </c>
      <c r="O316" s="30">
        <v>87</v>
      </c>
      <c r="P316" s="72">
        <v>1416.6262467207653</v>
      </c>
      <c r="Q316" s="84">
        <v>1</v>
      </c>
      <c r="R316" s="30">
        <f t="shared" si="39"/>
        <v>3</v>
      </c>
    </row>
    <row r="317" spans="1:18" x14ac:dyDescent="0.3">
      <c r="A317" s="30">
        <v>88</v>
      </c>
      <c r="B317" s="72">
        <v>2527.8055857962554</v>
      </c>
      <c r="C317" s="30">
        <v>1</v>
      </c>
      <c r="D317" s="72">
        <v>2598.680772789995</v>
      </c>
      <c r="E317" s="30">
        <v>-1</v>
      </c>
      <c r="G317" s="30">
        <v>88</v>
      </c>
      <c r="H317" s="72">
        <f t="shared" si="37"/>
        <v>2527.8055857962554</v>
      </c>
      <c r="I317" s="30">
        <f t="shared" si="38"/>
        <v>1</v>
      </c>
      <c r="K317" s="30">
        <v>88</v>
      </c>
      <c r="L317" s="72">
        <v>2527.8055857962554</v>
      </c>
      <c r="M317" s="84">
        <v>1</v>
      </c>
      <c r="O317" s="30">
        <v>88</v>
      </c>
      <c r="P317" s="72">
        <v>1421.9061290364025</v>
      </c>
      <c r="Q317" s="84">
        <v>-1</v>
      </c>
      <c r="R317" s="30">
        <f t="shared" si="39"/>
        <v>2</v>
      </c>
    </row>
    <row r="318" spans="1:18" x14ac:dyDescent="0.3">
      <c r="A318" s="30">
        <v>89</v>
      </c>
      <c r="B318" s="72">
        <v>2535.3882057383239</v>
      </c>
      <c r="C318" s="30">
        <v>1</v>
      </c>
      <c r="D318" s="72">
        <v>2636.1172252671827</v>
      </c>
      <c r="E318" s="30">
        <v>-1</v>
      </c>
      <c r="G318" s="30">
        <v>89</v>
      </c>
      <c r="H318" s="72">
        <f t="shared" si="37"/>
        <v>2535.3882057383239</v>
      </c>
      <c r="I318" s="30">
        <f t="shared" si="38"/>
        <v>1</v>
      </c>
      <c r="K318" s="30">
        <v>89</v>
      </c>
      <c r="L318" s="72">
        <v>2535.3882057383239</v>
      </c>
      <c r="M318" s="84">
        <v>1</v>
      </c>
      <c r="O318" s="30">
        <v>89</v>
      </c>
      <c r="P318" s="72">
        <v>1434.4835734609831</v>
      </c>
      <c r="Q318" s="84">
        <v>1</v>
      </c>
      <c r="R318" s="30">
        <f t="shared" si="39"/>
        <v>3</v>
      </c>
    </row>
    <row r="319" spans="1:18" x14ac:dyDescent="0.3">
      <c r="A319" s="30">
        <v>90</v>
      </c>
      <c r="B319" s="72">
        <v>2554.7822696196331</v>
      </c>
      <c r="C319" s="30">
        <v>1</v>
      </c>
      <c r="D319" s="72">
        <v>2681.0994732977142</v>
      </c>
      <c r="E319" s="30">
        <v>-1</v>
      </c>
      <c r="G319" s="30">
        <v>90</v>
      </c>
      <c r="H319" s="72">
        <f t="shared" si="37"/>
        <v>2554.7822696196331</v>
      </c>
      <c r="I319" s="30">
        <f t="shared" si="38"/>
        <v>1</v>
      </c>
      <c r="K319" s="30">
        <v>90</v>
      </c>
      <c r="L319" s="72">
        <v>2554.7822696196331</v>
      </c>
      <c r="M319" s="84">
        <v>1</v>
      </c>
      <c r="O319" s="30">
        <v>90</v>
      </c>
      <c r="P319" s="72">
        <v>1434.7004687643969</v>
      </c>
      <c r="Q319" s="84">
        <v>1</v>
      </c>
      <c r="R319" s="30">
        <f t="shared" si="39"/>
        <v>4</v>
      </c>
    </row>
    <row r="320" spans="1:18" x14ac:dyDescent="0.3">
      <c r="A320" s="30">
        <v>91</v>
      </c>
      <c r="B320" s="72">
        <v>2583.7238542799741</v>
      </c>
      <c r="C320" s="30">
        <v>1</v>
      </c>
      <c r="D320" s="72">
        <v>2683.89922656113</v>
      </c>
      <c r="E320" s="30">
        <v>-1</v>
      </c>
      <c r="G320" s="30">
        <v>91</v>
      </c>
      <c r="H320" s="72">
        <f t="shared" si="37"/>
        <v>2583.7238542799741</v>
      </c>
      <c r="I320" s="30">
        <f t="shared" si="38"/>
        <v>1</v>
      </c>
      <c r="K320" s="30">
        <v>91</v>
      </c>
      <c r="L320" s="72">
        <v>2583.7238542799741</v>
      </c>
      <c r="M320" s="84">
        <v>1</v>
      </c>
      <c r="O320" s="30">
        <v>91</v>
      </c>
      <c r="P320" s="72">
        <v>1456.9165459903782</v>
      </c>
      <c r="Q320" s="84">
        <v>-1</v>
      </c>
      <c r="R320" s="30">
        <f t="shared" si="39"/>
        <v>3</v>
      </c>
    </row>
    <row r="321" spans="1:18" x14ac:dyDescent="0.3">
      <c r="A321" s="30">
        <v>92</v>
      </c>
      <c r="B321" s="72">
        <v>2602.84931060593</v>
      </c>
      <c r="C321" s="30">
        <v>1</v>
      </c>
      <c r="D321" s="72">
        <v>2695.649095865957</v>
      </c>
      <c r="E321" s="30">
        <v>-1</v>
      </c>
      <c r="G321" s="30">
        <v>92</v>
      </c>
      <c r="H321" s="72">
        <f t="shared" si="37"/>
        <v>2602.84931060593</v>
      </c>
      <c r="I321" s="30">
        <f t="shared" si="38"/>
        <v>1</v>
      </c>
      <c r="K321" s="30">
        <v>92</v>
      </c>
      <c r="L321" s="72">
        <v>2602.84931060593</v>
      </c>
      <c r="M321" s="84">
        <v>1</v>
      </c>
      <c r="O321" s="30">
        <v>92</v>
      </c>
      <c r="P321" s="72">
        <v>1460.9239076650276</v>
      </c>
      <c r="Q321" s="84">
        <v>-1</v>
      </c>
      <c r="R321" s="30">
        <f t="shared" si="39"/>
        <v>2</v>
      </c>
    </row>
    <row r="322" spans="1:18" x14ac:dyDescent="0.3">
      <c r="A322" s="30">
        <v>93</v>
      </c>
      <c r="B322" s="72">
        <v>2623.2386044836148</v>
      </c>
      <c r="C322" s="30">
        <v>1</v>
      </c>
      <c r="D322" s="72">
        <v>2704.4433807884284</v>
      </c>
      <c r="E322" s="30">
        <v>-1</v>
      </c>
      <c r="G322" s="30">
        <v>93</v>
      </c>
      <c r="H322" s="72">
        <f t="shared" si="37"/>
        <v>2623.2386044836148</v>
      </c>
      <c r="I322" s="30">
        <f t="shared" si="38"/>
        <v>1</v>
      </c>
      <c r="K322" s="30">
        <v>93</v>
      </c>
      <c r="L322" s="72">
        <v>2623.2386044836148</v>
      </c>
      <c r="M322" s="84">
        <v>1</v>
      </c>
      <c r="O322" s="30">
        <v>93</v>
      </c>
      <c r="P322" s="72">
        <v>1460.9739814062623</v>
      </c>
      <c r="Q322" s="84">
        <v>-1</v>
      </c>
      <c r="R322" s="30">
        <f t="shared" si="39"/>
        <v>1</v>
      </c>
    </row>
    <row r="323" spans="1:18" x14ac:dyDescent="0.3">
      <c r="A323" s="30">
        <v>94</v>
      </c>
      <c r="B323" s="72">
        <v>2630.3262101731261</v>
      </c>
      <c r="C323" s="30">
        <v>1</v>
      </c>
      <c r="D323" s="72">
        <v>2707.0347500709695</v>
      </c>
      <c r="E323" s="30">
        <v>-1</v>
      </c>
      <c r="G323" s="30">
        <v>94</v>
      </c>
      <c r="H323" s="72">
        <f t="shared" si="37"/>
        <v>2630.3262101731261</v>
      </c>
      <c r="I323" s="30">
        <f t="shared" si="38"/>
        <v>1</v>
      </c>
      <c r="K323" s="30">
        <v>94</v>
      </c>
      <c r="L323" s="72">
        <v>2630.3262101731261</v>
      </c>
      <c r="M323" s="84">
        <v>1</v>
      </c>
      <c r="O323" s="30">
        <v>94</v>
      </c>
      <c r="P323" s="72">
        <v>1480.8989580662926</v>
      </c>
      <c r="Q323" s="84">
        <v>-1</v>
      </c>
      <c r="R323" s="30">
        <f t="shared" si="39"/>
        <v>0</v>
      </c>
    </row>
    <row r="324" spans="1:18" x14ac:dyDescent="0.3">
      <c r="A324" s="30">
        <v>95</v>
      </c>
      <c r="B324" s="72">
        <v>2642.8428073970422</v>
      </c>
      <c r="C324" s="30">
        <v>1</v>
      </c>
      <c r="D324" s="72">
        <v>2722.686466983243</v>
      </c>
      <c r="E324" s="30">
        <v>-1</v>
      </c>
      <c r="G324" s="30">
        <v>95</v>
      </c>
      <c r="H324" s="72">
        <f t="shared" si="37"/>
        <v>2642.8428073970422</v>
      </c>
      <c r="I324" s="30">
        <f t="shared" si="38"/>
        <v>1</v>
      </c>
      <c r="K324" s="30">
        <v>95</v>
      </c>
      <c r="L324" s="72">
        <v>2642.8428073970422</v>
      </c>
      <c r="M324" s="84">
        <v>1</v>
      </c>
      <c r="O324" s="30">
        <v>95</v>
      </c>
      <c r="P324" s="72">
        <v>1483.8349115789285</v>
      </c>
      <c r="Q324" s="84">
        <v>1</v>
      </c>
      <c r="R324" s="30">
        <f t="shared" si="39"/>
        <v>1</v>
      </c>
    </row>
    <row r="325" spans="1:18" x14ac:dyDescent="0.3">
      <c r="A325" s="30">
        <v>96</v>
      </c>
      <c r="B325" s="72">
        <v>2698.9091858254737</v>
      </c>
      <c r="C325" s="30">
        <v>1</v>
      </c>
      <c r="D325" s="72">
        <v>2730.7490016982906</v>
      </c>
      <c r="E325" s="30">
        <v>-1</v>
      </c>
      <c r="G325" s="30">
        <v>96</v>
      </c>
      <c r="H325" s="72">
        <f t="shared" si="37"/>
        <v>2698.9091858254737</v>
      </c>
      <c r="I325" s="30">
        <f t="shared" si="38"/>
        <v>1</v>
      </c>
      <c r="K325" s="30">
        <v>96</v>
      </c>
      <c r="L325" s="72">
        <v>2698.9091858254737</v>
      </c>
      <c r="M325" s="84">
        <v>1</v>
      </c>
      <c r="O325" s="30">
        <v>96</v>
      </c>
      <c r="P325" s="72">
        <v>1491.8585310344943</v>
      </c>
      <c r="Q325" s="84">
        <v>-1</v>
      </c>
      <c r="R325" s="30">
        <f t="shared" si="39"/>
        <v>0</v>
      </c>
    </row>
    <row r="326" spans="1:18" x14ac:dyDescent="0.3">
      <c r="A326" s="30">
        <v>97</v>
      </c>
      <c r="B326" s="72">
        <v>2710.8987215952002</v>
      </c>
      <c r="C326" s="30">
        <v>1</v>
      </c>
      <c r="D326" s="72">
        <v>2775.3838835734887</v>
      </c>
      <c r="E326" s="30">
        <v>-1</v>
      </c>
      <c r="G326" s="30">
        <v>97</v>
      </c>
      <c r="H326" s="72">
        <f t="shared" si="37"/>
        <v>2710.8987215952002</v>
      </c>
      <c r="I326" s="30">
        <f t="shared" si="38"/>
        <v>1</v>
      </c>
      <c r="K326" s="30">
        <v>97</v>
      </c>
      <c r="L326" s="72">
        <v>2710.8987215952002</v>
      </c>
      <c r="M326" s="84">
        <v>1</v>
      </c>
      <c r="O326" s="30">
        <v>97</v>
      </c>
      <c r="P326" s="72">
        <v>1534.218645934614</v>
      </c>
      <c r="Q326" s="84">
        <v>1</v>
      </c>
      <c r="R326" s="30">
        <f t="shared" si="39"/>
        <v>1</v>
      </c>
    </row>
    <row r="327" spans="1:18" x14ac:dyDescent="0.3">
      <c r="A327" s="30">
        <v>98</v>
      </c>
      <c r="B327" s="72">
        <v>2711.8964118350318</v>
      </c>
      <c r="C327" s="30">
        <v>1</v>
      </c>
      <c r="D327" s="72">
        <v>2808.2928471568425</v>
      </c>
      <c r="E327" s="30">
        <v>-1</v>
      </c>
      <c r="G327" s="30">
        <v>98</v>
      </c>
      <c r="H327" s="72">
        <f t="shared" si="37"/>
        <v>2711.8964118350318</v>
      </c>
      <c r="I327" s="30">
        <f t="shared" si="38"/>
        <v>1</v>
      </c>
      <c r="K327" s="30">
        <v>98</v>
      </c>
      <c r="L327" s="72">
        <v>2711.8964118350318</v>
      </c>
      <c r="M327" s="84">
        <v>1</v>
      </c>
      <c r="O327" s="30">
        <v>98</v>
      </c>
      <c r="P327" s="72">
        <v>1541.0147321932745</v>
      </c>
      <c r="Q327" s="84">
        <v>-1</v>
      </c>
      <c r="R327" s="30">
        <f t="shared" si="39"/>
        <v>0</v>
      </c>
    </row>
    <row r="328" spans="1:18" x14ac:dyDescent="0.3">
      <c r="A328" s="30">
        <v>99</v>
      </c>
      <c r="B328" s="72">
        <v>2730.4642347398167</v>
      </c>
      <c r="C328" s="30">
        <v>1</v>
      </c>
      <c r="D328" s="72">
        <v>2836.351036038277</v>
      </c>
      <c r="E328" s="30">
        <v>-1</v>
      </c>
      <c r="G328" s="30">
        <v>99</v>
      </c>
      <c r="H328" s="72">
        <f t="shared" si="37"/>
        <v>2730.4642347398167</v>
      </c>
      <c r="I328" s="30">
        <f t="shared" si="38"/>
        <v>1</v>
      </c>
      <c r="K328" s="30">
        <v>99</v>
      </c>
      <c r="L328" s="72">
        <v>2730.4642347398167</v>
      </c>
      <c r="M328" s="84">
        <v>1</v>
      </c>
      <c r="O328" s="30">
        <v>99</v>
      </c>
      <c r="P328" s="72">
        <v>1546.4770649946906</v>
      </c>
      <c r="Q328" s="84">
        <v>1</v>
      </c>
      <c r="R328" s="30">
        <f t="shared" si="39"/>
        <v>1</v>
      </c>
    </row>
    <row r="329" spans="1:18" x14ac:dyDescent="0.3">
      <c r="A329" s="30">
        <v>100</v>
      </c>
      <c r="B329" s="72">
        <v>2786.0691172535189</v>
      </c>
      <c r="C329" s="30">
        <v>1</v>
      </c>
      <c r="D329" s="72">
        <v>2838.1471936734201</v>
      </c>
      <c r="E329" s="30">
        <v>-1</v>
      </c>
      <c r="G329" s="30">
        <v>100</v>
      </c>
      <c r="H329" s="72">
        <f t="shared" si="37"/>
        <v>2786.0691172535189</v>
      </c>
      <c r="I329" s="30">
        <f t="shared" si="38"/>
        <v>1</v>
      </c>
      <c r="K329" s="30">
        <v>100</v>
      </c>
      <c r="L329" s="72">
        <v>2786.0691172535189</v>
      </c>
      <c r="M329" s="84">
        <v>1</v>
      </c>
      <c r="O329" s="30">
        <v>100</v>
      </c>
      <c r="P329" s="72">
        <v>1547.1473003423962</v>
      </c>
      <c r="Q329" s="84">
        <v>-1</v>
      </c>
      <c r="R329" s="30">
        <f t="shared" si="39"/>
        <v>0</v>
      </c>
    </row>
    <row r="330" spans="1:18" x14ac:dyDescent="0.3">
      <c r="A330" s="30">
        <v>101</v>
      </c>
      <c r="B330" s="72">
        <v>2815.4631319499126</v>
      </c>
      <c r="C330" s="30">
        <v>1</v>
      </c>
      <c r="D330" s="72">
        <v>2856.4919735831809</v>
      </c>
      <c r="E330" s="30">
        <v>-1</v>
      </c>
      <c r="G330" s="30">
        <v>101</v>
      </c>
      <c r="H330" s="72">
        <f t="shared" si="37"/>
        <v>2815.4631319499126</v>
      </c>
      <c r="I330" s="30">
        <f t="shared" si="38"/>
        <v>1</v>
      </c>
      <c r="K330" s="30">
        <v>101</v>
      </c>
      <c r="L330" s="72">
        <v>2815.4631319499126</v>
      </c>
      <c r="M330" s="84">
        <v>1</v>
      </c>
      <c r="O330" s="30">
        <v>101</v>
      </c>
      <c r="P330" s="72">
        <v>1595.2472001590688</v>
      </c>
      <c r="Q330" s="84">
        <v>1</v>
      </c>
      <c r="R330" s="30">
        <f t="shared" si="39"/>
        <v>1</v>
      </c>
    </row>
    <row r="331" spans="1:18" x14ac:dyDescent="0.3">
      <c r="A331" s="30">
        <v>102</v>
      </c>
      <c r="B331" s="72">
        <v>2855.1423734669547</v>
      </c>
      <c r="C331" s="30">
        <v>1</v>
      </c>
      <c r="D331" s="72">
        <v>2882.6702706218284</v>
      </c>
      <c r="E331" s="30">
        <v>-1</v>
      </c>
      <c r="G331" s="30">
        <v>102</v>
      </c>
      <c r="H331" s="72">
        <f t="shared" si="37"/>
        <v>2855.1423734669547</v>
      </c>
      <c r="I331" s="30">
        <f t="shared" si="38"/>
        <v>1</v>
      </c>
      <c r="K331" s="30">
        <v>102</v>
      </c>
      <c r="L331" s="72">
        <v>2855.1423734669547</v>
      </c>
      <c r="M331" s="84">
        <v>1</v>
      </c>
      <c r="O331" s="30">
        <v>102</v>
      </c>
      <c r="P331" s="72">
        <v>1608.4841042270905</v>
      </c>
      <c r="Q331" s="84">
        <v>1</v>
      </c>
      <c r="R331" s="30">
        <f t="shared" si="39"/>
        <v>2</v>
      </c>
    </row>
    <row r="332" spans="1:18" x14ac:dyDescent="0.3">
      <c r="A332" s="30">
        <v>103</v>
      </c>
      <c r="B332" s="72">
        <v>2904.4719667436198</v>
      </c>
      <c r="C332" s="30">
        <v>1</v>
      </c>
      <c r="D332" s="72">
        <v>2936.8054939433373</v>
      </c>
      <c r="E332" s="30">
        <v>-1</v>
      </c>
      <c r="G332" s="30">
        <v>103</v>
      </c>
      <c r="H332" s="72">
        <f t="shared" si="37"/>
        <v>2904.4719667436198</v>
      </c>
      <c r="I332" s="30">
        <f t="shared" si="38"/>
        <v>1</v>
      </c>
      <c r="K332" s="30">
        <v>103</v>
      </c>
      <c r="L332" s="72">
        <v>2904.4719667436198</v>
      </c>
      <c r="M332" s="84">
        <v>1</v>
      </c>
      <c r="O332" s="30">
        <v>103</v>
      </c>
      <c r="P332" s="72">
        <v>1608.8173187368693</v>
      </c>
      <c r="Q332" s="84">
        <v>-1</v>
      </c>
      <c r="R332" s="30">
        <f t="shared" si="39"/>
        <v>1</v>
      </c>
    </row>
    <row r="333" spans="1:18" x14ac:dyDescent="0.3">
      <c r="A333" s="30">
        <v>104</v>
      </c>
      <c r="B333" s="72">
        <v>2939.3420935954482</v>
      </c>
      <c r="C333" s="30">
        <v>1</v>
      </c>
      <c r="D333" s="72">
        <v>2959.6330664237785</v>
      </c>
      <c r="E333" s="30">
        <v>-1</v>
      </c>
      <c r="G333" s="30">
        <v>104</v>
      </c>
      <c r="H333" s="72">
        <f t="shared" si="37"/>
        <v>2939.3420935954482</v>
      </c>
      <c r="I333" s="30">
        <f t="shared" si="38"/>
        <v>1</v>
      </c>
      <c r="K333" s="30">
        <v>104</v>
      </c>
      <c r="L333" s="72">
        <v>2939.3420935954482</v>
      </c>
      <c r="M333" s="84">
        <v>1</v>
      </c>
      <c r="O333" s="30">
        <v>104</v>
      </c>
      <c r="P333" s="72">
        <v>1608.8777927205306</v>
      </c>
      <c r="Q333" s="84">
        <v>1</v>
      </c>
      <c r="R333" s="30">
        <f t="shared" si="39"/>
        <v>2</v>
      </c>
    </row>
    <row r="334" spans="1:18" x14ac:dyDescent="0.3">
      <c r="A334" s="30">
        <v>105</v>
      </c>
      <c r="B334" s="72">
        <v>2944.8642872181094</v>
      </c>
      <c r="C334" s="30">
        <v>1</v>
      </c>
      <c r="D334" s="72">
        <v>2968.432361708502</v>
      </c>
      <c r="E334" s="30">
        <v>-1</v>
      </c>
      <c r="G334" s="30">
        <v>105</v>
      </c>
      <c r="H334" s="72">
        <f t="shared" si="37"/>
        <v>2944.8642872181094</v>
      </c>
      <c r="I334" s="30">
        <f t="shared" si="38"/>
        <v>1</v>
      </c>
      <c r="K334" s="30">
        <v>105</v>
      </c>
      <c r="L334" s="72">
        <v>2944.8642872181094</v>
      </c>
      <c r="M334" s="84">
        <v>1</v>
      </c>
      <c r="O334" s="30">
        <v>105</v>
      </c>
      <c r="P334" s="72">
        <v>1611.7384968743336</v>
      </c>
      <c r="Q334" s="84">
        <v>1</v>
      </c>
      <c r="R334" s="30">
        <f t="shared" si="39"/>
        <v>3</v>
      </c>
    </row>
    <row r="335" spans="1:18" x14ac:dyDescent="0.3">
      <c r="A335" s="30">
        <v>106</v>
      </c>
      <c r="B335" s="72">
        <v>2950.914327956426</v>
      </c>
      <c r="C335" s="30">
        <v>1</v>
      </c>
      <c r="D335" s="72">
        <v>2979.6470068144413</v>
      </c>
      <c r="E335" s="30">
        <v>-1</v>
      </c>
      <c r="G335" s="30">
        <v>106</v>
      </c>
      <c r="H335" s="72">
        <f t="shared" si="37"/>
        <v>2950.914327956426</v>
      </c>
      <c r="I335" s="30">
        <f t="shared" si="38"/>
        <v>1</v>
      </c>
      <c r="K335" s="30">
        <v>106</v>
      </c>
      <c r="L335" s="72">
        <v>2950.914327956426</v>
      </c>
      <c r="M335" s="84">
        <v>1</v>
      </c>
      <c r="O335" s="30">
        <v>106</v>
      </c>
      <c r="P335" s="72">
        <v>1622.9942372597811</v>
      </c>
      <c r="Q335" s="84">
        <v>-1</v>
      </c>
      <c r="R335" s="30">
        <f t="shared" si="39"/>
        <v>2</v>
      </c>
    </row>
    <row r="336" spans="1:18" x14ac:dyDescent="0.3">
      <c r="A336" s="30">
        <v>107</v>
      </c>
      <c r="B336" s="72">
        <v>3107.2550626004008</v>
      </c>
      <c r="C336" s="30">
        <v>1</v>
      </c>
      <c r="D336" s="72">
        <v>3143.756637286378</v>
      </c>
      <c r="E336" s="30">
        <v>-1</v>
      </c>
      <c r="G336" s="30">
        <v>107</v>
      </c>
      <c r="H336" s="72">
        <f t="shared" si="37"/>
        <v>3107.2550626004008</v>
      </c>
      <c r="I336" s="30">
        <f t="shared" si="38"/>
        <v>1</v>
      </c>
      <c r="K336" s="30">
        <v>107</v>
      </c>
      <c r="L336" s="72">
        <v>3107.2550626004008</v>
      </c>
      <c r="M336" s="84">
        <v>1</v>
      </c>
      <c r="O336" s="30">
        <v>107</v>
      </c>
      <c r="P336" s="72">
        <v>1627.3600171772603</v>
      </c>
      <c r="Q336" s="84">
        <v>-1</v>
      </c>
      <c r="R336" s="30">
        <f t="shared" si="39"/>
        <v>1</v>
      </c>
    </row>
    <row r="337" spans="1:18" x14ac:dyDescent="0.3">
      <c r="A337" s="30">
        <v>108</v>
      </c>
      <c r="B337" s="72">
        <v>3132.5661007877584</v>
      </c>
      <c r="C337" s="30">
        <v>1</v>
      </c>
      <c r="D337" s="72">
        <v>3187.3763454695763</v>
      </c>
      <c r="E337" s="30">
        <v>-1</v>
      </c>
      <c r="G337" s="30">
        <v>108</v>
      </c>
      <c r="H337" s="72">
        <f t="shared" si="37"/>
        <v>3132.5661007877584</v>
      </c>
      <c r="I337" s="30">
        <f t="shared" si="38"/>
        <v>1</v>
      </c>
      <c r="K337" s="30">
        <v>108</v>
      </c>
      <c r="L337" s="72">
        <v>3132.5661007877584</v>
      </c>
      <c r="M337" s="84">
        <v>1</v>
      </c>
      <c r="O337" s="30">
        <v>108</v>
      </c>
      <c r="P337" s="72">
        <v>1648.1461552879946</v>
      </c>
      <c r="Q337" s="84">
        <v>-1</v>
      </c>
      <c r="R337" s="30">
        <f t="shared" si="39"/>
        <v>0</v>
      </c>
    </row>
    <row r="338" spans="1:18" x14ac:dyDescent="0.3">
      <c r="A338" s="30">
        <v>109</v>
      </c>
      <c r="B338" s="72">
        <v>3134.7257440865778</v>
      </c>
      <c r="C338" s="30">
        <v>1</v>
      </c>
      <c r="D338" s="72">
        <v>3196.9132112065727</v>
      </c>
      <c r="E338" s="30">
        <v>-1</v>
      </c>
      <c r="G338" s="30">
        <v>109</v>
      </c>
      <c r="H338" s="72">
        <f t="shared" si="37"/>
        <v>3134.7257440865778</v>
      </c>
      <c r="I338" s="30">
        <f t="shared" si="38"/>
        <v>1</v>
      </c>
      <c r="K338" s="30">
        <v>109</v>
      </c>
      <c r="L338" s="72">
        <v>3134.7257440865778</v>
      </c>
      <c r="M338" s="84">
        <v>1</v>
      </c>
      <c r="O338" s="30">
        <v>109</v>
      </c>
      <c r="P338" s="72">
        <v>1664.6571528225745</v>
      </c>
      <c r="Q338" s="84">
        <v>1</v>
      </c>
      <c r="R338" s="30">
        <f t="shared" si="39"/>
        <v>1</v>
      </c>
    </row>
    <row r="339" spans="1:18" x14ac:dyDescent="0.3">
      <c r="A339" s="30">
        <v>110</v>
      </c>
      <c r="B339" s="72">
        <v>3149.7068840906563</v>
      </c>
      <c r="C339" s="30">
        <v>1</v>
      </c>
      <c r="D339" s="72">
        <v>3229.6058240232755</v>
      </c>
      <c r="E339" s="30">
        <v>-1</v>
      </c>
      <c r="G339" s="30">
        <v>110</v>
      </c>
      <c r="H339" s="72">
        <f t="shared" si="37"/>
        <v>3149.7068840906563</v>
      </c>
      <c r="I339" s="30">
        <f t="shared" si="38"/>
        <v>1</v>
      </c>
      <c r="K339" s="30">
        <v>110</v>
      </c>
      <c r="L339" s="72">
        <v>3149.7068840906563</v>
      </c>
      <c r="M339" s="84">
        <v>1</v>
      </c>
      <c r="O339" s="30">
        <v>110</v>
      </c>
      <c r="P339" s="72">
        <v>1670.122231798988</v>
      </c>
      <c r="Q339" s="84">
        <v>-1</v>
      </c>
      <c r="R339" s="30">
        <f t="shared" si="39"/>
        <v>0</v>
      </c>
    </row>
    <row r="340" spans="1:18" x14ac:dyDescent="0.3">
      <c r="A340" s="30">
        <v>111</v>
      </c>
      <c r="B340" s="72">
        <v>3157.3784017561811</v>
      </c>
      <c r="C340" s="30">
        <v>1</v>
      </c>
      <c r="D340" s="72">
        <v>3288.0889176184583</v>
      </c>
      <c r="E340" s="30">
        <v>-1</v>
      </c>
      <c r="G340" s="30">
        <v>111</v>
      </c>
      <c r="H340" s="72">
        <f t="shared" si="37"/>
        <v>3157.3784017561811</v>
      </c>
      <c r="I340" s="30">
        <f t="shared" si="38"/>
        <v>1</v>
      </c>
      <c r="K340" s="30">
        <v>111</v>
      </c>
      <c r="L340" s="72">
        <v>3157.3784017561811</v>
      </c>
      <c r="M340" s="84">
        <v>1</v>
      </c>
      <c r="O340" s="30">
        <v>111</v>
      </c>
      <c r="P340" s="72">
        <v>1717.5066623395503</v>
      </c>
      <c r="Q340" s="84">
        <v>1</v>
      </c>
      <c r="R340" s="30">
        <f t="shared" si="39"/>
        <v>1</v>
      </c>
    </row>
    <row r="341" spans="1:18" x14ac:dyDescent="0.3">
      <c r="A341" s="30">
        <v>112</v>
      </c>
      <c r="B341" s="72">
        <v>3163.7599272942193</v>
      </c>
      <c r="C341" s="30">
        <v>1</v>
      </c>
      <c r="D341" s="72">
        <v>3300.4791338596947</v>
      </c>
      <c r="E341" s="30">
        <v>-1</v>
      </c>
      <c r="G341" s="30">
        <v>112</v>
      </c>
      <c r="H341" s="72">
        <f t="shared" si="37"/>
        <v>3163.7599272942193</v>
      </c>
      <c r="I341" s="30">
        <f t="shared" si="38"/>
        <v>1</v>
      </c>
      <c r="K341" s="30">
        <v>112</v>
      </c>
      <c r="L341" s="72">
        <v>3163.7599272942193</v>
      </c>
      <c r="M341" s="84">
        <v>1</v>
      </c>
      <c r="O341" s="30">
        <v>112</v>
      </c>
      <c r="P341" s="72">
        <v>1733.4584244297266</v>
      </c>
      <c r="Q341" s="84">
        <v>1</v>
      </c>
      <c r="R341" s="30">
        <f t="shared" si="39"/>
        <v>2</v>
      </c>
    </row>
    <row r="342" spans="1:18" x14ac:dyDescent="0.3">
      <c r="A342" s="30">
        <v>113</v>
      </c>
      <c r="B342" s="72">
        <v>3185.8506675857589</v>
      </c>
      <c r="C342" s="30">
        <v>1</v>
      </c>
      <c r="D342" s="72">
        <v>3362.5681507833751</v>
      </c>
      <c r="E342" s="30">
        <v>-1</v>
      </c>
      <c r="G342" s="30">
        <v>113</v>
      </c>
      <c r="H342" s="72">
        <f t="shared" si="37"/>
        <v>3185.8506675857589</v>
      </c>
      <c r="I342" s="30">
        <f t="shared" si="38"/>
        <v>1</v>
      </c>
      <c r="K342" s="30">
        <v>113</v>
      </c>
      <c r="L342" s="72">
        <v>3185.8506675857589</v>
      </c>
      <c r="M342" s="84">
        <v>1</v>
      </c>
      <c r="O342" s="30">
        <v>113</v>
      </c>
      <c r="P342" s="72">
        <v>1745.402750412391</v>
      </c>
      <c r="Q342" s="84">
        <v>1</v>
      </c>
      <c r="R342" s="30">
        <f t="shared" si="39"/>
        <v>3</v>
      </c>
    </row>
    <row r="343" spans="1:18" x14ac:dyDescent="0.3">
      <c r="A343" s="30">
        <v>114</v>
      </c>
      <c r="B343" s="72">
        <v>3187.5861754929379</v>
      </c>
      <c r="C343" s="30">
        <v>1</v>
      </c>
      <c r="D343" s="72">
        <v>3366.8216227097951</v>
      </c>
      <c r="E343" s="30">
        <v>-1</v>
      </c>
      <c r="G343" s="30">
        <v>114</v>
      </c>
      <c r="H343" s="72">
        <f t="shared" si="37"/>
        <v>3187.5861754929379</v>
      </c>
      <c r="I343" s="30">
        <f t="shared" si="38"/>
        <v>1</v>
      </c>
      <c r="K343" s="30">
        <v>114</v>
      </c>
      <c r="L343" s="72">
        <v>3187.5861754929379</v>
      </c>
      <c r="M343" s="84">
        <v>1</v>
      </c>
      <c r="O343" s="30">
        <v>114</v>
      </c>
      <c r="P343" s="72">
        <v>1766.9546968556056</v>
      </c>
      <c r="Q343" s="84">
        <v>1</v>
      </c>
      <c r="R343" s="30">
        <f t="shared" si="39"/>
        <v>4</v>
      </c>
    </row>
    <row r="344" spans="1:18" x14ac:dyDescent="0.3">
      <c r="A344" s="30">
        <v>115</v>
      </c>
      <c r="B344" s="72">
        <v>3333.755528167836</v>
      </c>
      <c r="C344" s="30">
        <v>1</v>
      </c>
      <c r="D344" s="72">
        <v>3409.590912333761</v>
      </c>
      <c r="E344" s="30">
        <v>-1</v>
      </c>
      <c r="G344" s="30">
        <v>115</v>
      </c>
      <c r="H344" s="72">
        <f t="shared" si="37"/>
        <v>3333.755528167836</v>
      </c>
      <c r="I344" s="30">
        <f t="shared" si="38"/>
        <v>1</v>
      </c>
      <c r="K344" s="30">
        <v>115</v>
      </c>
      <c r="L344" s="72">
        <v>3333.755528167836</v>
      </c>
      <c r="M344" s="84">
        <v>1</v>
      </c>
      <c r="O344" s="30">
        <v>115</v>
      </c>
      <c r="P344" s="72">
        <v>1767.5368350999456</v>
      </c>
      <c r="Q344" s="84">
        <v>1</v>
      </c>
      <c r="R344" s="30">
        <f t="shared" si="39"/>
        <v>5</v>
      </c>
    </row>
    <row r="345" spans="1:18" x14ac:dyDescent="0.3">
      <c r="A345" s="30">
        <v>116</v>
      </c>
      <c r="B345" s="72">
        <v>3348.5131786741435</v>
      </c>
      <c r="C345" s="30">
        <v>1</v>
      </c>
      <c r="D345" s="72">
        <v>3425.7759530615326</v>
      </c>
      <c r="E345" s="30">
        <v>-1</v>
      </c>
      <c r="G345" s="30">
        <v>116</v>
      </c>
      <c r="H345" s="72">
        <f t="shared" si="37"/>
        <v>3348.5131786741435</v>
      </c>
      <c r="I345" s="30">
        <f t="shared" si="38"/>
        <v>1</v>
      </c>
      <c r="K345" s="30">
        <v>116</v>
      </c>
      <c r="L345" s="72">
        <v>3348.5131786741435</v>
      </c>
      <c r="M345" s="84">
        <v>1</v>
      </c>
      <c r="O345" s="30">
        <v>116</v>
      </c>
      <c r="P345" s="72">
        <v>1803.0154226890786</v>
      </c>
      <c r="Q345" s="84">
        <v>-1</v>
      </c>
      <c r="R345" s="30">
        <f t="shared" si="39"/>
        <v>4</v>
      </c>
    </row>
    <row r="346" spans="1:18" x14ac:dyDescent="0.3">
      <c r="A346" s="30">
        <v>117</v>
      </c>
      <c r="B346" s="72">
        <v>3390.0213345878947</v>
      </c>
      <c r="C346" s="30">
        <v>1</v>
      </c>
      <c r="D346" s="72">
        <v>3457.8120055866148</v>
      </c>
      <c r="E346" s="30">
        <v>-1</v>
      </c>
      <c r="G346" s="30">
        <v>117</v>
      </c>
      <c r="H346" s="72">
        <f t="shared" si="37"/>
        <v>3390.0213345878947</v>
      </c>
      <c r="I346" s="30">
        <f t="shared" si="38"/>
        <v>1</v>
      </c>
      <c r="K346" s="30">
        <v>117</v>
      </c>
      <c r="L346" s="72">
        <v>3390.0213345878947</v>
      </c>
      <c r="M346" s="84">
        <v>1</v>
      </c>
      <c r="O346" s="30">
        <v>117</v>
      </c>
      <c r="P346" s="72">
        <v>1817.4527384863891</v>
      </c>
      <c r="Q346" s="84">
        <v>-1</v>
      </c>
      <c r="R346" s="30">
        <f t="shared" si="39"/>
        <v>3</v>
      </c>
    </row>
    <row r="347" spans="1:18" x14ac:dyDescent="0.3">
      <c r="A347" s="30">
        <v>118</v>
      </c>
      <c r="B347" s="72">
        <v>3416.9145614272447</v>
      </c>
      <c r="C347" s="30">
        <v>1</v>
      </c>
      <c r="D347" s="72">
        <v>3476.0759985977302</v>
      </c>
      <c r="E347" s="30">
        <v>-1</v>
      </c>
      <c r="G347" s="30">
        <v>118</v>
      </c>
      <c r="H347" s="72">
        <f t="shared" si="37"/>
        <v>3416.9145614272447</v>
      </c>
      <c r="I347" s="30">
        <f t="shared" si="38"/>
        <v>1</v>
      </c>
      <c r="K347" s="30">
        <v>118</v>
      </c>
      <c r="L347" s="72">
        <v>3416.9145614272447</v>
      </c>
      <c r="M347" s="84">
        <v>1</v>
      </c>
      <c r="O347" s="30">
        <v>118</v>
      </c>
      <c r="P347" s="72">
        <v>1818.8338715267314</v>
      </c>
      <c r="Q347" s="84">
        <v>-1</v>
      </c>
      <c r="R347" s="30">
        <f t="shared" si="39"/>
        <v>2</v>
      </c>
    </row>
    <row r="348" spans="1:18" x14ac:dyDescent="0.3">
      <c r="A348" s="30">
        <v>119</v>
      </c>
      <c r="B348" s="72">
        <v>3442.5143654743929</v>
      </c>
      <c r="C348" s="30">
        <v>1</v>
      </c>
      <c r="D348" s="72">
        <v>3606.8627868838507</v>
      </c>
      <c r="E348" s="30">
        <v>-1</v>
      </c>
      <c r="G348" s="30">
        <v>119</v>
      </c>
      <c r="H348" s="72">
        <f t="shared" si="37"/>
        <v>3442.5143654743929</v>
      </c>
      <c r="I348" s="30">
        <f t="shared" si="38"/>
        <v>1</v>
      </c>
      <c r="K348" s="30">
        <v>119</v>
      </c>
      <c r="L348" s="72">
        <v>3442.5143654743929</v>
      </c>
      <c r="M348" s="84">
        <v>1</v>
      </c>
      <c r="O348" s="30">
        <v>119</v>
      </c>
      <c r="P348" s="72">
        <v>1826.8933450197273</v>
      </c>
      <c r="Q348" s="84">
        <v>-1</v>
      </c>
      <c r="R348" s="30">
        <f t="shared" si="39"/>
        <v>1</v>
      </c>
    </row>
    <row r="349" spans="1:18" x14ac:dyDescent="0.3">
      <c r="A349" s="30">
        <v>120</v>
      </c>
      <c r="B349" s="72">
        <v>3443.3214188210432</v>
      </c>
      <c r="C349" s="30">
        <v>1</v>
      </c>
      <c r="D349" s="72">
        <v>3631.9423382140499</v>
      </c>
      <c r="E349" s="30">
        <v>-1</v>
      </c>
      <c r="G349" s="30">
        <v>120</v>
      </c>
      <c r="H349" s="72">
        <f t="shared" si="37"/>
        <v>3443.3214188210432</v>
      </c>
      <c r="I349" s="30">
        <f t="shared" si="38"/>
        <v>1</v>
      </c>
      <c r="K349" s="30">
        <v>120</v>
      </c>
      <c r="L349" s="72">
        <v>3443.3214188210432</v>
      </c>
      <c r="M349" s="84">
        <v>1</v>
      </c>
      <c r="O349" s="30">
        <v>120</v>
      </c>
      <c r="P349" s="72">
        <v>1829.7343065066782</v>
      </c>
      <c r="Q349" s="84">
        <v>-1</v>
      </c>
      <c r="R349" s="30">
        <f t="shared" si="39"/>
        <v>0</v>
      </c>
    </row>
    <row r="350" spans="1:18" x14ac:dyDescent="0.3">
      <c r="A350" s="30">
        <v>121</v>
      </c>
      <c r="B350" s="72">
        <v>3465.6204856791951</v>
      </c>
      <c r="C350" s="30">
        <v>1</v>
      </c>
      <c r="D350" s="72">
        <v>3650.7055501940758</v>
      </c>
      <c r="E350" s="30">
        <v>-1</v>
      </c>
      <c r="G350" s="30">
        <v>121</v>
      </c>
      <c r="H350" s="72">
        <f t="shared" si="37"/>
        <v>3465.6204856791951</v>
      </c>
      <c r="I350" s="30">
        <f t="shared" si="38"/>
        <v>1</v>
      </c>
      <c r="K350" s="30">
        <v>121</v>
      </c>
      <c r="L350" s="72">
        <v>3465.6204856791951</v>
      </c>
      <c r="M350" s="84">
        <v>1</v>
      </c>
      <c r="O350" s="30">
        <v>121</v>
      </c>
      <c r="P350" s="72">
        <v>1844.0721502042513</v>
      </c>
      <c r="Q350" s="84">
        <v>1</v>
      </c>
      <c r="R350" s="30">
        <f t="shared" si="39"/>
        <v>1</v>
      </c>
    </row>
    <row r="351" spans="1:18" x14ac:dyDescent="0.3">
      <c r="A351" s="30">
        <v>122</v>
      </c>
      <c r="B351" s="72">
        <v>3476.9197315741139</v>
      </c>
      <c r="C351" s="30">
        <v>1</v>
      </c>
      <c r="D351" s="72">
        <v>3662.3376606456281</v>
      </c>
      <c r="E351" s="30">
        <v>-1</v>
      </c>
      <c r="G351" s="30">
        <v>122</v>
      </c>
      <c r="H351" s="72">
        <f t="shared" si="37"/>
        <v>3476.9197315741139</v>
      </c>
      <c r="I351" s="30">
        <f t="shared" si="38"/>
        <v>1</v>
      </c>
      <c r="K351" s="30">
        <v>122</v>
      </c>
      <c r="L351" s="72">
        <v>3476.9197315741139</v>
      </c>
      <c r="M351" s="84">
        <v>1</v>
      </c>
      <c r="O351" s="30">
        <v>122</v>
      </c>
      <c r="P351" s="72">
        <v>1847.9681665407079</v>
      </c>
      <c r="Q351" s="84">
        <v>1</v>
      </c>
      <c r="R351" s="30">
        <f t="shared" si="39"/>
        <v>2</v>
      </c>
    </row>
    <row r="352" spans="1:18" x14ac:dyDescent="0.3">
      <c r="A352" s="30">
        <v>123</v>
      </c>
      <c r="B352" s="72">
        <v>3513.3906721665749</v>
      </c>
      <c r="C352" s="30">
        <v>1</v>
      </c>
      <c r="D352" s="72">
        <v>3699.8229005893136</v>
      </c>
      <c r="E352" s="30">
        <v>-1</v>
      </c>
      <c r="G352" s="30">
        <v>123</v>
      </c>
      <c r="H352" s="72">
        <f t="shared" si="37"/>
        <v>3513.3906721665749</v>
      </c>
      <c r="I352" s="30">
        <f t="shared" si="38"/>
        <v>1</v>
      </c>
      <c r="K352" s="30">
        <v>123</v>
      </c>
      <c r="L352" s="72">
        <v>3513.3906721665749</v>
      </c>
      <c r="M352" s="84">
        <v>1</v>
      </c>
      <c r="O352" s="30">
        <v>123</v>
      </c>
      <c r="P352" s="72">
        <v>1849.7319263341344</v>
      </c>
      <c r="Q352" s="84">
        <v>1</v>
      </c>
      <c r="R352" s="30">
        <f t="shared" si="39"/>
        <v>3</v>
      </c>
    </row>
    <row r="353" spans="1:18" x14ac:dyDescent="0.3">
      <c r="A353" s="30">
        <v>124</v>
      </c>
      <c r="B353" s="72">
        <v>3552.0023354963369</v>
      </c>
      <c r="C353" s="30">
        <v>1</v>
      </c>
      <c r="D353" s="72">
        <v>3709.7192122429078</v>
      </c>
      <c r="E353" s="30">
        <v>-1</v>
      </c>
      <c r="G353" s="30">
        <v>124</v>
      </c>
      <c r="H353" s="72">
        <f t="shared" si="37"/>
        <v>3552.0023354963369</v>
      </c>
      <c r="I353" s="30">
        <f t="shared" si="38"/>
        <v>1</v>
      </c>
      <c r="K353" s="30">
        <v>124</v>
      </c>
      <c r="L353" s="72">
        <v>3552.0023354963369</v>
      </c>
      <c r="M353" s="84">
        <v>1</v>
      </c>
      <c r="O353" s="30">
        <v>124</v>
      </c>
      <c r="P353" s="72">
        <v>1852.0620553466765</v>
      </c>
      <c r="Q353" s="84">
        <v>1</v>
      </c>
      <c r="R353" s="30">
        <f t="shared" si="39"/>
        <v>4</v>
      </c>
    </row>
    <row r="354" spans="1:18" x14ac:dyDescent="0.3">
      <c r="A354" s="30">
        <v>125</v>
      </c>
      <c r="B354" s="72">
        <v>3553.9812171205563</v>
      </c>
      <c r="C354" s="30">
        <v>1</v>
      </c>
      <c r="D354" s="72">
        <v>3786.6170757929713</v>
      </c>
      <c r="E354" s="30">
        <v>-1</v>
      </c>
      <c r="G354" s="30">
        <v>125</v>
      </c>
      <c r="H354" s="72">
        <f t="shared" si="37"/>
        <v>3553.9812171205563</v>
      </c>
      <c r="I354" s="30">
        <f t="shared" si="38"/>
        <v>1</v>
      </c>
      <c r="K354" s="30">
        <v>125</v>
      </c>
      <c r="L354" s="72">
        <v>3553.9812171205563</v>
      </c>
      <c r="M354" s="84">
        <v>1</v>
      </c>
      <c r="O354" s="30">
        <v>125</v>
      </c>
      <c r="P354" s="72">
        <v>1869.3514595567847</v>
      </c>
      <c r="Q354" s="84">
        <v>-1</v>
      </c>
      <c r="R354" s="30">
        <f t="shared" si="39"/>
        <v>3</v>
      </c>
    </row>
    <row r="355" spans="1:18" x14ac:dyDescent="0.3">
      <c r="A355" s="30">
        <v>126</v>
      </c>
      <c r="B355" s="72">
        <v>3562.1296952472376</v>
      </c>
      <c r="C355" s="30">
        <v>1</v>
      </c>
      <c r="D355" s="72">
        <v>3802.253531861556</v>
      </c>
      <c r="E355" s="30">
        <v>-1</v>
      </c>
      <c r="G355" s="30">
        <v>126</v>
      </c>
      <c r="H355" s="72">
        <f t="shared" si="37"/>
        <v>3562.1296952472376</v>
      </c>
      <c r="I355" s="30">
        <f t="shared" si="38"/>
        <v>1</v>
      </c>
      <c r="K355" s="30">
        <v>126</v>
      </c>
      <c r="L355" s="72">
        <v>3562.1296952472376</v>
      </c>
      <c r="M355" s="84">
        <v>1</v>
      </c>
      <c r="O355" s="30">
        <v>126</v>
      </c>
      <c r="P355" s="72">
        <v>1880.2653049444159</v>
      </c>
      <c r="Q355" s="84">
        <v>-1</v>
      </c>
      <c r="R355" s="30">
        <f t="shared" si="39"/>
        <v>2</v>
      </c>
    </row>
    <row r="356" spans="1:18" x14ac:dyDescent="0.3">
      <c r="A356" s="30">
        <v>127</v>
      </c>
      <c r="B356" s="72">
        <v>3567.6048786316305</v>
      </c>
      <c r="C356" s="30">
        <v>1</v>
      </c>
      <c r="D356" s="72">
        <v>3802.9060210302578</v>
      </c>
      <c r="E356" s="30">
        <v>-1</v>
      </c>
      <c r="G356" s="30">
        <v>127</v>
      </c>
      <c r="H356" s="72">
        <f t="shared" si="37"/>
        <v>3567.6048786316305</v>
      </c>
      <c r="I356" s="30">
        <f t="shared" si="38"/>
        <v>1</v>
      </c>
      <c r="K356" s="30">
        <v>127</v>
      </c>
      <c r="L356" s="72">
        <v>3567.6048786316305</v>
      </c>
      <c r="M356" s="84">
        <v>1</v>
      </c>
      <c r="O356" s="30">
        <v>127</v>
      </c>
      <c r="P356" s="72">
        <v>1886.0702574027086</v>
      </c>
      <c r="Q356" s="84">
        <v>-1</v>
      </c>
      <c r="R356" s="30">
        <f t="shared" si="39"/>
        <v>1</v>
      </c>
    </row>
    <row r="357" spans="1:18" x14ac:dyDescent="0.3">
      <c r="A357" s="30">
        <v>128</v>
      </c>
      <c r="B357" s="72">
        <v>3573.2611084347709</v>
      </c>
      <c r="C357" s="30">
        <v>1</v>
      </c>
      <c r="D357" s="72">
        <v>3858.0729602128695</v>
      </c>
      <c r="E357" s="30">
        <v>-1</v>
      </c>
      <c r="G357" s="30">
        <v>128</v>
      </c>
      <c r="H357" s="72">
        <f t="shared" si="37"/>
        <v>3573.2611084347709</v>
      </c>
      <c r="I357" s="30">
        <f t="shared" si="38"/>
        <v>1</v>
      </c>
      <c r="K357" s="30">
        <v>128</v>
      </c>
      <c r="L357" s="72">
        <v>3573.2611084347709</v>
      </c>
      <c r="M357" s="84">
        <v>1</v>
      </c>
      <c r="O357" s="30">
        <v>128</v>
      </c>
      <c r="P357" s="72">
        <v>1929.7039443388005</v>
      </c>
      <c r="Q357" s="84">
        <v>1</v>
      </c>
      <c r="R357" s="30">
        <f t="shared" si="39"/>
        <v>2</v>
      </c>
    </row>
    <row r="358" spans="1:18" x14ac:dyDescent="0.3">
      <c r="A358" s="30">
        <v>129</v>
      </c>
      <c r="B358" s="72">
        <v>3578.6990445986494</v>
      </c>
      <c r="C358" s="30">
        <v>1</v>
      </c>
      <c r="D358" s="72">
        <v>3861.0298591678361</v>
      </c>
      <c r="E358" s="30">
        <v>-1</v>
      </c>
      <c r="G358" s="30">
        <v>129</v>
      </c>
      <c r="H358" s="72">
        <f t="shared" si="37"/>
        <v>3578.6990445986494</v>
      </c>
      <c r="I358" s="30">
        <f t="shared" si="38"/>
        <v>1</v>
      </c>
      <c r="K358" s="30">
        <v>129</v>
      </c>
      <c r="L358" s="72">
        <v>3578.6990445986494</v>
      </c>
      <c r="M358" s="84">
        <v>1</v>
      </c>
      <c r="O358" s="30">
        <v>129</v>
      </c>
      <c r="P358" s="72">
        <v>1935.8001554120654</v>
      </c>
      <c r="Q358" s="84">
        <v>-1</v>
      </c>
      <c r="R358" s="30">
        <f t="shared" si="39"/>
        <v>1</v>
      </c>
    </row>
    <row r="359" spans="1:18" x14ac:dyDescent="0.3">
      <c r="A359" s="30">
        <v>130</v>
      </c>
      <c r="B359" s="72">
        <v>3680.4303067330479</v>
      </c>
      <c r="C359" s="30">
        <v>1</v>
      </c>
      <c r="D359" s="72">
        <v>3891.1296980517945</v>
      </c>
      <c r="E359" s="30">
        <v>-1</v>
      </c>
      <c r="G359" s="30">
        <v>130</v>
      </c>
      <c r="H359" s="72">
        <f t="shared" ref="H359:H422" si="40">B359</f>
        <v>3680.4303067330479</v>
      </c>
      <c r="I359" s="30">
        <f t="shared" ref="I359:I422" si="41">C359</f>
        <v>1</v>
      </c>
      <c r="K359" s="30">
        <v>130</v>
      </c>
      <c r="L359" s="72">
        <v>3680.4303067330479</v>
      </c>
      <c r="M359" s="84">
        <v>1</v>
      </c>
      <c r="O359" s="30">
        <v>130</v>
      </c>
      <c r="P359" s="72">
        <v>1941.1517568533197</v>
      </c>
      <c r="Q359" s="84">
        <v>-1</v>
      </c>
      <c r="R359" s="30">
        <f t="shared" si="39"/>
        <v>0</v>
      </c>
    </row>
    <row r="360" spans="1:18" x14ac:dyDescent="0.3">
      <c r="A360" s="30">
        <v>131</v>
      </c>
      <c r="B360" s="72">
        <v>3741.6527581572445</v>
      </c>
      <c r="C360" s="30">
        <v>1</v>
      </c>
      <c r="D360" s="72">
        <v>3900.7121074476418</v>
      </c>
      <c r="E360" s="30">
        <v>-1</v>
      </c>
      <c r="G360" s="30">
        <v>131</v>
      </c>
      <c r="H360" s="72">
        <f t="shared" si="40"/>
        <v>3741.6527581572445</v>
      </c>
      <c r="I360" s="30">
        <f t="shared" si="41"/>
        <v>1</v>
      </c>
      <c r="K360" s="30">
        <v>131</v>
      </c>
      <c r="L360" s="72">
        <v>3741.6527581572445</v>
      </c>
      <c r="M360" s="84">
        <v>1</v>
      </c>
      <c r="O360" s="30">
        <v>131</v>
      </c>
      <c r="P360" s="72">
        <v>1950.893805731981</v>
      </c>
      <c r="Q360" s="84">
        <v>1</v>
      </c>
      <c r="R360" s="30">
        <f t="shared" ref="R360:R423" si="42">R359+Q360</f>
        <v>1</v>
      </c>
    </row>
    <row r="361" spans="1:18" x14ac:dyDescent="0.3">
      <c r="A361" s="30">
        <v>132</v>
      </c>
      <c r="B361" s="72">
        <v>3751.7062623196302</v>
      </c>
      <c r="C361" s="30">
        <v>1</v>
      </c>
      <c r="D361" s="72">
        <v>3913.0248191746941</v>
      </c>
      <c r="E361" s="30">
        <v>-1</v>
      </c>
      <c r="G361" s="30">
        <v>132</v>
      </c>
      <c r="H361" s="72">
        <f t="shared" si="40"/>
        <v>3751.7062623196302</v>
      </c>
      <c r="I361" s="30">
        <f t="shared" si="41"/>
        <v>1</v>
      </c>
      <c r="K361" s="30">
        <v>132</v>
      </c>
      <c r="L361" s="72">
        <v>3751.7062623196302</v>
      </c>
      <c r="M361" s="84">
        <v>1</v>
      </c>
      <c r="O361" s="30">
        <v>132</v>
      </c>
      <c r="P361" s="72">
        <v>1978.9809873798899</v>
      </c>
      <c r="Q361" s="84">
        <v>1</v>
      </c>
      <c r="R361" s="30">
        <f t="shared" si="42"/>
        <v>2</v>
      </c>
    </row>
    <row r="362" spans="1:18" x14ac:dyDescent="0.3">
      <c r="A362" s="30">
        <v>133</v>
      </c>
      <c r="B362" s="72">
        <v>3787.1090923288943</v>
      </c>
      <c r="C362" s="30">
        <v>1</v>
      </c>
      <c r="D362" s="72">
        <v>3937.1264597228301</v>
      </c>
      <c r="E362" s="30">
        <v>-1</v>
      </c>
      <c r="G362" s="30">
        <v>133</v>
      </c>
      <c r="H362" s="72">
        <f t="shared" si="40"/>
        <v>3787.1090923288943</v>
      </c>
      <c r="I362" s="30">
        <f t="shared" si="41"/>
        <v>1</v>
      </c>
      <c r="K362" s="30">
        <v>133</v>
      </c>
      <c r="L362" s="72">
        <v>3787.1090923288943</v>
      </c>
      <c r="M362" s="84">
        <v>1</v>
      </c>
      <c r="O362" s="30">
        <v>133</v>
      </c>
      <c r="P362" s="72">
        <v>1990.872784353428</v>
      </c>
      <c r="Q362" s="84">
        <v>-1</v>
      </c>
      <c r="R362" s="30">
        <f t="shared" si="42"/>
        <v>1</v>
      </c>
    </row>
    <row r="363" spans="1:18" x14ac:dyDescent="0.3">
      <c r="A363" s="30">
        <v>134</v>
      </c>
      <c r="B363" s="72">
        <v>3806.0099259732765</v>
      </c>
      <c r="C363" s="30">
        <v>1</v>
      </c>
      <c r="D363" s="72">
        <v>3946.3362378703268</v>
      </c>
      <c r="E363" s="30">
        <v>-1</v>
      </c>
      <c r="G363" s="30">
        <v>134</v>
      </c>
      <c r="H363" s="72">
        <f t="shared" si="40"/>
        <v>3806.0099259732765</v>
      </c>
      <c r="I363" s="30">
        <f t="shared" si="41"/>
        <v>1</v>
      </c>
      <c r="K363" s="30">
        <v>134</v>
      </c>
      <c r="L363" s="72">
        <v>3806.0099259732765</v>
      </c>
      <c r="M363" s="84">
        <v>1</v>
      </c>
      <c r="O363" s="30">
        <v>134</v>
      </c>
      <c r="P363" s="72">
        <v>2019.5077421202907</v>
      </c>
      <c r="Q363" s="84">
        <v>1</v>
      </c>
      <c r="R363" s="30">
        <f t="shared" si="42"/>
        <v>2</v>
      </c>
    </row>
    <row r="364" spans="1:18" x14ac:dyDescent="0.3">
      <c r="A364" s="30">
        <v>135</v>
      </c>
      <c r="B364" s="72">
        <v>3816.7730850994049</v>
      </c>
      <c r="C364" s="30">
        <v>1</v>
      </c>
      <c r="D364" s="72">
        <v>3968.3495652647425</v>
      </c>
      <c r="E364" s="30">
        <v>-1</v>
      </c>
      <c r="G364" s="30">
        <v>135</v>
      </c>
      <c r="H364" s="72">
        <f t="shared" si="40"/>
        <v>3816.7730850994049</v>
      </c>
      <c r="I364" s="30">
        <f t="shared" si="41"/>
        <v>1</v>
      </c>
      <c r="K364" s="30">
        <v>135</v>
      </c>
      <c r="L364" s="72">
        <v>3816.7730850994049</v>
      </c>
      <c r="M364" s="84">
        <v>1</v>
      </c>
      <c r="O364" s="30">
        <v>135</v>
      </c>
      <c r="P364" s="72">
        <v>2065.5173812140438</v>
      </c>
      <c r="Q364" s="84">
        <v>-1</v>
      </c>
      <c r="R364" s="30">
        <f t="shared" si="42"/>
        <v>1</v>
      </c>
    </row>
    <row r="365" spans="1:18" x14ac:dyDescent="0.3">
      <c r="A365" s="30">
        <v>136</v>
      </c>
      <c r="B365" s="72">
        <v>3823.5837098554193</v>
      </c>
      <c r="C365" s="30">
        <v>1</v>
      </c>
      <c r="D365" s="72">
        <v>3979.7166427529132</v>
      </c>
      <c r="E365" s="30">
        <v>-1</v>
      </c>
      <c r="G365" s="30">
        <v>136</v>
      </c>
      <c r="H365" s="72">
        <f t="shared" si="40"/>
        <v>3823.5837098554193</v>
      </c>
      <c r="I365" s="30">
        <f t="shared" si="41"/>
        <v>1</v>
      </c>
      <c r="K365" s="30">
        <v>136</v>
      </c>
      <c r="L365" s="72">
        <v>3823.5837098554193</v>
      </c>
      <c r="M365" s="84">
        <v>1</v>
      </c>
      <c r="O365" s="30">
        <v>136</v>
      </c>
      <c r="P365" s="72">
        <v>2073.1998340275591</v>
      </c>
      <c r="Q365" s="84">
        <v>-1</v>
      </c>
      <c r="R365" s="30">
        <f t="shared" si="42"/>
        <v>0</v>
      </c>
    </row>
    <row r="366" spans="1:18" x14ac:dyDescent="0.3">
      <c r="A366" s="30">
        <v>137</v>
      </c>
      <c r="B366" s="72">
        <v>3846.1086261176138</v>
      </c>
      <c r="C366" s="30">
        <v>1</v>
      </c>
      <c r="D366" s="72">
        <v>3994.4464136809665</v>
      </c>
      <c r="E366" s="30">
        <v>-1</v>
      </c>
      <c r="G366" s="30">
        <v>137</v>
      </c>
      <c r="H366" s="72">
        <f t="shared" si="40"/>
        <v>3846.1086261176138</v>
      </c>
      <c r="I366" s="30">
        <f t="shared" si="41"/>
        <v>1</v>
      </c>
      <c r="K366" s="30">
        <v>137</v>
      </c>
      <c r="L366" s="72">
        <v>3846.1086261176138</v>
      </c>
      <c r="M366" s="84">
        <v>1</v>
      </c>
      <c r="O366" s="30">
        <v>137</v>
      </c>
      <c r="P366" s="72">
        <v>2096.3778988400104</v>
      </c>
      <c r="Q366" s="84">
        <v>1</v>
      </c>
      <c r="R366" s="30">
        <f t="shared" si="42"/>
        <v>1</v>
      </c>
    </row>
    <row r="367" spans="1:18" x14ac:dyDescent="0.3">
      <c r="A367" s="30">
        <v>138</v>
      </c>
      <c r="B367" s="72">
        <v>3849.3766325537927</v>
      </c>
      <c r="C367" s="30">
        <v>1</v>
      </c>
      <c r="D367" s="72">
        <v>3996.5511096038781</v>
      </c>
      <c r="E367" s="30">
        <v>-1</v>
      </c>
      <c r="G367" s="30">
        <v>138</v>
      </c>
      <c r="H367" s="72">
        <f t="shared" si="40"/>
        <v>3849.3766325537927</v>
      </c>
      <c r="I367" s="30">
        <f t="shared" si="41"/>
        <v>1</v>
      </c>
      <c r="K367" s="30">
        <v>138</v>
      </c>
      <c r="L367" s="72">
        <v>3849.3766325537927</v>
      </c>
      <c r="M367" s="84">
        <v>1</v>
      </c>
      <c r="O367" s="30">
        <v>138</v>
      </c>
      <c r="P367" s="72">
        <v>2098.1362048442434</v>
      </c>
      <c r="Q367" s="84">
        <v>1</v>
      </c>
      <c r="R367" s="30">
        <f t="shared" si="42"/>
        <v>2</v>
      </c>
    </row>
    <row r="368" spans="1:18" x14ac:dyDescent="0.3">
      <c r="A368" s="30">
        <v>139</v>
      </c>
      <c r="B368" s="72">
        <v>3853.9748805804397</v>
      </c>
      <c r="C368" s="30">
        <v>1</v>
      </c>
      <c r="D368" s="72">
        <v>3998.5827092809909</v>
      </c>
      <c r="E368" s="30">
        <v>-1</v>
      </c>
      <c r="G368" s="30">
        <v>139</v>
      </c>
      <c r="H368" s="72">
        <f t="shared" si="40"/>
        <v>3853.9748805804397</v>
      </c>
      <c r="I368" s="30">
        <f t="shared" si="41"/>
        <v>1</v>
      </c>
      <c r="K368" s="30">
        <v>139</v>
      </c>
      <c r="L368" s="72">
        <v>3853.9748805804397</v>
      </c>
      <c r="M368" s="84">
        <v>1</v>
      </c>
      <c r="O368" s="30">
        <v>139</v>
      </c>
      <c r="P368" s="72">
        <v>2099.5524461370883</v>
      </c>
      <c r="Q368" s="84">
        <v>1</v>
      </c>
      <c r="R368" s="30">
        <f t="shared" si="42"/>
        <v>3</v>
      </c>
    </row>
    <row r="369" spans="1:18" x14ac:dyDescent="0.3">
      <c r="A369" s="30">
        <v>140</v>
      </c>
      <c r="B369" s="72">
        <v>3868.1822820557836</v>
      </c>
      <c r="C369" s="30">
        <v>1</v>
      </c>
      <c r="D369" s="72">
        <v>4008.9763135338148</v>
      </c>
      <c r="E369" s="30">
        <v>-1</v>
      </c>
      <c r="G369" s="30">
        <v>140</v>
      </c>
      <c r="H369" s="72">
        <f t="shared" si="40"/>
        <v>3868.1822820557836</v>
      </c>
      <c r="I369" s="30">
        <f t="shared" si="41"/>
        <v>1</v>
      </c>
      <c r="K369" s="30">
        <v>140</v>
      </c>
      <c r="L369" s="72">
        <v>3868.1822820557836</v>
      </c>
      <c r="M369" s="84">
        <v>1</v>
      </c>
      <c r="O369" s="30">
        <v>140</v>
      </c>
      <c r="P369" s="72">
        <v>2116.1682454200773</v>
      </c>
      <c r="Q369" s="84">
        <v>-1</v>
      </c>
      <c r="R369" s="30">
        <f t="shared" si="42"/>
        <v>2</v>
      </c>
    </row>
    <row r="370" spans="1:18" x14ac:dyDescent="0.3">
      <c r="A370" s="30">
        <v>141</v>
      </c>
      <c r="B370" s="72">
        <v>3904.7541960301996</v>
      </c>
      <c r="C370" s="30">
        <v>1</v>
      </c>
      <c r="D370" s="72">
        <v>4043.0619006963293</v>
      </c>
      <c r="E370" s="30">
        <v>-1</v>
      </c>
      <c r="G370" s="30">
        <v>141</v>
      </c>
      <c r="H370" s="72">
        <f t="shared" si="40"/>
        <v>3904.7541960301996</v>
      </c>
      <c r="I370" s="30">
        <f t="shared" si="41"/>
        <v>1</v>
      </c>
      <c r="K370" s="30">
        <v>141</v>
      </c>
      <c r="L370" s="72">
        <v>3904.7541960301996</v>
      </c>
      <c r="M370" s="84">
        <v>1</v>
      </c>
      <c r="O370" s="30">
        <v>141</v>
      </c>
      <c r="P370" s="72">
        <v>2122.2703754689769</v>
      </c>
      <c r="Q370" s="84">
        <v>-1</v>
      </c>
      <c r="R370" s="30">
        <f t="shared" si="42"/>
        <v>1</v>
      </c>
    </row>
    <row r="371" spans="1:18" x14ac:dyDescent="0.3">
      <c r="A371" s="30">
        <v>142</v>
      </c>
      <c r="B371" s="72">
        <v>3911.5692917503598</v>
      </c>
      <c r="C371" s="30">
        <v>1</v>
      </c>
      <c r="D371" s="72">
        <v>4055.0861827167646</v>
      </c>
      <c r="E371" s="30">
        <v>-1</v>
      </c>
      <c r="G371" s="30">
        <v>142</v>
      </c>
      <c r="H371" s="72">
        <f t="shared" si="40"/>
        <v>3911.5692917503598</v>
      </c>
      <c r="I371" s="30">
        <f t="shared" si="41"/>
        <v>1</v>
      </c>
      <c r="K371" s="30">
        <v>142</v>
      </c>
      <c r="L371" s="72">
        <v>3911.5692917503598</v>
      </c>
      <c r="M371" s="84">
        <v>1</v>
      </c>
      <c r="O371" s="30">
        <v>142</v>
      </c>
      <c r="P371" s="72">
        <v>2123.9278086307468</v>
      </c>
      <c r="Q371" s="84">
        <v>-1</v>
      </c>
      <c r="R371" s="30">
        <f t="shared" si="42"/>
        <v>0</v>
      </c>
    </row>
    <row r="372" spans="1:18" x14ac:dyDescent="0.3">
      <c r="A372" s="30">
        <v>143</v>
      </c>
      <c r="B372" s="72">
        <v>3955.5861808325153</v>
      </c>
      <c r="C372" s="30">
        <v>1</v>
      </c>
      <c r="D372" s="72">
        <v>4144.516634550765</v>
      </c>
      <c r="E372" s="30">
        <v>-1</v>
      </c>
      <c r="G372" s="30">
        <v>143</v>
      </c>
      <c r="H372" s="72">
        <f t="shared" si="40"/>
        <v>3955.5861808325153</v>
      </c>
      <c r="I372" s="30">
        <f t="shared" si="41"/>
        <v>1</v>
      </c>
      <c r="K372" s="30">
        <v>143</v>
      </c>
      <c r="L372" s="72">
        <v>3955.5861808325153</v>
      </c>
      <c r="M372" s="84">
        <v>1</v>
      </c>
      <c r="O372" s="30">
        <v>143</v>
      </c>
      <c r="P372" s="72">
        <v>2138.152824380219</v>
      </c>
      <c r="Q372" s="84">
        <v>1</v>
      </c>
      <c r="R372" s="30">
        <f t="shared" si="42"/>
        <v>1</v>
      </c>
    </row>
    <row r="373" spans="1:18" x14ac:dyDescent="0.3">
      <c r="A373" s="30">
        <v>144</v>
      </c>
      <c r="B373" s="72">
        <v>3959.6466204701183</v>
      </c>
      <c r="C373" s="30">
        <v>1</v>
      </c>
      <c r="D373" s="72">
        <v>4182.7358838767886</v>
      </c>
      <c r="E373" s="30">
        <v>-1</v>
      </c>
      <c r="G373" s="30">
        <v>144</v>
      </c>
      <c r="H373" s="72">
        <f t="shared" si="40"/>
        <v>3959.6466204701183</v>
      </c>
      <c r="I373" s="30">
        <f t="shared" si="41"/>
        <v>1</v>
      </c>
      <c r="K373" s="30">
        <v>144</v>
      </c>
      <c r="L373" s="72">
        <v>3959.6466204701183</v>
      </c>
      <c r="M373" s="84">
        <v>1</v>
      </c>
      <c r="O373" s="30">
        <v>144</v>
      </c>
      <c r="P373" s="72">
        <v>2140.3408264860905</v>
      </c>
      <c r="Q373" s="84">
        <v>1</v>
      </c>
      <c r="R373" s="30">
        <f t="shared" si="42"/>
        <v>2</v>
      </c>
    </row>
    <row r="374" spans="1:18" x14ac:dyDescent="0.3">
      <c r="A374" s="30">
        <v>145</v>
      </c>
      <c r="B374" s="72">
        <v>3959.9446217665545</v>
      </c>
      <c r="C374" s="30">
        <v>1</v>
      </c>
      <c r="D374" s="72">
        <v>4218.1421032803855</v>
      </c>
      <c r="E374" s="30">
        <v>-1</v>
      </c>
      <c r="G374" s="30">
        <v>145</v>
      </c>
      <c r="H374" s="72">
        <f t="shared" si="40"/>
        <v>3959.9446217665545</v>
      </c>
      <c r="I374" s="30">
        <f t="shared" si="41"/>
        <v>1</v>
      </c>
      <c r="K374" s="30">
        <v>145</v>
      </c>
      <c r="L374" s="72">
        <v>3959.9446217665545</v>
      </c>
      <c r="M374" s="84">
        <v>1</v>
      </c>
      <c r="O374" s="30">
        <v>145</v>
      </c>
      <c r="P374" s="72">
        <v>2172.5356737578818</v>
      </c>
      <c r="Q374" s="84">
        <v>1</v>
      </c>
      <c r="R374" s="30">
        <f t="shared" si="42"/>
        <v>3</v>
      </c>
    </row>
    <row r="375" spans="1:18" x14ac:dyDescent="0.3">
      <c r="A375" s="30">
        <v>146</v>
      </c>
      <c r="B375" s="72">
        <v>3962.7331071447229</v>
      </c>
      <c r="C375" s="30">
        <v>1</v>
      </c>
      <c r="D375" s="72">
        <v>4219.0888898009844</v>
      </c>
      <c r="E375" s="30">
        <v>-1</v>
      </c>
      <c r="G375" s="30">
        <v>146</v>
      </c>
      <c r="H375" s="72">
        <f t="shared" si="40"/>
        <v>3962.7331071447229</v>
      </c>
      <c r="I375" s="30">
        <f t="shared" si="41"/>
        <v>1</v>
      </c>
      <c r="K375" s="30">
        <v>146</v>
      </c>
      <c r="L375" s="72">
        <v>3962.7331071447229</v>
      </c>
      <c r="M375" s="84">
        <v>1</v>
      </c>
      <c r="O375" s="30">
        <v>146</v>
      </c>
      <c r="P375" s="72">
        <v>2173.6056669783661</v>
      </c>
      <c r="Q375" s="84">
        <v>-1</v>
      </c>
      <c r="R375" s="30">
        <f t="shared" si="42"/>
        <v>2</v>
      </c>
    </row>
    <row r="376" spans="1:18" x14ac:dyDescent="0.3">
      <c r="A376" s="30">
        <v>147</v>
      </c>
      <c r="B376" s="72">
        <v>3979.1464272611702</v>
      </c>
      <c r="C376" s="30">
        <v>1</v>
      </c>
      <c r="D376" s="72">
        <v>4242.732055213105</v>
      </c>
      <c r="E376" s="30">
        <v>-1</v>
      </c>
      <c r="G376" s="30">
        <v>147</v>
      </c>
      <c r="H376" s="72">
        <f t="shared" si="40"/>
        <v>3979.1464272611702</v>
      </c>
      <c r="I376" s="30">
        <f t="shared" si="41"/>
        <v>1</v>
      </c>
      <c r="K376" s="30">
        <v>147</v>
      </c>
      <c r="L376" s="72">
        <v>3979.1464272611702</v>
      </c>
      <c r="M376" s="84">
        <v>1</v>
      </c>
      <c r="O376" s="30">
        <v>147</v>
      </c>
      <c r="P376" s="72">
        <v>2181.6367047116569</v>
      </c>
      <c r="Q376" s="84">
        <v>1</v>
      </c>
      <c r="R376" s="30">
        <f t="shared" si="42"/>
        <v>3</v>
      </c>
    </row>
    <row r="377" spans="1:18" x14ac:dyDescent="0.3">
      <c r="A377" s="30">
        <v>148</v>
      </c>
      <c r="B377" s="72">
        <v>4011.6071915626326</v>
      </c>
      <c r="C377" s="30">
        <v>1</v>
      </c>
      <c r="D377" s="72">
        <v>4293.1248101750025</v>
      </c>
      <c r="E377" s="30">
        <v>-1</v>
      </c>
      <c r="G377" s="30">
        <v>148</v>
      </c>
      <c r="H377" s="72">
        <f t="shared" si="40"/>
        <v>4011.6071915626326</v>
      </c>
      <c r="I377" s="30">
        <f t="shared" si="41"/>
        <v>1</v>
      </c>
      <c r="K377" s="30">
        <v>148</v>
      </c>
      <c r="L377" s="72">
        <v>4011.6071915626326</v>
      </c>
      <c r="M377" s="84">
        <v>1</v>
      </c>
      <c r="O377" s="30">
        <v>148</v>
      </c>
      <c r="P377" s="72">
        <v>2192.59171605961</v>
      </c>
      <c r="Q377" s="84">
        <v>1</v>
      </c>
      <c r="R377" s="30">
        <f t="shared" si="42"/>
        <v>4</v>
      </c>
    </row>
    <row r="378" spans="1:18" x14ac:dyDescent="0.3">
      <c r="A378" s="30">
        <v>149</v>
      </c>
      <c r="B378" s="72">
        <v>4039.9620464191444</v>
      </c>
      <c r="C378" s="30">
        <v>1</v>
      </c>
      <c r="D378" s="72">
        <v>4347.8143062769586</v>
      </c>
      <c r="E378" s="30">
        <v>-1</v>
      </c>
      <c r="G378" s="30">
        <v>149</v>
      </c>
      <c r="H378" s="72">
        <f t="shared" si="40"/>
        <v>4039.9620464191444</v>
      </c>
      <c r="I378" s="30">
        <f t="shared" si="41"/>
        <v>1</v>
      </c>
      <c r="K378" s="30">
        <v>149</v>
      </c>
      <c r="L378" s="72">
        <v>4039.9620464191444</v>
      </c>
      <c r="M378" s="84">
        <v>1</v>
      </c>
      <c r="O378" s="30">
        <v>149</v>
      </c>
      <c r="P378" s="72">
        <v>2204.0663414725977</v>
      </c>
      <c r="Q378" s="84">
        <v>-1</v>
      </c>
      <c r="R378" s="30">
        <f t="shared" si="42"/>
        <v>3</v>
      </c>
    </row>
    <row r="379" spans="1:18" x14ac:dyDescent="0.3">
      <c r="A379" s="30">
        <v>150</v>
      </c>
      <c r="B379" s="72">
        <v>4052.3975641117381</v>
      </c>
      <c r="C379" s="30">
        <v>1</v>
      </c>
      <c r="D379" s="72">
        <v>4385.6016896278861</v>
      </c>
      <c r="E379" s="30">
        <v>-1</v>
      </c>
      <c r="G379" s="30">
        <v>150</v>
      </c>
      <c r="H379" s="72">
        <f t="shared" si="40"/>
        <v>4052.3975641117381</v>
      </c>
      <c r="I379" s="30">
        <f t="shared" si="41"/>
        <v>1</v>
      </c>
      <c r="K379" s="30">
        <v>150</v>
      </c>
      <c r="L379" s="72">
        <v>4052.3975641117381</v>
      </c>
      <c r="M379" s="84">
        <v>1</v>
      </c>
      <c r="O379" s="30">
        <v>150</v>
      </c>
      <c r="P379" s="72">
        <v>2210.2483062154342</v>
      </c>
      <c r="Q379" s="84">
        <v>1</v>
      </c>
      <c r="R379" s="30">
        <f t="shared" si="42"/>
        <v>4</v>
      </c>
    </row>
    <row r="380" spans="1:18" x14ac:dyDescent="0.3">
      <c r="A380" s="30">
        <v>151</v>
      </c>
      <c r="B380" s="72">
        <v>4058.653813389179</v>
      </c>
      <c r="C380" s="30">
        <v>1</v>
      </c>
      <c r="D380" s="72">
        <v>4402.8346769565651</v>
      </c>
      <c r="E380" s="30">
        <v>-1</v>
      </c>
      <c r="G380" s="30">
        <v>151</v>
      </c>
      <c r="H380" s="72">
        <f t="shared" si="40"/>
        <v>4058.653813389179</v>
      </c>
      <c r="I380" s="30">
        <f t="shared" si="41"/>
        <v>1</v>
      </c>
      <c r="K380" s="30">
        <v>151</v>
      </c>
      <c r="L380" s="72">
        <v>4058.653813389179</v>
      </c>
      <c r="M380" s="84">
        <v>1</v>
      </c>
      <c r="O380" s="30">
        <v>151</v>
      </c>
      <c r="P380" s="72">
        <v>2215.9214366372198</v>
      </c>
      <c r="Q380" s="84">
        <v>1</v>
      </c>
      <c r="R380" s="30">
        <f t="shared" si="42"/>
        <v>5</v>
      </c>
    </row>
    <row r="381" spans="1:18" x14ac:dyDescent="0.3">
      <c r="A381" s="30">
        <v>152</v>
      </c>
      <c r="B381" s="72">
        <v>4059.4499379381728</v>
      </c>
      <c r="C381" s="30">
        <v>1</v>
      </c>
      <c r="D381" s="72">
        <v>4478.2009001481856</v>
      </c>
      <c r="E381" s="30">
        <v>-1</v>
      </c>
      <c r="G381" s="30">
        <v>152</v>
      </c>
      <c r="H381" s="72">
        <f t="shared" si="40"/>
        <v>4059.4499379381728</v>
      </c>
      <c r="I381" s="30">
        <f t="shared" si="41"/>
        <v>1</v>
      </c>
      <c r="K381" s="30">
        <v>152</v>
      </c>
      <c r="L381" s="72">
        <v>4059.4499379381728</v>
      </c>
      <c r="M381" s="84">
        <v>1</v>
      </c>
      <c r="O381" s="30">
        <v>152</v>
      </c>
      <c r="P381" s="72">
        <v>2235.1768333049063</v>
      </c>
      <c r="Q381" s="84">
        <v>1</v>
      </c>
      <c r="R381" s="30">
        <f t="shared" si="42"/>
        <v>6</v>
      </c>
    </row>
    <row r="382" spans="1:18" x14ac:dyDescent="0.3">
      <c r="A382" s="30">
        <v>153</v>
      </c>
      <c r="B382" s="72">
        <v>4125.9976608474235</v>
      </c>
      <c r="C382" s="30">
        <v>1</v>
      </c>
      <c r="D382" s="72">
        <v>4503.8873428936322</v>
      </c>
      <c r="E382" s="30">
        <v>-1</v>
      </c>
      <c r="G382" s="30">
        <v>153</v>
      </c>
      <c r="H382" s="72">
        <f t="shared" si="40"/>
        <v>4125.9976608474235</v>
      </c>
      <c r="I382" s="30">
        <f t="shared" si="41"/>
        <v>1</v>
      </c>
      <c r="K382" s="30">
        <v>153</v>
      </c>
      <c r="L382" s="72">
        <v>4125.9976608474235</v>
      </c>
      <c r="M382" s="84">
        <v>1</v>
      </c>
      <c r="O382" s="30">
        <v>153</v>
      </c>
      <c r="P382" s="72">
        <v>2237.5499124784328</v>
      </c>
      <c r="Q382" s="84">
        <v>1</v>
      </c>
      <c r="R382" s="30">
        <f t="shared" si="42"/>
        <v>7</v>
      </c>
    </row>
    <row r="383" spans="1:18" x14ac:dyDescent="0.3">
      <c r="A383" s="30">
        <v>154</v>
      </c>
      <c r="B383" s="72">
        <v>4128.1119402447475</v>
      </c>
      <c r="C383" s="30">
        <v>1</v>
      </c>
      <c r="D383" s="72">
        <v>4543.4668793632782</v>
      </c>
      <c r="E383" s="30">
        <v>-1</v>
      </c>
      <c r="G383" s="30">
        <v>154</v>
      </c>
      <c r="H383" s="72">
        <f t="shared" si="40"/>
        <v>4128.1119402447475</v>
      </c>
      <c r="I383" s="30">
        <f t="shared" si="41"/>
        <v>1</v>
      </c>
      <c r="K383" s="30">
        <v>154</v>
      </c>
      <c r="L383" s="72">
        <v>4128.1119402447475</v>
      </c>
      <c r="M383" s="84">
        <v>1</v>
      </c>
      <c r="O383" s="30">
        <v>154</v>
      </c>
      <c r="P383" s="72">
        <v>2247.9231228498079</v>
      </c>
      <c r="Q383" s="84">
        <v>1</v>
      </c>
      <c r="R383" s="30">
        <f t="shared" si="42"/>
        <v>8</v>
      </c>
    </row>
    <row r="384" spans="1:18" x14ac:dyDescent="0.3">
      <c r="A384" s="30">
        <v>155</v>
      </c>
      <c r="B384" s="72">
        <v>4138.6790333068002</v>
      </c>
      <c r="C384" s="30">
        <v>1</v>
      </c>
      <c r="D384" s="72">
        <v>4551.1746451856325</v>
      </c>
      <c r="E384" s="30">
        <v>-1</v>
      </c>
      <c r="G384" s="30">
        <v>155</v>
      </c>
      <c r="H384" s="72">
        <f t="shared" si="40"/>
        <v>4138.6790333068002</v>
      </c>
      <c r="I384" s="30">
        <f t="shared" si="41"/>
        <v>1</v>
      </c>
      <c r="K384" s="30">
        <v>155</v>
      </c>
      <c r="L384" s="72">
        <v>4138.6790333068002</v>
      </c>
      <c r="M384" s="84">
        <v>1</v>
      </c>
      <c r="O384" s="30">
        <v>155</v>
      </c>
      <c r="P384" s="72">
        <v>2249.200323447747</v>
      </c>
      <c r="Q384" s="84">
        <v>-1</v>
      </c>
      <c r="R384" s="30">
        <f t="shared" si="42"/>
        <v>7</v>
      </c>
    </row>
    <row r="385" spans="1:18" x14ac:dyDescent="0.3">
      <c r="A385" s="30">
        <v>156</v>
      </c>
      <c r="B385" s="72">
        <v>4145.0678927647905</v>
      </c>
      <c r="C385" s="30">
        <v>1</v>
      </c>
      <c r="D385" s="72">
        <v>4552.3250776929126</v>
      </c>
      <c r="E385" s="30">
        <v>-1</v>
      </c>
      <c r="G385" s="30">
        <v>156</v>
      </c>
      <c r="H385" s="72">
        <f t="shared" si="40"/>
        <v>4145.0678927647905</v>
      </c>
      <c r="I385" s="30">
        <f t="shared" si="41"/>
        <v>1</v>
      </c>
      <c r="K385" s="30">
        <v>156</v>
      </c>
      <c r="L385" s="72">
        <v>4145.0678927647905</v>
      </c>
      <c r="M385" s="84">
        <v>1</v>
      </c>
      <c r="O385" s="30">
        <v>156</v>
      </c>
      <c r="P385" s="72">
        <v>2269.1365819256166</v>
      </c>
      <c r="Q385" s="84">
        <v>-1</v>
      </c>
      <c r="R385" s="30">
        <f t="shared" si="42"/>
        <v>6</v>
      </c>
    </row>
    <row r="386" spans="1:18" x14ac:dyDescent="0.3">
      <c r="A386" s="30">
        <v>157</v>
      </c>
      <c r="B386" s="72">
        <v>4162.9662593259827</v>
      </c>
      <c r="C386" s="30">
        <v>1</v>
      </c>
      <c r="D386" s="72">
        <v>4578.5865190471395</v>
      </c>
      <c r="E386" s="30">
        <v>-1</v>
      </c>
      <c r="G386" s="30">
        <v>157</v>
      </c>
      <c r="H386" s="72">
        <f t="shared" si="40"/>
        <v>4162.9662593259827</v>
      </c>
      <c r="I386" s="30">
        <f t="shared" si="41"/>
        <v>1</v>
      </c>
      <c r="K386" s="30">
        <v>157</v>
      </c>
      <c r="L386" s="72">
        <v>4162.9662593259827</v>
      </c>
      <c r="M386" s="84">
        <v>1</v>
      </c>
      <c r="O386" s="30">
        <v>157</v>
      </c>
      <c r="P386" s="72">
        <v>2272.1154898517202</v>
      </c>
      <c r="Q386" s="84">
        <v>-1</v>
      </c>
      <c r="R386" s="30">
        <f t="shared" si="42"/>
        <v>5</v>
      </c>
    </row>
    <row r="387" spans="1:18" x14ac:dyDescent="0.3">
      <c r="A387" s="30">
        <v>158</v>
      </c>
      <c r="B387" s="72">
        <v>4176.4307462937904</v>
      </c>
      <c r="C387" s="30">
        <v>1</v>
      </c>
      <c r="D387" s="72">
        <v>4600.7836418046872</v>
      </c>
      <c r="E387" s="30">
        <v>-1</v>
      </c>
      <c r="G387" s="30">
        <v>158</v>
      </c>
      <c r="H387" s="72">
        <f t="shared" si="40"/>
        <v>4176.4307462937904</v>
      </c>
      <c r="I387" s="30">
        <f t="shared" si="41"/>
        <v>1</v>
      </c>
      <c r="K387" s="30">
        <v>158</v>
      </c>
      <c r="L387" s="72">
        <v>4176.4307462937904</v>
      </c>
      <c r="M387" s="84">
        <v>1</v>
      </c>
      <c r="O387" s="30">
        <v>158</v>
      </c>
      <c r="P387" s="72">
        <v>2278.3000069470972</v>
      </c>
      <c r="Q387" s="84">
        <v>1</v>
      </c>
      <c r="R387" s="30">
        <f t="shared" si="42"/>
        <v>6</v>
      </c>
    </row>
    <row r="388" spans="1:18" x14ac:dyDescent="0.3">
      <c r="A388" s="30">
        <v>159</v>
      </c>
      <c r="B388" s="72">
        <v>4222.269894574084</v>
      </c>
      <c r="C388" s="30">
        <v>1</v>
      </c>
      <c r="D388" s="72">
        <v>4619.8210743391919</v>
      </c>
      <c r="E388" s="30">
        <v>-1</v>
      </c>
      <c r="G388" s="30">
        <v>159</v>
      </c>
      <c r="H388" s="72">
        <f t="shared" si="40"/>
        <v>4222.269894574084</v>
      </c>
      <c r="I388" s="30">
        <f t="shared" si="41"/>
        <v>1</v>
      </c>
      <c r="K388" s="30">
        <v>159</v>
      </c>
      <c r="L388" s="72">
        <v>4222.269894574084</v>
      </c>
      <c r="M388" s="84">
        <v>1</v>
      </c>
      <c r="O388" s="30">
        <v>159</v>
      </c>
      <c r="P388" s="72">
        <v>2300.0801045050398</v>
      </c>
      <c r="Q388" s="84">
        <v>1</v>
      </c>
      <c r="R388" s="30">
        <f t="shared" si="42"/>
        <v>7</v>
      </c>
    </row>
    <row r="389" spans="1:18" x14ac:dyDescent="0.3">
      <c r="A389" s="30">
        <v>160</v>
      </c>
      <c r="B389" s="72">
        <v>4234.4833318459177</v>
      </c>
      <c r="C389" s="30">
        <v>1</v>
      </c>
      <c r="D389" s="72">
        <v>4628.0726707488639</v>
      </c>
      <c r="E389" s="30">
        <v>-1</v>
      </c>
      <c r="G389" s="30">
        <v>160</v>
      </c>
      <c r="H389" s="72">
        <f t="shared" si="40"/>
        <v>4234.4833318459177</v>
      </c>
      <c r="I389" s="30">
        <f t="shared" si="41"/>
        <v>1</v>
      </c>
      <c r="K389" s="30">
        <v>160</v>
      </c>
      <c r="L389" s="72">
        <v>4234.4833318459177</v>
      </c>
      <c r="M389" s="84">
        <v>1</v>
      </c>
      <c r="O389" s="30">
        <v>160</v>
      </c>
      <c r="P389" s="72">
        <v>2312.424233155054</v>
      </c>
      <c r="Q389" s="84">
        <v>1</v>
      </c>
      <c r="R389" s="30">
        <f t="shared" si="42"/>
        <v>8</v>
      </c>
    </row>
    <row r="390" spans="1:18" x14ac:dyDescent="0.3">
      <c r="A390" s="30">
        <v>161</v>
      </c>
      <c r="B390" s="72">
        <v>4243.6397130755531</v>
      </c>
      <c r="C390" s="30">
        <v>1</v>
      </c>
      <c r="D390" s="72">
        <v>4640.0267214438772</v>
      </c>
      <c r="E390" s="30">
        <v>-1</v>
      </c>
      <c r="G390" s="30">
        <v>161</v>
      </c>
      <c r="H390" s="72">
        <f t="shared" si="40"/>
        <v>4243.6397130755531</v>
      </c>
      <c r="I390" s="30">
        <f t="shared" si="41"/>
        <v>1</v>
      </c>
      <c r="K390" s="30">
        <v>161</v>
      </c>
      <c r="L390" s="72">
        <v>4243.6397130755531</v>
      </c>
      <c r="M390" s="84">
        <v>1</v>
      </c>
      <c r="O390" s="30">
        <v>161</v>
      </c>
      <c r="P390" s="72">
        <v>2339.7338867759413</v>
      </c>
      <c r="Q390" s="84">
        <v>-1</v>
      </c>
      <c r="R390" s="30">
        <f t="shared" si="42"/>
        <v>7</v>
      </c>
    </row>
    <row r="391" spans="1:18" x14ac:dyDescent="0.3">
      <c r="A391" s="30">
        <v>162</v>
      </c>
      <c r="B391" s="72">
        <v>4254.7690890784643</v>
      </c>
      <c r="C391" s="30">
        <v>1</v>
      </c>
      <c r="D391" s="72">
        <v>4640.3623449997049</v>
      </c>
      <c r="E391" s="30">
        <v>-1</v>
      </c>
      <c r="G391" s="30">
        <v>162</v>
      </c>
      <c r="H391" s="72">
        <f t="shared" si="40"/>
        <v>4254.7690890784643</v>
      </c>
      <c r="I391" s="30">
        <f t="shared" si="41"/>
        <v>1</v>
      </c>
      <c r="K391" s="30">
        <v>162</v>
      </c>
      <c r="L391" s="72">
        <v>4254.7690890784643</v>
      </c>
      <c r="M391" s="84">
        <v>1</v>
      </c>
      <c r="O391" s="30">
        <v>162</v>
      </c>
      <c r="P391" s="72">
        <v>2390.5789670730751</v>
      </c>
      <c r="Q391" s="84">
        <v>-1</v>
      </c>
      <c r="R391" s="30">
        <f t="shared" si="42"/>
        <v>6</v>
      </c>
    </row>
    <row r="392" spans="1:18" x14ac:dyDescent="0.3">
      <c r="A392" s="30">
        <v>163</v>
      </c>
      <c r="B392" s="72">
        <v>4269.5191530739075</v>
      </c>
      <c r="C392" s="30">
        <v>1</v>
      </c>
      <c r="D392" s="72">
        <v>4746.1503396643011</v>
      </c>
      <c r="E392" s="30">
        <v>-1</v>
      </c>
      <c r="G392" s="30">
        <v>163</v>
      </c>
      <c r="H392" s="72">
        <f t="shared" si="40"/>
        <v>4269.5191530739075</v>
      </c>
      <c r="I392" s="30">
        <f t="shared" si="41"/>
        <v>1</v>
      </c>
      <c r="K392" s="30">
        <v>163</v>
      </c>
      <c r="L392" s="72">
        <v>4269.5191530739075</v>
      </c>
      <c r="M392" s="84">
        <v>1</v>
      </c>
      <c r="O392" s="30">
        <v>163</v>
      </c>
      <c r="P392" s="72">
        <v>2410.6763343226789</v>
      </c>
      <c r="Q392" s="84">
        <v>-1</v>
      </c>
      <c r="R392" s="30">
        <f t="shared" si="42"/>
        <v>5</v>
      </c>
    </row>
    <row r="393" spans="1:18" x14ac:dyDescent="0.3">
      <c r="A393" s="30">
        <v>164</v>
      </c>
      <c r="B393" s="72">
        <v>4390.0512316527074</v>
      </c>
      <c r="C393" s="30">
        <v>1</v>
      </c>
      <c r="D393" s="72">
        <v>4757.5525563766314</v>
      </c>
      <c r="E393" s="30">
        <v>-1</v>
      </c>
      <c r="G393" s="30">
        <v>164</v>
      </c>
      <c r="H393" s="72">
        <f t="shared" si="40"/>
        <v>4390.0512316527074</v>
      </c>
      <c r="I393" s="30">
        <f t="shared" si="41"/>
        <v>1</v>
      </c>
      <c r="K393" s="30">
        <v>164</v>
      </c>
      <c r="L393" s="72">
        <v>4390.0512316527074</v>
      </c>
      <c r="M393" s="84">
        <v>1</v>
      </c>
      <c r="O393" s="30">
        <v>164</v>
      </c>
      <c r="P393" s="72">
        <v>2411.0264585817199</v>
      </c>
      <c r="Q393" s="84">
        <v>-1</v>
      </c>
      <c r="R393" s="30">
        <f t="shared" si="42"/>
        <v>4</v>
      </c>
    </row>
    <row r="394" spans="1:18" x14ac:dyDescent="0.3">
      <c r="A394" s="30">
        <v>165</v>
      </c>
      <c r="B394" s="72">
        <v>4390.237505574948</v>
      </c>
      <c r="C394" s="30">
        <v>1</v>
      </c>
      <c r="D394" s="72">
        <v>4761.7419912072801</v>
      </c>
      <c r="E394" s="30">
        <v>-1</v>
      </c>
      <c r="G394" s="30">
        <v>165</v>
      </c>
      <c r="H394" s="72">
        <f t="shared" si="40"/>
        <v>4390.237505574948</v>
      </c>
      <c r="I394" s="30">
        <f t="shared" si="41"/>
        <v>1</v>
      </c>
      <c r="K394" s="30">
        <v>165</v>
      </c>
      <c r="L394" s="72">
        <v>4390.237505574948</v>
      </c>
      <c r="M394" s="84">
        <v>1</v>
      </c>
      <c r="O394" s="30">
        <v>165</v>
      </c>
      <c r="P394" s="72">
        <v>2412.1473603464383</v>
      </c>
      <c r="Q394" s="84">
        <v>-1</v>
      </c>
      <c r="R394" s="30">
        <f t="shared" si="42"/>
        <v>3</v>
      </c>
    </row>
    <row r="395" spans="1:18" x14ac:dyDescent="0.3">
      <c r="A395" s="30">
        <v>166</v>
      </c>
      <c r="B395" s="72">
        <v>4422.5486848852761</v>
      </c>
      <c r="C395" s="30">
        <v>1</v>
      </c>
      <c r="D395" s="72">
        <v>4776.0094540057271</v>
      </c>
      <c r="E395" s="30">
        <v>-1</v>
      </c>
      <c r="G395" s="30">
        <v>166</v>
      </c>
      <c r="H395" s="72">
        <f t="shared" si="40"/>
        <v>4422.5486848852761</v>
      </c>
      <c r="I395" s="30">
        <f t="shared" si="41"/>
        <v>1</v>
      </c>
      <c r="K395" s="30">
        <v>166</v>
      </c>
      <c r="L395" s="72">
        <v>4422.5486848852761</v>
      </c>
      <c r="M395" s="84">
        <v>1</v>
      </c>
      <c r="O395" s="30">
        <v>166</v>
      </c>
      <c r="P395" s="72">
        <v>2424.3099168983654</v>
      </c>
      <c r="Q395" s="84">
        <v>1</v>
      </c>
      <c r="R395" s="30">
        <f t="shared" si="42"/>
        <v>4</v>
      </c>
    </row>
    <row r="396" spans="1:18" x14ac:dyDescent="0.3">
      <c r="A396" s="30">
        <v>167</v>
      </c>
      <c r="B396" s="72">
        <v>4458.4112718895594</v>
      </c>
      <c r="C396" s="30">
        <v>1</v>
      </c>
      <c r="D396" s="72">
        <v>4783.1413242781127</v>
      </c>
      <c r="E396" s="30">
        <v>-1</v>
      </c>
      <c r="G396" s="30">
        <v>167</v>
      </c>
      <c r="H396" s="72">
        <f t="shared" si="40"/>
        <v>4458.4112718895594</v>
      </c>
      <c r="I396" s="30">
        <f t="shared" si="41"/>
        <v>1</v>
      </c>
      <c r="K396" s="30">
        <v>167</v>
      </c>
      <c r="L396" s="72">
        <v>4458.4112718895594</v>
      </c>
      <c r="M396" s="84">
        <v>1</v>
      </c>
      <c r="O396" s="30">
        <v>167</v>
      </c>
      <c r="P396" s="72">
        <v>2443.4946245191463</v>
      </c>
      <c r="Q396" s="84">
        <v>-1</v>
      </c>
      <c r="R396" s="30">
        <f t="shared" si="42"/>
        <v>3</v>
      </c>
    </row>
    <row r="397" spans="1:18" x14ac:dyDescent="0.3">
      <c r="A397" s="30">
        <v>168</v>
      </c>
      <c r="B397" s="72">
        <v>4488.2202572882125</v>
      </c>
      <c r="C397" s="30">
        <v>1</v>
      </c>
      <c r="D397" s="72">
        <v>4785.5748756699541</v>
      </c>
      <c r="E397" s="30">
        <v>-1</v>
      </c>
      <c r="G397" s="30">
        <v>168</v>
      </c>
      <c r="H397" s="72">
        <f t="shared" si="40"/>
        <v>4488.2202572882125</v>
      </c>
      <c r="I397" s="30">
        <f t="shared" si="41"/>
        <v>1</v>
      </c>
      <c r="K397" s="30">
        <v>168</v>
      </c>
      <c r="L397" s="72">
        <v>4488.2202572882125</v>
      </c>
      <c r="M397" s="84">
        <v>1</v>
      </c>
      <c r="O397" s="30">
        <v>168</v>
      </c>
      <c r="P397" s="72">
        <v>2485.3562764364742</v>
      </c>
      <c r="Q397" s="84">
        <v>-1</v>
      </c>
      <c r="R397" s="30">
        <f t="shared" si="42"/>
        <v>2</v>
      </c>
    </row>
    <row r="398" spans="1:18" x14ac:dyDescent="0.3">
      <c r="A398" s="30">
        <v>169</v>
      </c>
      <c r="B398" s="72">
        <v>4544.4370405183363</v>
      </c>
      <c r="C398" s="30">
        <v>1</v>
      </c>
      <c r="D398" s="72">
        <v>4837.5593836970374</v>
      </c>
      <c r="E398" s="30">
        <v>-1</v>
      </c>
      <c r="G398" s="30">
        <v>169</v>
      </c>
      <c r="H398" s="72">
        <f t="shared" si="40"/>
        <v>4544.4370405183363</v>
      </c>
      <c r="I398" s="30">
        <f t="shared" si="41"/>
        <v>1</v>
      </c>
      <c r="K398" s="30">
        <v>169</v>
      </c>
      <c r="L398" s="72">
        <v>4544.4370405183363</v>
      </c>
      <c r="M398" s="84">
        <v>1</v>
      </c>
      <c r="O398" s="30">
        <v>169</v>
      </c>
      <c r="P398" s="72">
        <v>2488.2839077079493</v>
      </c>
      <c r="Q398" s="84">
        <v>1</v>
      </c>
      <c r="R398" s="30">
        <f t="shared" si="42"/>
        <v>3</v>
      </c>
    </row>
    <row r="399" spans="1:18" x14ac:dyDescent="0.3">
      <c r="A399" s="30">
        <v>170</v>
      </c>
      <c r="B399" s="72">
        <v>4559.959215651159</v>
      </c>
      <c r="C399" s="30">
        <v>1</v>
      </c>
      <c r="D399" s="72">
        <v>4861.7349431357534</v>
      </c>
      <c r="E399" s="30">
        <v>-1</v>
      </c>
      <c r="G399" s="30">
        <v>170</v>
      </c>
      <c r="H399" s="72">
        <f t="shared" si="40"/>
        <v>4559.959215651159</v>
      </c>
      <c r="I399" s="30">
        <f t="shared" si="41"/>
        <v>1</v>
      </c>
      <c r="K399" s="30">
        <v>170</v>
      </c>
      <c r="L399" s="72">
        <v>4559.959215651159</v>
      </c>
      <c r="M399" s="84">
        <v>1</v>
      </c>
      <c r="O399" s="30">
        <v>170</v>
      </c>
      <c r="P399" s="72">
        <v>2496.4590231138573</v>
      </c>
      <c r="Q399" s="84">
        <v>-1</v>
      </c>
      <c r="R399" s="30">
        <f t="shared" si="42"/>
        <v>2</v>
      </c>
    </row>
    <row r="400" spans="1:18" x14ac:dyDescent="0.3">
      <c r="A400" s="30">
        <v>171</v>
      </c>
      <c r="B400" s="72">
        <v>4585.7814976326863</v>
      </c>
      <c r="C400" s="30">
        <v>1</v>
      </c>
      <c r="D400" s="72">
        <v>4881.9857117791989</v>
      </c>
      <c r="E400" s="30">
        <v>-1</v>
      </c>
      <c r="G400" s="30">
        <v>171</v>
      </c>
      <c r="H400" s="72">
        <f t="shared" si="40"/>
        <v>4585.7814976326863</v>
      </c>
      <c r="I400" s="30">
        <f t="shared" si="41"/>
        <v>1</v>
      </c>
      <c r="K400" s="30">
        <v>171</v>
      </c>
      <c r="L400" s="72">
        <v>4585.7814976326863</v>
      </c>
      <c r="M400" s="84">
        <v>1</v>
      </c>
      <c r="O400" s="30">
        <v>171</v>
      </c>
      <c r="P400" s="72">
        <v>2505.1254214126684</v>
      </c>
      <c r="Q400" s="84">
        <v>-1</v>
      </c>
      <c r="R400" s="30">
        <f t="shared" si="42"/>
        <v>1</v>
      </c>
    </row>
    <row r="401" spans="1:18" x14ac:dyDescent="0.3">
      <c r="A401" s="30">
        <v>172</v>
      </c>
      <c r="B401" s="72">
        <v>4588.3026785532584</v>
      </c>
      <c r="C401" s="30">
        <v>1</v>
      </c>
      <c r="D401" s="72">
        <v>4896.8574384939511</v>
      </c>
      <c r="E401" s="30">
        <v>-1</v>
      </c>
      <c r="G401" s="30">
        <v>172</v>
      </c>
      <c r="H401" s="72">
        <f t="shared" si="40"/>
        <v>4588.3026785532584</v>
      </c>
      <c r="I401" s="30">
        <f t="shared" si="41"/>
        <v>1</v>
      </c>
      <c r="K401" s="30">
        <v>172</v>
      </c>
      <c r="L401" s="72">
        <v>4588.3026785532584</v>
      </c>
      <c r="M401" s="84">
        <v>1</v>
      </c>
      <c r="O401" s="30">
        <v>172</v>
      </c>
      <c r="P401" s="72">
        <v>2521.9213024018336</v>
      </c>
      <c r="Q401" s="84">
        <v>-1</v>
      </c>
      <c r="R401" s="30">
        <f t="shared" si="42"/>
        <v>0</v>
      </c>
    </row>
    <row r="402" spans="1:18" x14ac:dyDescent="0.3">
      <c r="A402" s="30">
        <v>173</v>
      </c>
      <c r="B402" s="72">
        <v>4595.8528470254378</v>
      </c>
      <c r="C402" s="30">
        <v>1</v>
      </c>
      <c r="D402" s="72">
        <v>4929.8592283958851</v>
      </c>
      <c r="E402" s="30">
        <v>-1</v>
      </c>
      <c r="G402" s="30">
        <v>173</v>
      </c>
      <c r="H402" s="72">
        <f t="shared" si="40"/>
        <v>4595.8528470254378</v>
      </c>
      <c r="I402" s="30">
        <f t="shared" si="41"/>
        <v>1</v>
      </c>
      <c r="K402" s="30">
        <v>173</v>
      </c>
      <c r="L402" s="72">
        <v>4595.8528470254378</v>
      </c>
      <c r="M402" s="84">
        <v>1</v>
      </c>
      <c r="O402" s="30">
        <v>173</v>
      </c>
      <c r="P402" s="72">
        <v>2522.4189791411245</v>
      </c>
      <c r="Q402" s="84">
        <v>1</v>
      </c>
      <c r="R402" s="30">
        <f t="shared" si="42"/>
        <v>1</v>
      </c>
    </row>
    <row r="403" spans="1:18" x14ac:dyDescent="0.3">
      <c r="A403" s="30">
        <v>174</v>
      </c>
      <c r="B403" s="72">
        <v>4620.129728612199</v>
      </c>
      <c r="C403" s="30">
        <v>1</v>
      </c>
      <c r="D403" s="72">
        <v>4958.0843430128407</v>
      </c>
      <c r="E403" s="30">
        <v>-1</v>
      </c>
      <c r="G403" s="30">
        <v>174</v>
      </c>
      <c r="H403" s="72">
        <f t="shared" si="40"/>
        <v>4620.129728612199</v>
      </c>
      <c r="I403" s="30">
        <f t="shared" si="41"/>
        <v>1</v>
      </c>
      <c r="K403" s="30">
        <v>174</v>
      </c>
      <c r="L403" s="72">
        <v>4620.129728612199</v>
      </c>
      <c r="M403" s="84">
        <v>1</v>
      </c>
      <c r="O403" s="30">
        <v>174</v>
      </c>
      <c r="P403" s="72">
        <v>2527.8055857962554</v>
      </c>
      <c r="Q403" s="84">
        <v>1</v>
      </c>
      <c r="R403" s="30">
        <f t="shared" si="42"/>
        <v>2</v>
      </c>
    </row>
    <row r="404" spans="1:18" x14ac:dyDescent="0.3">
      <c r="A404" s="30">
        <v>175</v>
      </c>
      <c r="B404" s="72">
        <v>4622.2352794180451</v>
      </c>
      <c r="C404" s="30">
        <v>1</v>
      </c>
      <c r="D404" s="72">
        <v>5035.6097038918733</v>
      </c>
      <c r="E404" s="30">
        <v>-1</v>
      </c>
      <c r="G404" s="30">
        <v>175</v>
      </c>
      <c r="H404" s="72">
        <f t="shared" si="40"/>
        <v>4622.2352794180451</v>
      </c>
      <c r="I404" s="30">
        <f t="shared" si="41"/>
        <v>1</v>
      </c>
      <c r="K404" s="30">
        <v>175</v>
      </c>
      <c r="L404" s="72">
        <v>4622.2352794180451</v>
      </c>
      <c r="M404" s="84">
        <v>1</v>
      </c>
      <c r="O404" s="30">
        <v>175</v>
      </c>
      <c r="P404" s="72">
        <v>2535.3882057383239</v>
      </c>
      <c r="Q404" s="84">
        <v>1</v>
      </c>
      <c r="R404" s="30">
        <f t="shared" si="42"/>
        <v>3</v>
      </c>
    </row>
    <row r="405" spans="1:18" x14ac:dyDescent="0.3">
      <c r="A405" s="30">
        <v>176</v>
      </c>
      <c r="B405" s="72">
        <v>4652.327875189806</v>
      </c>
      <c r="C405" s="30">
        <v>1</v>
      </c>
      <c r="D405" s="72">
        <v>5082.3758704821439</v>
      </c>
      <c r="E405" s="30">
        <v>-1</v>
      </c>
      <c r="G405" s="30">
        <v>176</v>
      </c>
      <c r="H405" s="72">
        <f t="shared" si="40"/>
        <v>4652.327875189806</v>
      </c>
      <c r="I405" s="30">
        <f t="shared" si="41"/>
        <v>1</v>
      </c>
      <c r="K405" s="30">
        <v>176</v>
      </c>
      <c r="L405" s="72">
        <v>4652.327875189806</v>
      </c>
      <c r="M405" s="84">
        <v>1</v>
      </c>
      <c r="O405" s="30">
        <v>176</v>
      </c>
      <c r="P405" s="72">
        <v>2554.7822696196331</v>
      </c>
      <c r="Q405" s="84">
        <v>1</v>
      </c>
      <c r="R405" s="30">
        <f t="shared" si="42"/>
        <v>4</v>
      </c>
    </row>
    <row r="406" spans="1:18" x14ac:dyDescent="0.3">
      <c r="A406" s="30">
        <v>177</v>
      </c>
      <c r="B406" s="72">
        <v>4669.826759090457</v>
      </c>
      <c r="C406" s="30">
        <v>1</v>
      </c>
      <c r="D406" s="72">
        <v>5103.4548139708022</v>
      </c>
      <c r="E406" s="30">
        <v>-1</v>
      </c>
      <c r="G406" s="30">
        <v>177</v>
      </c>
      <c r="H406" s="72">
        <f t="shared" si="40"/>
        <v>4669.826759090457</v>
      </c>
      <c r="I406" s="30">
        <f t="shared" si="41"/>
        <v>1</v>
      </c>
      <c r="K406" s="30">
        <v>177</v>
      </c>
      <c r="L406" s="72">
        <v>4669.826759090457</v>
      </c>
      <c r="M406" s="84">
        <v>1</v>
      </c>
      <c r="O406" s="30">
        <v>177</v>
      </c>
      <c r="P406" s="72">
        <v>2578.8050559187814</v>
      </c>
      <c r="Q406" s="84">
        <v>-1</v>
      </c>
      <c r="R406" s="30">
        <f t="shared" si="42"/>
        <v>3</v>
      </c>
    </row>
    <row r="407" spans="1:18" x14ac:dyDescent="0.3">
      <c r="A407" s="30">
        <v>178</v>
      </c>
      <c r="B407" s="72">
        <v>4680.220304817306</v>
      </c>
      <c r="C407" s="30">
        <v>1</v>
      </c>
      <c r="D407" s="72">
        <v>5135.6517376352849</v>
      </c>
      <c r="E407" s="30">
        <v>-1</v>
      </c>
      <c r="G407" s="30">
        <v>178</v>
      </c>
      <c r="H407" s="72">
        <f t="shared" si="40"/>
        <v>4680.220304817306</v>
      </c>
      <c r="I407" s="30">
        <f t="shared" si="41"/>
        <v>1</v>
      </c>
      <c r="K407" s="30">
        <v>178</v>
      </c>
      <c r="L407" s="72">
        <v>4680.220304817306</v>
      </c>
      <c r="M407" s="84">
        <v>1</v>
      </c>
      <c r="O407" s="30">
        <v>178</v>
      </c>
      <c r="P407" s="72">
        <v>2583.7238542799741</v>
      </c>
      <c r="Q407" s="84">
        <v>1</v>
      </c>
      <c r="R407" s="30">
        <f t="shared" si="42"/>
        <v>4</v>
      </c>
    </row>
    <row r="408" spans="1:18" x14ac:dyDescent="0.3">
      <c r="A408" s="30">
        <v>179</v>
      </c>
      <c r="B408" s="72">
        <v>4734.3583668686215</v>
      </c>
      <c r="C408" s="30">
        <v>1</v>
      </c>
      <c r="D408" s="72">
        <v>5140.1384263332648</v>
      </c>
      <c r="E408" s="30">
        <v>-1</v>
      </c>
      <c r="G408" s="30">
        <v>179</v>
      </c>
      <c r="H408" s="72">
        <f t="shared" si="40"/>
        <v>4734.3583668686215</v>
      </c>
      <c r="I408" s="30">
        <f t="shared" si="41"/>
        <v>1</v>
      </c>
      <c r="K408" s="30">
        <v>179</v>
      </c>
      <c r="L408" s="72">
        <v>4734.3583668686215</v>
      </c>
      <c r="M408" s="84">
        <v>1</v>
      </c>
      <c r="O408" s="30">
        <v>179</v>
      </c>
      <c r="P408" s="72">
        <v>2598.680772789995</v>
      </c>
      <c r="Q408" s="84">
        <v>-1</v>
      </c>
      <c r="R408" s="30">
        <f t="shared" si="42"/>
        <v>3</v>
      </c>
    </row>
    <row r="409" spans="1:18" x14ac:dyDescent="0.3">
      <c r="A409" s="30">
        <v>180</v>
      </c>
      <c r="B409" s="72">
        <v>4734.3979216694379</v>
      </c>
      <c r="C409" s="30">
        <v>1</v>
      </c>
      <c r="D409" s="72">
        <v>5141.2576209337012</v>
      </c>
      <c r="E409" s="30">
        <v>-1</v>
      </c>
      <c r="G409" s="30">
        <v>180</v>
      </c>
      <c r="H409" s="72">
        <f t="shared" si="40"/>
        <v>4734.3979216694379</v>
      </c>
      <c r="I409" s="30">
        <f t="shared" si="41"/>
        <v>1</v>
      </c>
      <c r="K409" s="30">
        <v>180</v>
      </c>
      <c r="L409" s="72">
        <v>4734.3979216694379</v>
      </c>
      <c r="M409" s="84">
        <v>1</v>
      </c>
      <c r="O409" s="30">
        <v>180</v>
      </c>
      <c r="P409" s="72">
        <v>2602.84931060593</v>
      </c>
      <c r="Q409" s="84">
        <v>1</v>
      </c>
      <c r="R409" s="30">
        <f t="shared" si="42"/>
        <v>4</v>
      </c>
    </row>
    <row r="410" spans="1:18" x14ac:dyDescent="0.3">
      <c r="A410" s="30">
        <v>181</v>
      </c>
      <c r="B410" s="72">
        <v>4762.4877259231098</v>
      </c>
      <c r="C410" s="30">
        <v>1</v>
      </c>
      <c r="D410" s="72">
        <v>5144.1983419779062</v>
      </c>
      <c r="E410" s="30">
        <v>-1</v>
      </c>
      <c r="G410" s="30">
        <v>181</v>
      </c>
      <c r="H410" s="72">
        <f t="shared" si="40"/>
        <v>4762.4877259231098</v>
      </c>
      <c r="I410" s="30">
        <f t="shared" si="41"/>
        <v>1</v>
      </c>
      <c r="K410" s="30">
        <v>181</v>
      </c>
      <c r="L410" s="72">
        <v>4762.4877259231098</v>
      </c>
      <c r="M410" s="84">
        <v>1</v>
      </c>
      <c r="O410" s="30">
        <v>181</v>
      </c>
      <c r="P410" s="72">
        <v>2623.2386044836148</v>
      </c>
      <c r="Q410" s="84">
        <v>1</v>
      </c>
      <c r="R410" s="30">
        <f t="shared" si="42"/>
        <v>5</v>
      </c>
    </row>
    <row r="411" spans="1:18" x14ac:dyDescent="0.3">
      <c r="A411" s="30">
        <v>182</v>
      </c>
      <c r="B411" s="72">
        <v>4787.5721267163408</v>
      </c>
      <c r="C411" s="30">
        <v>1</v>
      </c>
      <c r="D411" s="72">
        <v>5148.314029193828</v>
      </c>
      <c r="E411" s="30">
        <v>-1</v>
      </c>
      <c r="G411" s="30">
        <v>182</v>
      </c>
      <c r="H411" s="72">
        <f t="shared" si="40"/>
        <v>4787.5721267163408</v>
      </c>
      <c r="I411" s="30">
        <f t="shared" si="41"/>
        <v>1</v>
      </c>
      <c r="K411" s="30">
        <v>182</v>
      </c>
      <c r="L411" s="72">
        <v>4787.5721267163408</v>
      </c>
      <c r="M411" s="84">
        <v>1</v>
      </c>
      <c r="O411" s="30">
        <v>182</v>
      </c>
      <c r="P411" s="72">
        <v>2630.3262101731261</v>
      </c>
      <c r="Q411" s="84">
        <v>1</v>
      </c>
      <c r="R411" s="30">
        <f t="shared" si="42"/>
        <v>6</v>
      </c>
    </row>
    <row r="412" spans="1:18" x14ac:dyDescent="0.3">
      <c r="A412" s="30">
        <v>183</v>
      </c>
      <c r="B412" s="72">
        <v>4808.2784436835855</v>
      </c>
      <c r="C412" s="30">
        <v>1</v>
      </c>
      <c r="D412" s="72">
        <v>5176.9069025556682</v>
      </c>
      <c r="E412" s="30">
        <v>-1</v>
      </c>
      <c r="G412" s="30">
        <v>183</v>
      </c>
      <c r="H412" s="72">
        <f t="shared" si="40"/>
        <v>4808.2784436835855</v>
      </c>
      <c r="I412" s="30">
        <f t="shared" si="41"/>
        <v>1</v>
      </c>
      <c r="K412" s="30">
        <v>183</v>
      </c>
      <c r="L412" s="72">
        <v>4808.2784436835855</v>
      </c>
      <c r="M412" s="84">
        <v>1</v>
      </c>
      <c r="O412" s="30">
        <v>183</v>
      </c>
      <c r="P412" s="72">
        <v>2636.1172252671827</v>
      </c>
      <c r="Q412" s="84">
        <v>-1</v>
      </c>
      <c r="R412" s="30">
        <f t="shared" si="42"/>
        <v>5</v>
      </c>
    </row>
    <row r="413" spans="1:18" x14ac:dyDescent="0.3">
      <c r="A413" s="30">
        <v>184</v>
      </c>
      <c r="B413" s="72">
        <v>4832.2510935875507</v>
      </c>
      <c r="C413" s="30">
        <v>1</v>
      </c>
      <c r="D413" s="72">
        <v>5180.4049858121516</v>
      </c>
      <c r="E413" s="30">
        <v>-1</v>
      </c>
      <c r="G413" s="30">
        <v>184</v>
      </c>
      <c r="H413" s="72">
        <f t="shared" si="40"/>
        <v>4832.2510935875507</v>
      </c>
      <c r="I413" s="30">
        <f t="shared" si="41"/>
        <v>1</v>
      </c>
      <c r="K413" s="30">
        <v>184</v>
      </c>
      <c r="L413" s="72">
        <v>4832.2510935875507</v>
      </c>
      <c r="M413" s="84">
        <v>1</v>
      </c>
      <c r="O413" s="30">
        <v>184</v>
      </c>
      <c r="P413" s="72">
        <v>2642.8428073970422</v>
      </c>
      <c r="Q413" s="84">
        <v>1</v>
      </c>
      <c r="R413" s="30">
        <f t="shared" si="42"/>
        <v>6</v>
      </c>
    </row>
    <row r="414" spans="1:18" x14ac:dyDescent="0.3">
      <c r="A414" s="30">
        <v>185</v>
      </c>
      <c r="B414" s="72">
        <v>4849.6823883452507</v>
      </c>
      <c r="C414" s="30">
        <v>1</v>
      </c>
      <c r="D414" s="72">
        <v>5196.6281989246518</v>
      </c>
      <c r="E414" s="30">
        <v>-1</v>
      </c>
      <c r="G414" s="30">
        <v>185</v>
      </c>
      <c r="H414" s="72">
        <f t="shared" si="40"/>
        <v>4849.6823883452507</v>
      </c>
      <c r="I414" s="30">
        <f t="shared" si="41"/>
        <v>1</v>
      </c>
      <c r="K414" s="30">
        <v>185</v>
      </c>
      <c r="L414" s="72">
        <v>4849.6823883452507</v>
      </c>
      <c r="M414" s="84">
        <v>1</v>
      </c>
      <c r="O414" s="30">
        <v>185</v>
      </c>
      <c r="P414" s="72">
        <v>2681.0994732977142</v>
      </c>
      <c r="Q414" s="84">
        <v>-1</v>
      </c>
      <c r="R414" s="30">
        <f t="shared" si="42"/>
        <v>5</v>
      </c>
    </row>
    <row r="415" spans="1:18" x14ac:dyDescent="0.3">
      <c r="A415" s="30">
        <v>186</v>
      </c>
      <c r="B415" s="72">
        <v>4852.1639387527548</v>
      </c>
      <c r="C415" s="30">
        <v>1</v>
      </c>
      <c r="D415" s="72">
        <v>5207.1392139445888</v>
      </c>
      <c r="E415" s="30">
        <v>-1</v>
      </c>
      <c r="G415" s="30">
        <v>186</v>
      </c>
      <c r="H415" s="72">
        <f t="shared" si="40"/>
        <v>4852.1639387527548</v>
      </c>
      <c r="I415" s="30">
        <f t="shared" si="41"/>
        <v>1</v>
      </c>
      <c r="K415" s="30">
        <v>186</v>
      </c>
      <c r="L415" s="72">
        <v>4852.1639387527548</v>
      </c>
      <c r="M415" s="84">
        <v>1</v>
      </c>
      <c r="O415" s="30">
        <v>186</v>
      </c>
      <c r="P415" s="72">
        <v>2683.89922656113</v>
      </c>
      <c r="Q415" s="84">
        <v>-1</v>
      </c>
      <c r="R415" s="30">
        <f t="shared" si="42"/>
        <v>4</v>
      </c>
    </row>
    <row r="416" spans="1:18" x14ac:dyDescent="0.3">
      <c r="A416" s="30">
        <v>187</v>
      </c>
      <c r="B416" s="72">
        <v>4917.3402121704257</v>
      </c>
      <c r="C416" s="30">
        <v>1</v>
      </c>
      <c r="D416" s="72">
        <v>5234.5699786467467</v>
      </c>
      <c r="E416" s="30">
        <v>-1</v>
      </c>
      <c r="G416" s="30">
        <v>187</v>
      </c>
      <c r="H416" s="72">
        <f t="shared" si="40"/>
        <v>4917.3402121704257</v>
      </c>
      <c r="I416" s="30">
        <f t="shared" si="41"/>
        <v>1</v>
      </c>
      <c r="K416" s="30">
        <v>187</v>
      </c>
      <c r="L416" s="72">
        <v>4917.3402121704257</v>
      </c>
      <c r="M416" s="84">
        <v>1</v>
      </c>
      <c r="O416" s="30">
        <v>187</v>
      </c>
      <c r="P416" s="72">
        <v>2695.649095865957</v>
      </c>
      <c r="Q416" s="84">
        <v>-1</v>
      </c>
      <c r="R416" s="30">
        <f t="shared" si="42"/>
        <v>3</v>
      </c>
    </row>
    <row r="417" spans="1:18" x14ac:dyDescent="0.3">
      <c r="A417" s="30">
        <v>188</v>
      </c>
      <c r="B417" s="72">
        <v>4931.7552939108318</v>
      </c>
      <c r="C417" s="30">
        <v>1</v>
      </c>
      <c r="D417" s="72">
        <v>5247.5570398028831</v>
      </c>
      <c r="E417" s="30">
        <v>-1</v>
      </c>
      <c r="G417" s="30">
        <v>188</v>
      </c>
      <c r="H417" s="72">
        <f t="shared" si="40"/>
        <v>4931.7552939108318</v>
      </c>
      <c r="I417" s="30">
        <f t="shared" si="41"/>
        <v>1</v>
      </c>
      <c r="K417" s="30">
        <v>188</v>
      </c>
      <c r="L417" s="72">
        <v>4931.7552939108318</v>
      </c>
      <c r="M417" s="84">
        <v>1</v>
      </c>
      <c r="O417" s="30">
        <v>188</v>
      </c>
      <c r="P417" s="72">
        <v>2698.9091858254737</v>
      </c>
      <c r="Q417" s="84">
        <v>1</v>
      </c>
      <c r="R417" s="30">
        <f t="shared" si="42"/>
        <v>4</v>
      </c>
    </row>
    <row r="418" spans="1:18" x14ac:dyDescent="0.3">
      <c r="A418" s="30">
        <v>189</v>
      </c>
      <c r="B418" s="72">
        <v>4956.4734531278373</v>
      </c>
      <c r="C418" s="30">
        <v>1</v>
      </c>
      <c r="D418" s="72">
        <v>5253.1401238454318</v>
      </c>
      <c r="E418" s="30">
        <v>-1</v>
      </c>
      <c r="G418" s="30">
        <v>189</v>
      </c>
      <c r="H418" s="72">
        <f t="shared" si="40"/>
        <v>4956.4734531278373</v>
      </c>
      <c r="I418" s="30">
        <f t="shared" si="41"/>
        <v>1</v>
      </c>
      <c r="K418" s="30">
        <v>189</v>
      </c>
      <c r="L418" s="72">
        <v>4956.4734531278373</v>
      </c>
      <c r="M418" s="84">
        <v>1</v>
      </c>
      <c r="O418" s="30">
        <v>189</v>
      </c>
      <c r="P418" s="72">
        <v>2704.4433807884284</v>
      </c>
      <c r="Q418" s="84">
        <v>-1</v>
      </c>
      <c r="R418" s="30">
        <f t="shared" si="42"/>
        <v>3</v>
      </c>
    </row>
    <row r="419" spans="1:18" x14ac:dyDescent="0.3">
      <c r="A419" s="30">
        <v>190</v>
      </c>
      <c r="B419" s="72">
        <v>4963.8090431483115</v>
      </c>
      <c r="C419" s="30">
        <v>1</v>
      </c>
      <c r="D419" s="72">
        <v>5271.9977171533737</v>
      </c>
      <c r="E419" s="30">
        <v>-1</v>
      </c>
      <c r="G419" s="30">
        <v>190</v>
      </c>
      <c r="H419" s="72">
        <f t="shared" si="40"/>
        <v>4963.8090431483115</v>
      </c>
      <c r="I419" s="30">
        <f t="shared" si="41"/>
        <v>1</v>
      </c>
      <c r="K419" s="30">
        <v>190</v>
      </c>
      <c r="L419" s="72">
        <v>4963.8090431483115</v>
      </c>
      <c r="M419" s="84">
        <v>1</v>
      </c>
      <c r="O419" s="30">
        <v>190</v>
      </c>
      <c r="P419" s="72">
        <v>2707.0347500709695</v>
      </c>
      <c r="Q419" s="84">
        <v>-1</v>
      </c>
      <c r="R419" s="30">
        <f t="shared" si="42"/>
        <v>2</v>
      </c>
    </row>
    <row r="420" spans="1:18" x14ac:dyDescent="0.3">
      <c r="A420" s="30">
        <v>191</v>
      </c>
      <c r="B420" s="72">
        <v>5005.6287893890467</v>
      </c>
      <c r="C420" s="30">
        <v>1</v>
      </c>
      <c r="D420" s="72">
        <v>5274.5607586317965</v>
      </c>
      <c r="E420" s="30">
        <v>-1</v>
      </c>
      <c r="G420" s="30">
        <v>191</v>
      </c>
      <c r="H420" s="72">
        <f t="shared" si="40"/>
        <v>5005.6287893890467</v>
      </c>
      <c r="I420" s="30">
        <f t="shared" si="41"/>
        <v>1</v>
      </c>
      <c r="K420" s="30">
        <v>191</v>
      </c>
      <c r="L420" s="72">
        <v>5005.6287893890467</v>
      </c>
      <c r="M420" s="84">
        <v>1</v>
      </c>
      <c r="O420" s="30">
        <v>191</v>
      </c>
      <c r="P420" s="72">
        <v>2710.8987215952002</v>
      </c>
      <c r="Q420" s="84">
        <v>1</v>
      </c>
      <c r="R420" s="30">
        <f t="shared" si="42"/>
        <v>3</v>
      </c>
    </row>
    <row r="421" spans="1:18" x14ac:dyDescent="0.3">
      <c r="A421" s="30">
        <v>192</v>
      </c>
      <c r="B421" s="72">
        <v>5021.2490455318875</v>
      </c>
      <c r="C421" s="30">
        <v>1</v>
      </c>
      <c r="D421" s="72">
        <v>5296.0558835398024</v>
      </c>
      <c r="E421" s="30">
        <v>-1</v>
      </c>
      <c r="G421" s="30">
        <v>192</v>
      </c>
      <c r="H421" s="72">
        <f t="shared" si="40"/>
        <v>5021.2490455318875</v>
      </c>
      <c r="I421" s="30">
        <f t="shared" si="41"/>
        <v>1</v>
      </c>
      <c r="K421" s="30">
        <v>192</v>
      </c>
      <c r="L421" s="72">
        <v>5021.2490455318875</v>
      </c>
      <c r="M421" s="84">
        <v>1</v>
      </c>
      <c r="O421" s="30">
        <v>192</v>
      </c>
      <c r="P421" s="72">
        <v>2711.8964118350318</v>
      </c>
      <c r="Q421" s="84">
        <v>1</v>
      </c>
      <c r="R421" s="30">
        <f t="shared" si="42"/>
        <v>4</v>
      </c>
    </row>
    <row r="422" spans="1:18" x14ac:dyDescent="0.3">
      <c r="A422" s="30">
        <v>193</v>
      </c>
      <c r="B422" s="72">
        <v>5036.2075858542103</v>
      </c>
      <c r="C422" s="30">
        <v>1</v>
      </c>
      <c r="D422" s="72">
        <v>5304.2017613527551</v>
      </c>
      <c r="E422" s="30">
        <v>-1</v>
      </c>
      <c r="G422" s="30">
        <v>193</v>
      </c>
      <c r="H422" s="72">
        <f t="shared" si="40"/>
        <v>5036.2075858542103</v>
      </c>
      <c r="I422" s="30">
        <f t="shared" si="41"/>
        <v>1</v>
      </c>
      <c r="K422" s="30">
        <v>193</v>
      </c>
      <c r="L422" s="72">
        <v>5036.2075858542103</v>
      </c>
      <c r="M422" s="84">
        <v>1</v>
      </c>
      <c r="O422" s="30">
        <v>193</v>
      </c>
      <c r="P422" s="72">
        <v>2722.686466983243</v>
      </c>
      <c r="Q422" s="84">
        <v>-1</v>
      </c>
      <c r="R422" s="30">
        <f t="shared" si="42"/>
        <v>3</v>
      </c>
    </row>
    <row r="423" spans="1:18" x14ac:dyDescent="0.3">
      <c r="A423" s="30">
        <v>194</v>
      </c>
      <c r="B423" s="72">
        <v>5047.9523781408043</v>
      </c>
      <c r="C423" s="30">
        <v>1</v>
      </c>
      <c r="D423" s="72">
        <v>5305.2282955187329</v>
      </c>
      <c r="E423" s="30">
        <v>-1</v>
      </c>
      <c r="G423" s="30">
        <v>194</v>
      </c>
      <c r="H423" s="72">
        <f t="shared" ref="H423:H429" si="43">B423</f>
        <v>5047.9523781408043</v>
      </c>
      <c r="I423" s="30">
        <f t="shared" ref="I423:I429" si="44">C423</f>
        <v>1</v>
      </c>
      <c r="K423" s="30">
        <v>194</v>
      </c>
      <c r="L423" s="72">
        <v>5047.9523781408043</v>
      </c>
      <c r="M423" s="84">
        <v>1</v>
      </c>
      <c r="O423" s="30">
        <v>194</v>
      </c>
      <c r="P423" s="72">
        <v>2730.4642347398167</v>
      </c>
      <c r="Q423" s="84">
        <v>1</v>
      </c>
      <c r="R423" s="30">
        <f t="shared" si="42"/>
        <v>4</v>
      </c>
    </row>
    <row r="424" spans="1:18" x14ac:dyDescent="0.3">
      <c r="A424" s="30">
        <v>195</v>
      </c>
      <c r="B424" s="72">
        <v>5053.4633972293695</v>
      </c>
      <c r="C424" s="30">
        <v>1</v>
      </c>
      <c r="D424" s="72">
        <v>5353.4532499983607</v>
      </c>
      <c r="E424" s="30">
        <v>-1</v>
      </c>
      <c r="G424" s="30">
        <v>195</v>
      </c>
      <c r="H424" s="72">
        <f t="shared" si="43"/>
        <v>5053.4633972293695</v>
      </c>
      <c r="I424" s="30">
        <f t="shared" si="44"/>
        <v>1</v>
      </c>
      <c r="K424" s="30">
        <v>195</v>
      </c>
      <c r="L424" s="72">
        <v>5053.4633972293695</v>
      </c>
      <c r="M424" s="84">
        <v>1</v>
      </c>
      <c r="O424" s="30">
        <v>195</v>
      </c>
      <c r="P424" s="72">
        <v>2730.7490016982906</v>
      </c>
      <c r="Q424" s="84">
        <v>-1</v>
      </c>
      <c r="R424" s="30">
        <f t="shared" ref="R424:R487" si="45">R423+Q424</f>
        <v>3</v>
      </c>
    </row>
    <row r="425" spans="1:18" x14ac:dyDescent="0.3">
      <c r="A425" s="30">
        <v>196</v>
      </c>
      <c r="B425" s="72">
        <v>5056.9534128892547</v>
      </c>
      <c r="C425" s="30">
        <v>1</v>
      </c>
      <c r="D425" s="72">
        <v>5377.681503843568</v>
      </c>
      <c r="E425" s="30">
        <v>-1</v>
      </c>
      <c r="G425" s="30">
        <v>196</v>
      </c>
      <c r="H425" s="72">
        <f t="shared" si="43"/>
        <v>5056.9534128892547</v>
      </c>
      <c r="I425" s="30">
        <f t="shared" si="44"/>
        <v>1</v>
      </c>
      <c r="K425" s="30">
        <v>196</v>
      </c>
      <c r="L425" s="72">
        <v>5056.9534128892547</v>
      </c>
      <c r="M425" s="84">
        <v>1</v>
      </c>
      <c r="O425" s="30">
        <v>196</v>
      </c>
      <c r="P425" s="72">
        <v>2775.3838835734887</v>
      </c>
      <c r="Q425" s="84">
        <v>-1</v>
      </c>
      <c r="R425" s="30">
        <f t="shared" si="45"/>
        <v>2</v>
      </c>
    </row>
    <row r="426" spans="1:18" x14ac:dyDescent="0.3">
      <c r="A426" s="30">
        <v>197</v>
      </c>
      <c r="B426" s="72">
        <v>5081.3828288510986</v>
      </c>
      <c r="C426" s="30">
        <v>1</v>
      </c>
      <c r="D426" s="72">
        <v>5398.2889585567582</v>
      </c>
      <c r="E426" s="30">
        <v>-1</v>
      </c>
      <c r="G426" s="30">
        <v>197</v>
      </c>
      <c r="H426" s="72">
        <f t="shared" si="43"/>
        <v>5081.3828288510986</v>
      </c>
      <c r="I426" s="30">
        <f t="shared" si="44"/>
        <v>1</v>
      </c>
      <c r="K426" s="30">
        <v>197</v>
      </c>
      <c r="L426" s="72">
        <v>5081.3828288510986</v>
      </c>
      <c r="M426" s="84">
        <v>1</v>
      </c>
      <c r="O426" s="30">
        <v>197</v>
      </c>
      <c r="P426" s="72">
        <v>2786.0691172535189</v>
      </c>
      <c r="Q426" s="84">
        <v>1</v>
      </c>
      <c r="R426" s="30">
        <f t="shared" si="45"/>
        <v>3</v>
      </c>
    </row>
    <row r="427" spans="1:18" x14ac:dyDescent="0.3">
      <c r="A427" s="30">
        <v>198</v>
      </c>
      <c r="B427" s="72">
        <v>5115.3398858245509</v>
      </c>
      <c r="C427" s="30">
        <v>1</v>
      </c>
      <c r="D427" s="72">
        <v>5399.8026219337025</v>
      </c>
      <c r="E427" s="30">
        <v>-1</v>
      </c>
      <c r="G427" s="30">
        <v>198</v>
      </c>
      <c r="H427" s="72">
        <f t="shared" si="43"/>
        <v>5115.3398858245509</v>
      </c>
      <c r="I427" s="30">
        <f t="shared" si="44"/>
        <v>1</v>
      </c>
      <c r="K427" s="30">
        <v>198</v>
      </c>
      <c r="L427" s="72">
        <v>5115.3398858245509</v>
      </c>
      <c r="M427" s="84">
        <v>1</v>
      </c>
      <c r="O427" s="30">
        <v>198</v>
      </c>
      <c r="P427" s="72">
        <v>2808.2928471568425</v>
      </c>
      <c r="Q427" s="84">
        <v>-1</v>
      </c>
      <c r="R427" s="30">
        <f t="shared" si="45"/>
        <v>2</v>
      </c>
    </row>
    <row r="428" spans="1:18" x14ac:dyDescent="0.3">
      <c r="A428" s="30">
        <v>199</v>
      </c>
      <c r="B428" s="72">
        <v>5117.8986399528485</v>
      </c>
      <c r="C428" s="30">
        <v>1</v>
      </c>
      <c r="D428" s="72">
        <v>5449.6402256947795</v>
      </c>
      <c r="E428" s="30">
        <v>-1</v>
      </c>
      <c r="G428" s="30">
        <v>199</v>
      </c>
      <c r="H428" s="72">
        <f t="shared" si="43"/>
        <v>5117.8986399528485</v>
      </c>
      <c r="I428" s="30">
        <f t="shared" si="44"/>
        <v>1</v>
      </c>
      <c r="K428" s="30">
        <v>199</v>
      </c>
      <c r="L428" s="72">
        <v>5117.8986399528485</v>
      </c>
      <c r="M428" s="84">
        <v>1</v>
      </c>
      <c r="O428" s="30">
        <v>199</v>
      </c>
      <c r="P428" s="72">
        <v>2815.4631319499126</v>
      </c>
      <c r="Q428" s="84">
        <v>1</v>
      </c>
      <c r="R428" s="30">
        <f t="shared" si="45"/>
        <v>3</v>
      </c>
    </row>
    <row r="429" spans="1:18" x14ac:dyDescent="0.3">
      <c r="A429" s="30">
        <v>200</v>
      </c>
      <c r="B429" s="72">
        <v>5189.9499712248144</v>
      </c>
      <c r="C429" s="30">
        <v>1</v>
      </c>
      <c r="D429" s="72">
        <v>5460.1562541915155</v>
      </c>
      <c r="E429" s="30">
        <v>-1</v>
      </c>
      <c r="G429" s="30">
        <v>200</v>
      </c>
      <c r="H429" s="72">
        <f t="shared" si="43"/>
        <v>5189.9499712248144</v>
      </c>
      <c r="I429" s="30">
        <f t="shared" si="44"/>
        <v>1</v>
      </c>
      <c r="K429" s="30">
        <v>200</v>
      </c>
      <c r="L429" s="72">
        <v>5189.9499712248144</v>
      </c>
      <c r="M429" s="84">
        <v>1</v>
      </c>
      <c r="O429" s="30">
        <v>200</v>
      </c>
      <c r="P429" s="72">
        <v>2836.351036038277</v>
      </c>
      <c r="Q429" s="84">
        <v>-1</v>
      </c>
      <c r="R429" s="30">
        <f t="shared" si="45"/>
        <v>2</v>
      </c>
    </row>
    <row r="430" spans="1:18" x14ac:dyDescent="0.3">
      <c r="G430" s="30">
        <v>201</v>
      </c>
      <c r="H430" s="72">
        <f>D230</f>
        <v>39.422070580585164</v>
      </c>
      <c r="I430" s="30">
        <f>E230</f>
        <v>-1</v>
      </c>
      <c r="K430" s="30">
        <v>201</v>
      </c>
      <c r="L430" s="72">
        <v>39.422070580585164</v>
      </c>
      <c r="M430" s="84">
        <v>-1</v>
      </c>
      <c r="O430" s="30">
        <v>201</v>
      </c>
      <c r="P430" s="72">
        <v>2838.1471936734201</v>
      </c>
      <c r="Q430" s="84">
        <v>-1</v>
      </c>
      <c r="R430" s="30">
        <f t="shared" si="45"/>
        <v>1</v>
      </c>
    </row>
    <row r="431" spans="1:18" x14ac:dyDescent="0.3">
      <c r="G431" s="30">
        <v>202</v>
      </c>
      <c r="H431" s="72">
        <f t="shared" ref="H431:H494" si="46">D231</f>
        <v>76.636316052650287</v>
      </c>
      <c r="I431" s="30">
        <f t="shared" ref="I431:I494" si="47">E231</f>
        <v>-1</v>
      </c>
      <c r="K431" s="30">
        <v>202</v>
      </c>
      <c r="L431" s="72">
        <v>76.636316052650287</v>
      </c>
      <c r="M431" s="84">
        <v>-1</v>
      </c>
      <c r="O431" s="30">
        <v>202</v>
      </c>
      <c r="P431" s="72">
        <v>2855.1423734669547</v>
      </c>
      <c r="Q431" s="84">
        <v>1</v>
      </c>
      <c r="R431" s="30">
        <f t="shared" si="45"/>
        <v>2</v>
      </c>
    </row>
    <row r="432" spans="1:18" x14ac:dyDescent="0.3">
      <c r="G432" s="30">
        <v>203</v>
      </c>
      <c r="H432" s="72">
        <f t="shared" si="46"/>
        <v>106.73239264372573</v>
      </c>
      <c r="I432" s="30">
        <f t="shared" si="47"/>
        <v>-1</v>
      </c>
      <c r="K432" s="30">
        <v>203</v>
      </c>
      <c r="L432" s="72">
        <v>106.73239264372573</v>
      </c>
      <c r="M432" s="84">
        <v>-1</v>
      </c>
      <c r="O432" s="30">
        <v>203</v>
      </c>
      <c r="P432" s="72">
        <v>2856.4919735831809</v>
      </c>
      <c r="Q432" s="84">
        <v>-1</v>
      </c>
      <c r="R432" s="30">
        <f t="shared" si="45"/>
        <v>1</v>
      </c>
    </row>
    <row r="433" spans="7:18" x14ac:dyDescent="0.3">
      <c r="G433" s="30">
        <v>204</v>
      </c>
      <c r="H433" s="72">
        <f t="shared" si="46"/>
        <v>168.64225104519846</v>
      </c>
      <c r="I433" s="30">
        <f t="shared" si="47"/>
        <v>-1</v>
      </c>
      <c r="K433" s="30">
        <v>204</v>
      </c>
      <c r="L433" s="72">
        <v>168.64225104519846</v>
      </c>
      <c r="M433" s="84">
        <v>-1</v>
      </c>
      <c r="O433" s="30">
        <v>204</v>
      </c>
      <c r="P433" s="72">
        <v>2882.6702706218284</v>
      </c>
      <c r="Q433" s="84">
        <v>-1</v>
      </c>
      <c r="R433" s="30">
        <f t="shared" si="45"/>
        <v>0</v>
      </c>
    </row>
    <row r="434" spans="7:18" x14ac:dyDescent="0.3">
      <c r="G434" s="30">
        <v>205</v>
      </c>
      <c r="H434" s="72">
        <f t="shared" si="46"/>
        <v>225.26655393135667</v>
      </c>
      <c r="I434" s="30">
        <f t="shared" si="47"/>
        <v>-1</v>
      </c>
      <c r="K434" s="30">
        <v>205</v>
      </c>
      <c r="L434" s="72">
        <v>225.26655393135667</v>
      </c>
      <c r="M434" s="84">
        <v>-1</v>
      </c>
      <c r="O434" s="30">
        <v>205</v>
      </c>
      <c r="P434" s="72">
        <v>2904.4719667436198</v>
      </c>
      <c r="Q434" s="84">
        <v>1</v>
      </c>
      <c r="R434" s="30">
        <f t="shared" si="45"/>
        <v>1</v>
      </c>
    </row>
    <row r="435" spans="7:18" x14ac:dyDescent="0.3">
      <c r="G435" s="30">
        <v>206</v>
      </c>
      <c r="H435" s="72">
        <f t="shared" si="46"/>
        <v>243.41036743989144</v>
      </c>
      <c r="I435" s="30">
        <f t="shared" si="47"/>
        <v>-1</v>
      </c>
      <c r="K435" s="30">
        <v>206</v>
      </c>
      <c r="L435" s="72">
        <v>243.41036743989144</v>
      </c>
      <c r="M435" s="84">
        <v>-1</v>
      </c>
      <c r="O435" s="30">
        <v>206</v>
      </c>
      <c r="P435" s="72">
        <v>2936.8054939433373</v>
      </c>
      <c r="Q435" s="84">
        <v>-1</v>
      </c>
      <c r="R435" s="30">
        <f t="shared" si="45"/>
        <v>0</v>
      </c>
    </row>
    <row r="436" spans="7:18" x14ac:dyDescent="0.3">
      <c r="G436" s="30">
        <v>207</v>
      </c>
      <c r="H436" s="72">
        <f t="shared" si="46"/>
        <v>260.32178375485375</v>
      </c>
      <c r="I436" s="30">
        <f t="shared" si="47"/>
        <v>-1</v>
      </c>
      <c r="K436" s="30">
        <v>207</v>
      </c>
      <c r="L436" s="72">
        <v>260.32178375485375</v>
      </c>
      <c r="M436" s="84">
        <v>-1</v>
      </c>
      <c r="O436" s="30">
        <v>207</v>
      </c>
      <c r="P436" s="72">
        <v>2939.3420935954482</v>
      </c>
      <c r="Q436" s="84">
        <v>1</v>
      </c>
      <c r="R436" s="30">
        <f t="shared" si="45"/>
        <v>1</v>
      </c>
    </row>
    <row r="437" spans="7:18" x14ac:dyDescent="0.3">
      <c r="G437" s="30">
        <v>208</v>
      </c>
      <c r="H437" s="72">
        <f t="shared" si="46"/>
        <v>389.36768898480818</v>
      </c>
      <c r="I437" s="30">
        <f t="shared" si="47"/>
        <v>-1</v>
      </c>
      <c r="K437" s="30">
        <v>208</v>
      </c>
      <c r="L437" s="72">
        <v>389.36768898480818</v>
      </c>
      <c r="M437" s="84">
        <v>-1</v>
      </c>
      <c r="O437" s="30">
        <v>208</v>
      </c>
      <c r="P437" s="72">
        <v>2944.8642872181094</v>
      </c>
      <c r="Q437" s="84">
        <v>1</v>
      </c>
      <c r="R437" s="30">
        <f t="shared" si="45"/>
        <v>2</v>
      </c>
    </row>
    <row r="438" spans="7:18" x14ac:dyDescent="0.3">
      <c r="G438" s="30">
        <v>209</v>
      </c>
      <c r="H438" s="72">
        <f t="shared" si="46"/>
        <v>425.19169249262313</v>
      </c>
      <c r="I438" s="30">
        <f t="shared" si="47"/>
        <v>-1</v>
      </c>
      <c r="K438" s="30">
        <v>209</v>
      </c>
      <c r="L438" s="72">
        <v>425.19169249262313</v>
      </c>
      <c r="M438" s="84">
        <v>-1</v>
      </c>
      <c r="O438" s="30">
        <v>209</v>
      </c>
      <c r="P438" s="72">
        <v>2950.914327956426</v>
      </c>
      <c r="Q438" s="84">
        <v>1</v>
      </c>
      <c r="R438" s="30">
        <f t="shared" si="45"/>
        <v>3</v>
      </c>
    </row>
    <row r="439" spans="7:18" x14ac:dyDescent="0.3">
      <c r="G439" s="30">
        <v>210</v>
      </c>
      <c r="H439" s="72">
        <f t="shared" si="46"/>
        <v>430.97466754499652</v>
      </c>
      <c r="I439" s="30">
        <f t="shared" si="47"/>
        <v>-1</v>
      </c>
      <c r="K439" s="30">
        <v>210</v>
      </c>
      <c r="L439" s="72">
        <v>430.97466754499652</v>
      </c>
      <c r="M439" s="84">
        <v>-1</v>
      </c>
      <c r="O439" s="30">
        <v>210</v>
      </c>
      <c r="P439" s="72">
        <v>2959.6330664237785</v>
      </c>
      <c r="Q439" s="84">
        <v>-1</v>
      </c>
      <c r="R439" s="30">
        <f t="shared" si="45"/>
        <v>2</v>
      </c>
    </row>
    <row r="440" spans="7:18" x14ac:dyDescent="0.3">
      <c r="G440" s="30">
        <v>211</v>
      </c>
      <c r="H440" s="72">
        <f t="shared" si="46"/>
        <v>435.58150458814572</v>
      </c>
      <c r="I440" s="30">
        <f t="shared" si="47"/>
        <v>-1</v>
      </c>
      <c r="K440" s="30">
        <v>211</v>
      </c>
      <c r="L440" s="72">
        <v>435.58150458814572</v>
      </c>
      <c r="M440" s="84">
        <v>-1</v>
      </c>
      <c r="O440" s="30">
        <v>211</v>
      </c>
      <c r="P440" s="72">
        <v>2968.432361708502</v>
      </c>
      <c r="Q440" s="84">
        <v>-1</v>
      </c>
      <c r="R440" s="30">
        <f t="shared" si="45"/>
        <v>1</v>
      </c>
    </row>
    <row r="441" spans="7:18" x14ac:dyDescent="0.3">
      <c r="G441" s="30">
        <v>212</v>
      </c>
      <c r="H441" s="72">
        <f t="shared" si="46"/>
        <v>452.60996000494782</v>
      </c>
      <c r="I441" s="30">
        <f t="shared" si="47"/>
        <v>-1</v>
      </c>
      <c r="K441" s="30">
        <v>212</v>
      </c>
      <c r="L441" s="72">
        <v>452.60996000494782</v>
      </c>
      <c r="M441" s="84">
        <v>-1</v>
      </c>
      <c r="O441" s="30">
        <v>212</v>
      </c>
      <c r="P441" s="72">
        <v>2979.6470068144413</v>
      </c>
      <c r="Q441" s="84">
        <v>-1</v>
      </c>
      <c r="R441" s="30">
        <f t="shared" si="45"/>
        <v>0</v>
      </c>
    </row>
    <row r="442" spans="7:18" x14ac:dyDescent="0.3">
      <c r="G442" s="30">
        <v>213</v>
      </c>
      <c r="H442" s="72">
        <f t="shared" si="46"/>
        <v>481.0695949555041</v>
      </c>
      <c r="I442" s="30">
        <f t="shared" si="47"/>
        <v>-1</v>
      </c>
      <c r="K442" s="30">
        <v>213</v>
      </c>
      <c r="L442" s="72">
        <v>481.0695949555041</v>
      </c>
      <c r="M442" s="84">
        <v>-1</v>
      </c>
      <c r="O442" s="30">
        <v>213</v>
      </c>
      <c r="P442" s="72">
        <v>3107.2550626004008</v>
      </c>
      <c r="Q442" s="84">
        <v>1</v>
      </c>
      <c r="R442" s="30">
        <f t="shared" si="45"/>
        <v>1</v>
      </c>
    </row>
    <row r="443" spans="7:18" x14ac:dyDescent="0.3">
      <c r="G443" s="30">
        <v>214</v>
      </c>
      <c r="H443" s="72">
        <f t="shared" si="46"/>
        <v>485.07770617836172</v>
      </c>
      <c r="I443" s="30">
        <f t="shared" si="47"/>
        <v>-1</v>
      </c>
      <c r="K443" s="30">
        <v>214</v>
      </c>
      <c r="L443" s="72">
        <v>485.07770617836172</v>
      </c>
      <c r="M443" s="84">
        <v>-1</v>
      </c>
      <c r="O443" s="30">
        <v>214</v>
      </c>
      <c r="P443" s="72">
        <v>3132.5661007877584</v>
      </c>
      <c r="Q443" s="84">
        <v>1</v>
      </c>
      <c r="R443" s="30">
        <f t="shared" si="45"/>
        <v>2</v>
      </c>
    </row>
    <row r="444" spans="7:18" x14ac:dyDescent="0.3">
      <c r="G444" s="30">
        <v>215</v>
      </c>
      <c r="H444" s="72">
        <f t="shared" si="46"/>
        <v>506.15277839847022</v>
      </c>
      <c r="I444" s="30">
        <f t="shared" si="47"/>
        <v>-1</v>
      </c>
      <c r="K444" s="30">
        <v>215</v>
      </c>
      <c r="L444" s="72">
        <v>506.15277839847022</v>
      </c>
      <c r="M444" s="84">
        <v>-1</v>
      </c>
      <c r="O444" s="30">
        <v>215</v>
      </c>
      <c r="P444" s="72">
        <v>3134.7257440865778</v>
      </c>
      <c r="Q444" s="84">
        <v>1</v>
      </c>
      <c r="R444" s="30">
        <f t="shared" si="45"/>
        <v>3</v>
      </c>
    </row>
    <row r="445" spans="7:18" x14ac:dyDescent="0.3">
      <c r="G445" s="30">
        <v>216</v>
      </c>
      <c r="H445" s="72">
        <f t="shared" si="46"/>
        <v>548.559119878518</v>
      </c>
      <c r="I445" s="30">
        <f t="shared" si="47"/>
        <v>-1</v>
      </c>
      <c r="K445" s="30">
        <v>216</v>
      </c>
      <c r="L445" s="72">
        <v>548.559119878518</v>
      </c>
      <c r="M445" s="84">
        <v>-1</v>
      </c>
      <c r="O445" s="30">
        <v>216</v>
      </c>
      <c r="P445" s="72">
        <v>3143.756637286378</v>
      </c>
      <c r="Q445" s="84">
        <v>-1</v>
      </c>
      <c r="R445" s="30">
        <f t="shared" si="45"/>
        <v>2</v>
      </c>
    </row>
    <row r="446" spans="7:18" x14ac:dyDescent="0.3">
      <c r="G446" s="30">
        <v>217</v>
      </c>
      <c r="H446" s="72">
        <f t="shared" si="46"/>
        <v>563.57668894283097</v>
      </c>
      <c r="I446" s="30">
        <f t="shared" si="47"/>
        <v>-1</v>
      </c>
      <c r="K446" s="30">
        <v>217</v>
      </c>
      <c r="L446" s="72">
        <v>563.57668894283097</v>
      </c>
      <c r="M446" s="84">
        <v>-1</v>
      </c>
      <c r="O446" s="30">
        <v>217</v>
      </c>
      <c r="P446" s="72">
        <v>3149.7068840906563</v>
      </c>
      <c r="Q446" s="84">
        <v>1</v>
      </c>
      <c r="R446" s="30">
        <f t="shared" si="45"/>
        <v>3</v>
      </c>
    </row>
    <row r="447" spans="7:18" x14ac:dyDescent="0.3">
      <c r="G447" s="30">
        <v>218</v>
      </c>
      <c r="H447" s="72">
        <f t="shared" si="46"/>
        <v>589.90597772738715</v>
      </c>
      <c r="I447" s="30">
        <f t="shared" si="47"/>
        <v>-1</v>
      </c>
      <c r="K447" s="30">
        <v>218</v>
      </c>
      <c r="L447" s="72">
        <v>589.90597772738715</v>
      </c>
      <c r="M447" s="84">
        <v>-1</v>
      </c>
      <c r="O447" s="30">
        <v>218</v>
      </c>
      <c r="P447" s="72">
        <v>3157.3784017561811</v>
      </c>
      <c r="Q447" s="84">
        <v>1</v>
      </c>
      <c r="R447" s="30">
        <f t="shared" si="45"/>
        <v>4</v>
      </c>
    </row>
    <row r="448" spans="7:18" x14ac:dyDescent="0.3">
      <c r="G448" s="30">
        <v>219</v>
      </c>
      <c r="H448" s="72">
        <f t="shared" si="46"/>
        <v>604.40350511505596</v>
      </c>
      <c r="I448" s="30">
        <f t="shared" si="47"/>
        <v>-1</v>
      </c>
      <c r="K448" s="30">
        <v>219</v>
      </c>
      <c r="L448" s="72">
        <v>604.40350511505596</v>
      </c>
      <c r="M448" s="84">
        <v>-1</v>
      </c>
      <c r="O448" s="30">
        <v>219</v>
      </c>
      <c r="P448" s="72">
        <v>3163.7599272942193</v>
      </c>
      <c r="Q448" s="84">
        <v>1</v>
      </c>
      <c r="R448" s="30">
        <f t="shared" si="45"/>
        <v>5</v>
      </c>
    </row>
    <row r="449" spans="7:18" x14ac:dyDescent="0.3">
      <c r="G449" s="30">
        <v>220</v>
      </c>
      <c r="H449" s="72">
        <f t="shared" si="46"/>
        <v>702.83536073724679</v>
      </c>
      <c r="I449" s="30">
        <f t="shared" si="47"/>
        <v>-1</v>
      </c>
      <c r="K449" s="30">
        <v>220</v>
      </c>
      <c r="L449" s="72">
        <v>702.83536073724679</v>
      </c>
      <c r="M449" s="84">
        <v>-1</v>
      </c>
      <c r="O449" s="30">
        <v>220</v>
      </c>
      <c r="P449" s="72">
        <v>3185.8506675857589</v>
      </c>
      <c r="Q449" s="84">
        <v>1</v>
      </c>
      <c r="R449" s="30">
        <f t="shared" si="45"/>
        <v>6</v>
      </c>
    </row>
    <row r="450" spans="7:18" x14ac:dyDescent="0.3">
      <c r="G450" s="30">
        <v>221</v>
      </c>
      <c r="H450" s="72">
        <f t="shared" si="46"/>
        <v>705.91127617306779</v>
      </c>
      <c r="I450" s="30">
        <f t="shared" si="47"/>
        <v>-1</v>
      </c>
      <c r="K450" s="30">
        <v>221</v>
      </c>
      <c r="L450" s="72">
        <v>705.91127617306779</v>
      </c>
      <c r="M450" s="84">
        <v>-1</v>
      </c>
      <c r="O450" s="30">
        <v>221</v>
      </c>
      <c r="P450" s="72">
        <v>3187.3763454695763</v>
      </c>
      <c r="Q450" s="84">
        <v>-1</v>
      </c>
      <c r="R450" s="30">
        <f t="shared" si="45"/>
        <v>5</v>
      </c>
    </row>
    <row r="451" spans="7:18" x14ac:dyDescent="0.3">
      <c r="G451" s="30">
        <v>222</v>
      </c>
      <c r="H451" s="72">
        <f t="shared" si="46"/>
        <v>769.93796314675558</v>
      </c>
      <c r="I451" s="30">
        <f t="shared" si="47"/>
        <v>-1</v>
      </c>
      <c r="K451" s="30">
        <v>222</v>
      </c>
      <c r="L451" s="72">
        <v>769.93796314675558</v>
      </c>
      <c r="M451" s="84">
        <v>-1</v>
      </c>
      <c r="O451" s="30">
        <v>222</v>
      </c>
      <c r="P451" s="72">
        <v>3187.5861754929379</v>
      </c>
      <c r="Q451" s="84">
        <v>1</v>
      </c>
      <c r="R451" s="30">
        <f t="shared" si="45"/>
        <v>6</v>
      </c>
    </row>
    <row r="452" spans="7:18" x14ac:dyDescent="0.3">
      <c r="G452" s="30">
        <v>223</v>
      </c>
      <c r="H452" s="72">
        <f t="shared" si="46"/>
        <v>773.25765450681274</v>
      </c>
      <c r="I452" s="30">
        <f t="shared" si="47"/>
        <v>-1</v>
      </c>
      <c r="K452" s="30">
        <v>223</v>
      </c>
      <c r="L452" s="72">
        <v>773.25765450681274</v>
      </c>
      <c r="M452" s="84">
        <v>-1</v>
      </c>
      <c r="O452" s="30">
        <v>223</v>
      </c>
      <c r="P452" s="72">
        <v>3196.9132112065727</v>
      </c>
      <c r="Q452" s="84">
        <v>-1</v>
      </c>
      <c r="R452" s="30">
        <f t="shared" si="45"/>
        <v>5</v>
      </c>
    </row>
    <row r="453" spans="7:18" x14ac:dyDescent="0.3">
      <c r="G453" s="30">
        <v>224</v>
      </c>
      <c r="H453" s="72">
        <f t="shared" si="46"/>
        <v>799.05537115456355</v>
      </c>
      <c r="I453" s="30">
        <f t="shared" si="47"/>
        <v>-1</v>
      </c>
      <c r="K453" s="30">
        <v>224</v>
      </c>
      <c r="L453" s="72">
        <v>799.05537115456355</v>
      </c>
      <c r="M453" s="84">
        <v>-1</v>
      </c>
      <c r="O453" s="30">
        <v>224</v>
      </c>
      <c r="P453" s="72">
        <v>3229.6058240232755</v>
      </c>
      <c r="Q453" s="84">
        <v>-1</v>
      </c>
      <c r="R453" s="30">
        <f t="shared" si="45"/>
        <v>4</v>
      </c>
    </row>
    <row r="454" spans="7:18" x14ac:dyDescent="0.3">
      <c r="G454" s="30">
        <v>225</v>
      </c>
      <c r="H454" s="72">
        <f t="shared" si="46"/>
        <v>809.71061397542849</v>
      </c>
      <c r="I454" s="30">
        <f t="shared" si="47"/>
        <v>-1</v>
      </c>
      <c r="K454" s="30">
        <v>225</v>
      </c>
      <c r="L454" s="72">
        <v>809.71061397542849</v>
      </c>
      <c r="M454" s="84">
        <v>-1</v>
      </c>
      <c r="O454" s="30">
        <v>225</v>
      </c>
      <c r="P454" s="72">
        <v>3288.0889176184583</v>
      </c>
      <c r="Q454" s="84">
        <v>-1</v>
      </c>
      <c r="R454" s="30">
        <f t="shared" si="45"/>
        <v>3</v>
      </c>
    </row>
    <row r="455" spans="7:18" x14ac:dyDescent="0.3">
      <c r="G455" s="30">
        <v>226</v>
      </c>
      <c r="H455" s="72">
        <f t="shared" si="46"/>
        <v>875.51474475133853</v>
      </c>
      <c r="I455" s="30">
        <f t="shared" si="47"/>
        <v>-1</v>
      </c>
      <c r="K455" s="30">
        <v>226</v>
      </c>
      <c r="L455" s="72">
        <v>875.51474475133853</v>
      </c>
      <c r="M455" s="84">
        <v>-1</v>
      </c>
      <c r="O455" s="30">
        <v>226</v>
      </c>
      <c r="P455" s="72">
        <v>3300.4791338596947</v>
      </c>
      <c r="Q455" s="84">
        <v>-1</v>
      </c>
      <c r="R455" s="30">
        <f t="shared" si="45"/>
        <v>2</v>
      </c>
    </row>
    <row r="456" spans="7:18" x14ac:dyDescent="0.3">
      <c r="G456" s="30">
        <v>227</v>
      </c>
      <c r="H456" s="72">
        <f t="shared" si="46"/>
        <v>922.27365656594191</v>
      </c>
      <c r="I456" s="30">
        <f t="shared" si="47"/>
        <v>-1</v>
      </c>
      <c r="K456" s="30">
        <v>227</v>
      </c>
      <c r="L456" s="72">
        <v>922.27365656594191</v>
      </c>
      <c r="M456" s="84">
        <v>-1</v>
      </c>
      <c r="O456" s="30">
        <v>227</v>
      </c>
      <c r="P456" s="72">
        <v>3333.755528167836</v>
      </c>
      <c r="Q456" s="84">
        <v>1</v>
      </c>
      <c r="R456" s="30">
        <f t="shared" si="45"/>
        <v>3</v>
      </c>
    </row>
    <row r="457" spans="7:18" x14ac:dyDescent="0.3">
      <c r="G457" s="30">
        <v>228</v>
      </c>
      <c r="H457" s="72">
        <f t="shared" si="46"/>
        <v>951.41598952260017</v>
      </c>
      <c r="I457" s="30">
        <f t="shared" si="47"/>
        <v>-1</v>
      </c>
      <c r="K457" s="30">
        <v>228</v>
      </c>
      <c r="L457" s="72">
        <v>951.41598952260017</v>
      </c>
      <c r="M457" s="84">
        <v>-1</v>
      </c>
      <c r="O457" s="30">
        <v>228</v>
      </c>
      <c r="P457" s="72">
        <v>3348.5131786741435</v>
      </c>
      <c r="Q457" s="84">
        <v>1</v>
      </c>
      <c r="R457" s="30">
        <f t="shared" si="45"/>
        <v>4</v>
      </c>
    </row>
    <row r="458" spans="7:18" x14ac:dyDescent="0.3">
      <c r="G458" s="30">
        <v>229</v>
      </c>
      <c r="H458" s="72">
        <f t="shared" si="46"/>
        <v>999.65364277525202</v>
      </c>
      <c r="I458" s="30">
        <f t="shared" si="47"/>
        <v>-1</v>
      </c>
      <c r="K458" s="30">
        <v>229</v>
      </c>
      <c r="L458" s="72">
        <v>999.65364277525202</v>
      </c>
      <c r="M458" s="84">
        <v>-1</v>
      </c>
      <c r="O458" s="30">
        <v>229</v>
      </c>
      <c r="P458" s="72">
        <v>3362.5681507833751</v>
      </c>
      <c r="Q458" s="84">
        <v>-1</v>
      </c>
      <c r="R458" s="30">
        <f t="shared" si="45"/>
        <v>3</v>
      </c>
    </row>
    <row r="459" spans="7:18" x14ac:dyDescent="0.3">
      <c r="G459" s="30">
        <v>230</v>
      </c>
      <c r="H459" s="72">
        <f t="shared" si="46"/>
        <v>1003.8656957416249</v>
      </c>
      <c r="I459" s="30">
        <f t="shared" si="47"/>
        <v>-1</v>
      </c>
      <c r="K459" s="30">
        <v>230</v>
      </c>
      <c r="L459" s="72">
        <v>1003.8656957416249</v>
      </c>
      <c r="M459" s="84">
        <v>-1</v>
      </c>
      <c r="O459" s="30">
        <v>230</v>
      </c>
      <c r="P459" s="72">
        <v>3366.8216227097951</v>
      </c>
      <c r="Q459" s="84">
        <v>-1</v>
      </c>
      <c r="R459" s="30">
        <f t="shared" si="45"/>
        <v>2</v>
      </c>
    </row>
    <row r="460" spans="7:18" x14ac:dyDescent="0.3">
      <c r="G460" s="30">
        <v>231</v>
      </c>
      <c r="H460" s="72">
        <f t="shared" si="46"/>
        <v>1022.9952845046004</v>
      </c>
      <c r="I460" s="30">
        <f t="shared" si="47"/>
        <v>-1</v>
      </c>
      <c r="K460" s="30">
        <v>231</v>
      </c>
      <c r="L460" s="72">
        <v>1022.9952845046004</v>
      </c>
      <c r="M460" s="84">
        <v>-1</v>
      </c>
      <c r="O460" s="30">
        <v>231</v>
      </c>
      <c r="P460" s="72">
        <v>3390.0213345878947</v>
      </c>
      <c r="Q460" s="84">
        <v>1</v>
      </c>
      <c r="R460" s="30">
        <f t="shared" si="45"/>
        <v>3</v>
      </c>
    </row>
    <row r="461" spans="7:18" x14ac:dyDescent="0.3">
      <c r="G461" s="30">
        <v>232</v>
      </c>
      <c r="H461" s="72">
        <f t="shared" si="46"/>
        <v>1059.663368308715</v>
      </c>
      <c r="I461" s="30">
        <f t="shared" si="47"/>
        <v>-1</v>
      </c>
      <c r="K461" s="30">
        <v>232</v>
      </c>
      <c r="L461" s="72">
        <v>1059.663368308715</v>
      </c>
      <c r="M461" s="84">
        <v>-1</v>
      </c>
      <c r="O461" s="30">
        <v>232</v>
      </c>
      <c r="P461" s="72">
        <v>3409.590912333761</v>
      </c>
      <c r="Q461" s="84">
        <v>-1</v>
      </c>
      <c r="R461" s="30">
        <f t="shared" si="45"/>
        <v>2</v>
      </c>
    </row>
    <row r="462" spans="7:18" x14ac:dyDescent="0.3">
      <c r="G462" s="30">
        <v>233</v>
      </c>
      <c r="H462" s="72">
        <f t="shared" si="46"/>
        <v>1097.9575135705545</v>
      </c>
      <c r="I462" s="30">
        <f t="shared" si="47"/>
        <v>-1</v>
      </c>
      <c r="K462" s="30">
        <v>233</v>
      </c>
      <c r="L462" s="72">
        <v>1097.9575135705545</v>
      </c>
      <c r="M462" s="84">
        <v>-1</v>
      </c>
      <c r="O462" s="30">
        <v>233</v>
      </c>
      <c r="P462" s="72">
        <v>3416.9145614272447</v>
      </c>
      <c r="Q462" s="84">
        <v>1</v>
      </c>
      <c r="R462" s="30">
        <f t="shared" si="45"/>
        <v>3</v>
      </c>
    </row>
    <row r="463" spans="7:18" x14ac:dyDescent="0.3">
      <c r="G463" s="30">
        <v>234</v>
      </c>
      <c r="H463" s="72">
        <f t="shared" si="46"/>
        <v>1103.0203224134211</v>
      </c>
      <c r="I463" s="30">
        <f t="shared" si="47"/>
        <v>-1</v>
      </c>
      <c r="K463" s="30">
        <v>234</v>
      </c>
      <c r="L463" s="72">
        <v>1103.0203224134211</v>
      </c>
      <c r="M463" s="84">
        <v>-1</v>
      </c>
      <c r="O463" s="30">
        <v>234</v>
      </c>
      <c r="P463" s="72">
        <v>3425.7759530615326</v>
      </c>
      <c r="Q463" s="84">
        <v>-1</v>
      </c>
      <c r="R463" s="30">
        <f t="shared" si="45"/>
        <v>2</v>
      </c>
    </row>
    <row r="464" spans="7:18" x14ac:dyDescent="0.3">
      <c r="G464" s="30">
        <v>235</v>
      </c>
      <c r="H464" s="72">
        <f t="shared" si="46"/>
        <v>1155.7741525268877</v>
      </c>
      <c r="I464" s="30">
        <f t="shared" si="47"/>
        <v>-1</v>
      </c>
      <c r="K464" s="30">
        <v>235</v>
      </c>
      <c r="L464" s="72">
        <v>1155.7741525268877</v>
      </c>
      <c r="M464" s="84">
        <v>-1</v>
      </c>
      <c r="O464" s="30">
        <v>235</v>
      </c>
      <c r="P464" s="72">
        <v>3442.5143654743929</v>
      </c>
      <c r="Q464" s="84">
        <v>1</v>
      </c>
      <c r="R464" s="30">
        <f t="shared" si="45"/>
        <v>3</v>
      </c>
    </row>
    <row r="465" spans="7:18" x14ac:dyDescent="0.3">
      <c r="G465" s="30">
        <v>236</v>
      </c>
      <c r="H465" s="72">
        <f t="shared" si="46"/>
        <v>1188.9421902204367</v>
      </c>
      <c r="I465" s="30">
        <f t="shared" si="47"/>
        <v>-1</v>
      </c>
      <c r="K465" s="30">
        <v>236</v>
      </c>
      <c r="L465" s="72">
        <v>1188.9421902204367</v>
      </c>
      <c r="M465" s="84">
        <v>-1</v>
      </c>
      <c r="O465" s="30">
        <v>236</v>
      </c>
      <c r="P465" s="72">
        <v>3443.3214188210432</v>
      </c>
      <c r="Q465" s="84">
        <v>1</v>
      </c>
      <c r="R465" s="30">
        <f t="shared" si="45"/>
        <v>4</v>
      </c>
    </row>
    <row r="466" spans="7:18" x14ac:dyDescent="0.3">
      <c r="G466" s="30">
        <v>237</v>
      </c>
      <c r="H466" s="72">
        <f t="shared" si="46"/>
        <v>1197.5517005876106</v>
      </c>
      <c r="I466" s="30">
        <f t="shared" si="47"/>
        <v>-1</v>
      </c>
      <c r="K466" s="30">
        <v>237</v>
      </c>
      <c r="L466" s="72">
        <v>1197.5517005876106</v>
      </c>
      <c r="M466" s="84">
        <v>-1</v>
      </c>
      <c r="O466" s="30">
        <v>237</v>
      </c>
      <c r="P466" s="72">
        <v>3457.8120055866148</v>
      </c>
      <c r="Q466" s="84">
        <v>-1</v>
      </c>
      <c r="R466" s="30">
        <f t="shared" si="45"/>
        <v>3</v>
      </c>
    </row>
    <row r="467" spans="7:18" x14ac:dyDescent="0.3">
      <c r="G467" s="30">
        <v>238</v>
      </c>
      <c r="H467" s="72">
        <f t="shared" si="46"/>
        <v>1234.0295235777012</v>
      </c>
      <c r="I467" s="30">
        <f t="shared" si="47"/>
        <v>-1</v>
      </c>
      <c r="K467" s="30">
        <v>238</v>
      </c>
      <c r="L467" s="72">
        <v>1234.0295235777012</v>
      </c>
      <c r="M467" s="84">
        <v>-1</v>
      </c>
      <c r="O467" s="30">
        <v>238</v>
      </c>
      <c r="P467" s="72">
        <v>3465.6204856791951</v>
      </c>
      <c r="Q467" s="84">
        <v>1</v>
      </c>
      <c r="R467" s="30">
        <f t="shared" si="45"/>
        <v>4</v>
      </c>
    </row>
    <row r="468" spans="7:18" x14ac:dyDescent="0.3">
      <c r="G468" s="30">
        <v>239</v>
      </c>
      <c r="H468" s="72">
        <f t="shared" si="46"/>
        <v>1250.8379633625846</v>
      </c>
      <c r="I468" s="30">
        <f t="shared" si="47"/>
        <v>-1</v>
      </c>
      <c r="K468" s="30">
        <v>239</v>
      </c>
      <c r="L468" s="72">
        <v>1250.8379633625846</v>
      </c>
      <c r="M468" s="84">
        <v>-1</v>
      </c>
      <c r="O468" s="30">
        <v>239</v>
      </c>
      <c r="P468" s="72">
        <v>3476.0759985977302</v>
      </c>
      <c r="Q468" s="84">
        <v>-1</v>
      </c>
      <c r="R468" s="30">
        <f t="shared" si="45"/>
        <v>3</v>
      </c>
    </row>
    <row r="469" spans="7:18" x14ac:dyDescent="0.3">
      <c r="G469" s="30">
        <v>240</v>
      </c>
      <c r="H469" s="72">
        <f t="shared" si="46"/>
        <v>1307.3458021838778</v>
      </c>
      <c r="I469" s="30">
        <f t="shared" si="47"/>
        <v>-1</v>
      </c>
      <c r="K469" s="30">
        <v>240</v>
      </c>
      <c r="L469" s="72">
        <v>1307.3458021838778</v>
      </c>
      <c r="M469" s="84">
        <v>-1</v>
      </c>
      <c r="O469" s="30">
        <v>240</v>
      </c>
      <c r="P469" s="72">
        <v>3476.9197315741139</v>
      </c>
      <c r="Q469" s="84">
        <v>1</v>
      </c>
      <c r="R469" s="30">
        <f t="shared" si="45"/>
        <v>4</v>
      </c>
    </row>
    <row r="470" spans="7:18" x14ac:dyDescent="0.3">
      <c r="G470" s="30">
        <v>241</v>
      </c>
      <c r="H470" s="72">
        <f t="shared" si="46"/>
        <v>1312.4648465188943</v>
      </c>
      <c r="I470" s="30">
        <f t="shared" si="47"/>
        <v>-1</v>
      </c>
      <c r="K470" s="30">
        <v>241</v>
      </c>
      <c r="L470" s="72">
        <v>1312.4648465188943</v>
      </c>
      <c r="M470" s="84">
        <v>-1</v>
      </c>
      <c r="O470" s="30">
        <v>241</v>
      </c>
      <c r="P470" s="72">
        <v>3513.3906721665749</v>
      </c>
      <c r="Q470" s="84">
        <v>1</v>
      </c>
      <c r="R470" s="30">
        <f t="shared" si="45"/>
        <v>5</v>
      </c>
    </row>
    <row r="471" spans="7:18" x14ac:dyDescent="0.3">
      <c r="G471" s="30">
        <v>242</v>
      </c>
      <c r="H471" s="72">
        <f t="shared" si="46"/>
        <v>1399.2069007263467</v>
      </c>
      <c r="I471" s="30">
        <f t="shared" si="47"/>
        <v>-1</v>
      </c>
      <c r="K471" s="30">
        <v>242</v>
      </c>
      <c r="L471" s="72">
        <v>1399.2069007263467</v>
      </c>
      <c r="M471" s="84">
        <v>-1</v>
      </c>
      <c r="O471" s="30">
        <v>242</v>
      </c>
      <c r="P471" s="72">
        <v>3552.0023354963369</v>
      </c>
      <c r="Q471" s="84">
        <v>1</v>
      </c>
      <c r="R471" s="30">
        <f t="shared" si="45"/>
        <v>6</v>
      </c>
    </row>
    <row r="472" spans="7:18" x14ac:dyDescent="0.3">
      <c r="G472" s="30">
        <v>243</v>
      </c>
      <c r="H472" s="72">
        <f t="shared" si="46"/>
        <v>1421.9061290364025</v>
      </c>
      <c r="I472" s="30">
        <f t="shared" si="47"/>
        <v>-1</v>
      </c>
      <c r="K472" s="30">
        <v>243</v>
      </c>
      <c r="L472" s="72">
        <v>1421.9061290364025</v>
      </c>
      <c r="M472" s="84">
        <v>-1</v>
      </c>
      <c r="O472" s="30">
        <v>243</v>
      </c>
      <c r="P472" s="72">
        <v>3553.9812171205563</v>
      </c>
      <c r="Q472" s="84">
        <v>1</v>
      </c>
      <c r="R472" s="30">
        <f t="shared" si="45"/>
        <v>7</v>
      </c>
    </row>
    <row r="473" spans="7:18" x14ac:dyDescent="0.3">
      <c r="G473" s="30">
        <v>244</v>
      </c>
      <c r="H473" s="72">
        <f t="shared" si="46"/>
        <v>1456.9165459903782</v>
      </c>
      <c r="I473" s="30">
        <f t="shared" si="47"/>
        <v>-1</v>
      </c>
      <c r="K473" s="30">
        <v>244</v>
      </c>
      <c r="L473" s="72">
        <v>1456.9165459903782</v>
      </c>
      <c r="M473" s="84">
        <v>-1</v>
      </c>
      <c r="O473" s="30">
        <v>244</v>
      </c>
      <c r="P473" s="72">
        <v>3562.1296952472376</v>
      </c>
      <c r="Q473" s="84">
        <v>1</v>
      </c>
      <c r="R473" s="30">
        <f t="shared" si="45"/>
        <v>8</v>
      </c>
    </row>
    <row r="474" spans="7:18" x14ac:dyDescent="0.3">
      <c r="G474" s="30">
        <v>245</v>
      </c>
      <c r="H474" s="72">
        <f t="shared" si="46"/>
        <v>1460.9239076650276</v>
      </c>
      <c r="I474" s="30">
        <f t="shared" si="47"/>
        <v>-1</v>
      </c>
      <c r="K474" s="30">
        <v>245</v>
      </c>
      <c r="L474" s="72">
        <v>1460.9239076650276</v>
      </c>
      <c r="M474" s="84">
        <v>-1</v>
      </c>
      <c r="O474" s="30">
        <v>245</v>
      </c>
      <c r="P474" s="72">
        <v>3567.6048786316305</v>
      </c>
      <c r="Q474" s="84">
        <v>1</v>
      </c>
      <c r="R474" s="30">
        <f t="shared" si="45"/>
        <v>9</v>
      </c>
    </row>
    <row r="475" spans="7:18" x14ac:dyDescent="0.3">
      <c r="G475" s="30">
        <v>246</v>
      </c>
      <c r="H475" s="72">
        <f t="shared" si="46"/>
        <v>1460.9739814062623</v>
      </c>
      <c r="I475" s="30">
        <f t="shared" si="47"/>
        <v>-1</v>
      </c>
      <c r="K475" s="30">
        <v>246</v>
      </c>
      <c r="L475" s="72">
        <v>1460.9739814062623</v>
      </c>
      <c r="M475" s="84">
        <v>-1</v>
      </c>
      <c r="O475" s="30">
        <v>246</v>
      </c>
      <c r="P475" s="72">
        <v>3573.2611084347709</v>
      </c>
      <c r="Q475" s="84">
        <v>1</v>
      </c>
      <c r="R475" s="30">
        <f t="shared" si="45"/>
        <v>10</v>
      </c>
    </row>
    <row r="476" spans="7:18" x14ac:dyDescent="0.3">
      <c r="G476" s="30">
        <v>247</v>
      </c>
      <c r="H476" s="72">
        <f t="shared" si="46"/>
        <v>1480.8989580662926</v>
      </c>
      <c r="I476" s="30">
        <f t="shared" si="47"/>
        <v>-1</v>
      </c>
      <c r="K476" s="30">
        <v>247</v>
      </c>
      <c r="L476" s="72">
        <v>1480.8989580662926</v>
      </c>
      <c r="M476" s="84">
        <v>-1</v>
      </c>
      <c r="O476" s="30">
        <v>247</v>
      </c>
      <c r="P476" s="72">
        <v>3578.6990445986494</v>
      </c>
      <c r="Q476" s="84">
        <v>1</v>
      </c>
      <c r="R476" s="30">
        <f t="shared" si="45"/>
        <v>11</v>
      </c>
    </row>
    <row r="477" spans="7:18" x14ac:dyDescent="0.3">
      <c r="G477" s="30">
        <v>248</v>
      </c>
      <c r="H477" s="72">
        <f t="shared" si="46"/>
        <v>1491.8585310344943</v>
      </c>
      <c r="I477" s="30">
        <f t="shared" si="47"/>
        <v>-1</v>
      </c>
      <c r="K477" s="30">
        <v>248</v>
      </c>
      <c r="L477" s="72">
        <v>1491.8585310344943</v>
      </c>
      <c r="M477" s="84">
        <v>-1</v>
      </c>
      <c r="O477" s="30">
        <v>248</v>
      </c>
      <c r="P477" s="72">
        <v>3606.8627868838507</v>
      </c>
      <c r="Q477" s="84">
        <v>-1</v>
      </c>
      <c r="R477" s="30">
        <f t="shared" si="45"/>
        <v>10</v>
      </c>
    </row>
    <row r="478" spans="7:18" x14ac:dyDescent="0.3">
      <c r="G478" s="30">
        <v>249</v>
      </c>
      <c r="H478" s="72">
        <f t="shared" si="46"/>
        <v>1541.0147321932745</v>
      </c>
      <c r="I478" s="30">
        <f t="shared" si="47"/>
        <v>-1</v>
      </c>
      <c r="K478" s="30">
        <v>249</v>
      </c>
      <c r="L478" s="72">
        <v>1541.0147321932745</v>
      </c>
      <c r="M478" s="84">
        <v>-1</v>
      </c>
      <c r="O478" s="30">
        <v>249</v>
      </c>
      <c r="P478" s="72">
        <v>3631.9423382140499</v>
      </c>
      <c r="Q478" s="84">
        <v>-1</v>
      </c>
      <c r="R478" s="30">
        <f t="shared" si="45"/>
        <v>9</v>
      </c>
    </row>
    <row r="479" spans="7:18" x14ac:dyDescent="0.3">
      <c r="G479" s="30">
        <v>250</v>
      </c>
      <c r="H479" s="72">
        <f t="shared" si="46"/>
        <v>1547.1473003423962</v>
      </c>
      <c r="I479" s="30">
        <f t="shared" si="47"/>
        <v>-1</v>
      </c>
      <c r="K479" s="30">
        <v>250</v>
      </c>
      <c r="L479" s="72">
        <v>1547.1473003423962</v>
      </c>
      <c r="M479" s="84">
        <v>-1</v>
      </c>
      <c r="O479" s="30">
        <v>250</v>
      </c>
      <c r="P479" s="72">
        <v>3650.7055501940758</v>
      </c>
      <c r="Q479" s="84">
        <v>-1</v>
      </c>
      <c r="R479" s="30">
        <f t="shared" si="45"/>
        <v>8</v>
      </c>
    </row>
    <row r="480" spans="7:18" x14ac:dyDescent="0.3">
      <c r="G480" s="30">
        <v>251</v>
      </c>
      <c r="H480" s="72">
        <f t="shared" si="46"/>
        <v>1608.8173187368693</v>
      </c>
      <c r="I480" s="30">
        <f t="shared" si="47"/>
        <v>-1</v>
      </c>
      <c r="K480" s="30">
        <v>251</v>
      </c>
      <c r="L480" s="72">
        <v>1608.8173187368693</v>
      </c>
      <c r="M480" s="84">
        <v>-1</v>
      </c>
      <c r="O480" s="30">
        <v>251</v>
      </c>
      <c r="P480" s="72">
        <v>3662.3376606456281</v>
      </c>
      <c r="Q480" s="84">
        <v>-1</v>
      </c>
      <c r="R480" s="30">
        <f t="shared" si="45"/>
        <v>7</v>
      </c>
    </row>
    <row r="481" spans="7:18" x14ac:dyDescent="0.3">
      <c r="G481" s="30">
        <v>252</v>
      </c>
      <c r="H481" s="72">
        <f t="shared" si="46"/>
        <v>1622.9942372597811</v>
      </c>
      <c r="I481" s="30">
        <f t="shared" si="47"/>
        <v>-1</v>
      </c>
      <c r="K481" s="30">
        <v>252</v>
      </c>
      <c r="L481" s="72">
        <v>1622.9942372597811</v>
      </c>
      <c r="M481" s="84">
        <v>-1</v>
      </c>
      <c r="O481" s="30">
        <v>252</v>
      </c>
      <c r="P481" s="72">
        <v>3680.4303067330479</v>
      </c>
      <c r="Q481" s="84">
        <v>1</v>
      </c>
      <c r="R481" s="30">
        <f t="shared" si="45"/>
        <v>8</v>
      </c>
    </row>
    <row r="482" spans="7:18" x14ac:dyDescent="0.3">
      <c r="G482" s="30">
        <v>253</v>
      </c>
      <c r="H482" s="72">
        <f t="shared" si="46"/>
        <v>1627.3600171772603</v>
      </c>
      <c r="I482" s="30">
        <f t="shared" si="47"/>
        <v>-1</v>
      </c>
      <c r="K482" s="30">
        <v>253</v>
      </c>
      <c r="L482" s="72">
        <v>1627.3600171772603</v>
      </c>
      <c r="M482" s="84">
        <v>-1</v>
      </c>
      <c r="O482" s="30">
        <v>253</v>
      </c>
      <c r="P482" s="72">
        <v>3699.8229005893136</v>
      </c>
      <c r="Q482" s="84">
        <v>-1</v>
      </c>
      <c r="R482" s="30">
        <f t="shared" si="45"/>
        <v>7</v>
      </c>
    </row>
    <row r="483" spans="7:18" x14ac:dyDescent="0.3">
      <c r="G483" s="30">
        <v>254</v>
      </c>
      <c r="H483" s="72">
        <f t="shared" si="46"/>
        <v>1648.1461552879946</v>
      </c>
      <c r="I483" s="30">
        <f t="shared" si="47"/>
        <v>-1</v>
      </c>
      <c r="K483" s="30">
        <v>254</v>
      </c>
      <c r="L483" s="72">
        <v>1648.1461552879946</v>
      </c>
      <c r="M483" s="84">
        <v>-1</v>
      </c>
      <c r="O483" s="30">
        <v>254</v>
      </c>
      <c r="P483" s="72">
        <v>3709.7192122429078</v>
      </c>
      <c r="Q483" s="84">
        <v>-1</v>
      </c>
      <c r="R483" s="30">
        <f t="shared" si="45"/>
        <v>6</v>
      </c>
    </row>
    <row r="484" spans="7:18" x14ac:dyDescent="0.3">
      <c r="G484" s="30">
        <v>255</v>
      </c>
      <c r="H484" s="72">
        <f t="shared" si="46"/>
        <v>1670.122231798988</v>
      </c>
      <c r="I484" s="30">
        <f t="shared" si="47"/>
        <v>-1</v>
      </c>
      <c r="K484" s="30">
        <v>255</v>
      </c>
      <c r="L484" s="72">
        <v>1670.122231798988</v>
      </c>
      <c r="M484" s="84">
        <v>-1</v>
      </c>
      <c r="O484" s="30">
        <v>255</v>
      </c>
      <c r="P484" s="72">
        <v>3741.6527581572445</v>
      </c>
      <c r="Q484" s="84">
        <v>1</v>
      </c>
      <c r="R484" s="30">
        <f t="shared" si="45"/>
        <v>7</v>
      </c>
    </row>
    <row r="485" spans="7:18" x14ac:dyDescent="0.3">
      <c r="G485" s="30">
        <v>256</v>
      </c>
      <c r="H485" s="72">
        <f t="shared" si="46"/>
        <v>1803.0154226890786</v>
      </c>
      <c r="I485" s="30">
        <f t="shared" si="47"/>
        <v>-1</v>
      </c>
      <c r="K485" s="30">
        <v>256</v>
      </c>
      <c r="L485" s="72">
        <v>1803.0154226890786</v>
      </c>
      <c r="M485" s="84">
        <v>-1</v>
      </c>
      <c r="O485" s="30">
        <v>256</v>
      </c>
      <c r="P485" s="72">
        <v>3751.7062623196302</v>
      </c>
      <c r="Q485" s="84">
        <v>1</v>
      </c>
      <c r="R485" s="30">
        <f t="shared" si="45"/>
        <v>8</v>
      </c>
    </row>
    <row r="486" spans="7:18" x14ac:dyDescent="0.3">
      <c r="G486" s="30">
        <v>257</v>
      </c>
      <c r="H486" s="72">
        <f t="shared" si="46"/>
        <v>1817.4527384863891</v>
      </c>
      <c r="I486" s="30">
        <f t="shared" si="47"/>
        <v>-1</v>
      </c>
      <c r="K486" s="30">
        <v>257</v>
      </c>
      <c r="L486" s="72">
        <v>1817.4527384863891</v>
      </c>
      <c r="M486" s="84">
        <v>-1</v>
      </c>
      <c r="O486" s="30">
        <v>257</v>
      </c>
      <c r="P486" s="72">
        <v>3786.6170757929713</v>
      </c>
      <c r="Q486" s="84">
        <v>-1</v>
      </c>
      <c r="R486" s="30">
        <f t="shared" si="45"/>
        <v>7</v>
      </c>
    </row>
    <row r="487" spans="7:18" x14ac:dyDescent="0.3">
      <c r="G487" s="30">
        <v>258</v>
      </c>
      <c r="H487" s="72">
        <f t="shared" si="46"/>
        <v>1818.8338715267314</v>
      </c>
      <c r="I487" s="30">
        <f t="shared" si="47"/>
        <v>-1</v>
      </c>
      <c r="K487" s="30">
        <v>258</v>
      </c>
      <c r="L487" s="72">
        <v>1818.8338715267314</v>
      </c>
      <c r="M487" s="84">
        <v>-1</v>
      </c>
      <c r="O487" s="30">
        <v>258</v>
      </c>
      <c r="P487" s="72">
        <v>3787.1090923288943</v>
      </c>
      <c r="Q487" s="84">
        <v>1</v>
      </c>
      <c r="R487" s="30">
        <f t="shared" si="45"/>
        <v>8</v>
      </c>
    </row>
    <row r="488" spans="7:18" x14ac:dyDescent="0.3">
      <c r="G488" s="30">
        <v>259</v>
      </c>
      <c r="H488" s="72">
        <f t="shared" si="46"/>
        <v>1826.8933450197273</v>
      </c>
      <c r="I488" s="30">
        <f t="shared" si="47"/>
        <v>-1</v>
      </c>
      <c r="K488" s="30">
        <v>259</v>
      </c>
      <c r="L488" s="72">
        <v>1826.8933450197273</v>
      </c>
      <c r="M488" s="84">
        <v>-1</v>
      </c>
      <c r="O488" s="30">
        <v>259</v>
      </c>
      <c r="P488" s="72">
        <v>3802.253531861556</v>
      </c>
      <c r="Q488" s="84">
        <v>-1</v>
      </c>
      <c r="R488" s="30">
        <f t="shared" ref="R488:R551" si="48">R487+Q488</f>
        <v>7</v>
      </c>
    </row>
    <row r="489" spans="7:18" x14ac:dyDescent="0.3">
      <c r="G489" s="30">
        <v>260</v>
      </c>
      <c r="H489" s="72">
        <f t="shared" si="46"/>
        <v>1829.7343065066782</v>
      </c>
      <c r="I489" s="30">
        <f t="shared" si="47"/>
        <v>-1</v>
      </c>
      <c r="K489" s="30">
        <v>260</v>
      </c>
      <c r="L489" s="72">
        <v>1829.7343065066782</v>
      </c>
      <c r="M489" s="84">
        <v>-1</v>
      </c>
      <c r="O489" s="30">
        <v>260</v>
      </c>
      <c r="P489" s="72">
        <v>3802.9060210302578</v>
      </c>
      <c r="Q489" s="84">
        <v>-1</v>
      </c>
      <c r="R489" s="30">
        <f t="shared" si="48"/>
        <v>6</v>
      </c>
    </row>
    <row r="490" spans="7:18" x14ac:dyDescent="0.3">
      <c r="G490" s="30">
        <v>261</v>
      </c>
      <c r="H490" s="72">
        <f t="shared" si="46"/>
        <v>1869.3514595567847</v>
      </c>
      <c r="I490" s="30">
        <f t="shared" si="47"/>
        <v>-1</v>
      </c>
      <c r="K490" s="30">
        <v>261</v>
      </c>
      <c r="L490" s="72">
        <v>1869.3514595567847</v>
      </c>
      <c r="M490" s="84">
        <v>-1</v>
      </c>
      <c r="O490" s="30">
        <v>261</v>
      </c>
      <c r="P490" s="72">
        <v>3806.0099259732765</v>
      </c>
      <c r="Q490" s="84">
        <v>1</v>
      </c>
      <c r="R490" s="30">
        <f t="shared" si="48"/>
        <v>7</v>
      </c>
    </row>
    <row r="491" spans="7:18" x14ac:dyDescent="0.3">
      <c r="G491" s="30">
        <v>262</v>
      </c>
      <c r="H491" s="72">
        <f t="shared" si="46"/>
        <v>1880.2653049444159</v>
      </c>
      <c r="I491" s="30">
        <f t="shared" si="47"/>
        <v>-1</v>
      </c>
      <c r="K491" s="30">
        <v>262</v>
      </c>
      <c r="L491" s="72">
        <v>1880.2653049444159</v>
      </c>
      <c r="M491" s="84">
        <v>-1</v>
      </c>
      <c r="O491" s="30">
        <v>262</v>
      </c>
      <c r="P491" s="72">
        <v>3816.7730850994049</v>
      </c>
      <c r="Q491" s="84">
        <v>1</v>
      </c>
      <c r="R491" s="30">
        <f t="shared" si="48"/>
        <v>8</v>
      </c>
    </row>
    <row r="492" spans="7:18" x14ac:dyDescent="0.3">
      <c r="G492" s="30">
        <v>263</v>
      </c>
      <c r="H492" s="72">
        <f t="shared" si="46"/>
        <v>1886.0702574027086</v>
      </c>
      <c r="I492" s="30">
        <f t="shared" si="47"/>
        <v>-1</v>
      </c>
      <c r="K492" s="30">
        <v>263</v>
      </c>
      <c r="L492" s="72">
        <v>1886.0702574027086</v>
      </c>
      <c r="M492" s="84">
        <v>-1</v>
      </c>
      <c r="O492" s="30">
        <v>263</v>
      </c>
      <c r="P492" s="72">
        <v>3823.5837098554193</v>
      </c>
      <c r="Q492" s="84">
        <v>1</v>
      </c>
      <c r="R492" s="30">
        <f t="shared" si="48"/>
        <v>9</v>
      </c>
    </row>
    <row r="493" spans="7:18" x14ac:dyDescent="0.3">
      <c r="G493" s="30">
        <v>264</v>
      </c>
      <c r="H493" s="72">
        <f t="shared" si="46"/>
        <v>1935.8001554120654</v>
      </c>
      <c r="I493" s="30">
        <f t="shared" si="47"/>
        <v>-1</v>
      </c>
      <c r="K493" s="30">
        <v>264</v>
      </c>
      <c r="L493" s="72">
        <v>1935.8001554120654</v>
      </c>
      <c r="M493" s="84">
        <v>-1</v>
      </c>
      <c r="O493" s="30">
        <v>264</v>
      </c>
      <c r="P493" s="72">
        <v>3846.1086261176138</v>
      </c>
      <c r="Q493" s="84">
        <v>1</v>
      </c>
      <c r="R493" s="30">
        <f t="shared" si="48"/>
        <v>10</v>
      </c>
    </row>
    <row r="494" spans="7:18" x14ac:dyDescent="0.3">
      <c r="G494" s="30">
        <v>265</v>
      </c>
      <c r="H494" s="72">
        <f t="shared" si="46"/>
        <v>1941.1517568533197</v>
      </c>
      <c r="I494" s="30">
        <f t="shared" si="47"/>
        <v>-1</v>
      </c>
      <c r="K494" s="30">
        <v>265</v>
      </c>
      <c r="L494" s="72">
        <v>1941.1517568533197</v>
      </c>
      <c r="M494" s="84">
        <v>-1</v>
      </c>
      <c r="O494" s="30">
        <v>265</v>
      </c>
      <c r="P494" s="72">
        <v>3849.3766325537927</v>
      </c>
      <c r="Q494" s="84">
        <v>1</v>
      </c>
      <c r="R494" s="30">
        <f t="shared" si="48"/>
        <v>11</v>
      </c>
    </row>
    <row r="495" spans="7:18" x14ac:dyDescent="0.3">
      <c r="G495" s="30">
        <v>266</v>
      </c>
      <c r="H495" s="72">
        <f t="shared" ref="H495:H558" si="49">D295</f>
        <v>1990.872784353428</v>
      </c>
      <c r="I495" s="30">
        <f t="shared" ref="I495:I558" si="50">E295</f>
        <v>-1</v>
      </c>
      <c r="K495" s="30">
        <v>266</v>
      </c>
      <c r="L495" s="72">
        <v>1990.872784353428</v>
      </c>
      <c r="M495" s="84">
        <v>-1</v>
      </c>
      <c r="O495" s="30">
        <v>266</v>
      </c>
      <c r="P495" s="72">
        <v>3853.9748805804397</v>
      </c>
      <c r="Q495" s="84">
        <v>1</v>
      </c>
      <c r="R495" s="30">
        <f t="shared" si="48"/>
        <v>12</v>
      </c>
    </row>
    <row r="496" spans="7:18" x14ac:dyDescent="0.3">
      <c r="G496" s="30">
        <v>267</v>
      </c>
      <c r="H496" s="72">
        <f t="shared" si="49"/>
        <v>2065.5173812140438</v>
      </c>
      <c r="I496" s="30">
        <f t="shared" si="50"/>
        <v>-1</v>
      </c>
      <c r="K496" s="30">
        <v>267</v>
      </c>
      <c r="L496" s="72">
        <v>2065.5173812140438</v>
      </c>
      <c r="M496" s="84">
        <v>-1</v>
      </c>
      <c r="O496" s="30">
        <v>267</v>
      </c>
      <c r="P496" s="72">
        <v>3858.0729602128695</v>
      </c>
      <c r="Q496" s="84">
        <v>-1</v>
      </c>
      <c r="R496" s="30">
        <f t="shared" si="48"/>
        <v>11</v>
      </c>
    </row>
    <row r="497" spans="7:18" x14ac:dyDescent="0.3">
      <c r="G497" s="30">
        <v>268</v>
      </c>
      <c r="H497" s="72">
        <f t="shared" si="49"/>
        <v>2073.1998340275591</v>
      </c>
      <c r="I497" s="30">
        <f t="shared" si="50"/>
        <v>-1</v>
      </c>
      <c r="K497" s="30">
        <v>268</v>
      </c>
      <c r="L497" s="72">
        <v>2073.1998340275591</v>
      </c>
      <c r="M497" s="84">
        <v>-1</v>
      </c>
      <c r="O497" s="30">
        <v>268</v>
      </c>
      <c r="P497" s="72">
        <v>3861.0298591678361</v>
      </c>
      <c r="Q497" s="84">
        <v>-1</v>
      </c>
      <c r="R497" s="30">
        <f t="shared" si="48"/>
        <v>10</v>
      </c>
    </row>
    <row r="498" spans="7:18" x14ac:dyDescent="0.3">
      <c r="G498" s="30">
        <v>269</v>
      </c>
      <c r="H498" s="72">
        <f t="shared" si="49"/>
        <v>2116.1682454200773</v>
      </c>
      <c r="I498" s="30">
        <f t="shared" si="50"/>
        <v>-1</v>
      </c>
      <c r="K498" s="30">
        <v>269</v>
      </c>
      <c r="L498" s="72">
        <v>2116.1682454200773</v>
      </c>
      <c r="M498" s="84">
        <v>-1</v>
      </c>
      <c r="O498" s="30">
        <v>269</v>
      </c>
      <c r="P498" s="72">
        <v>3868.1822820557836</v>
      </c>
      <c r="Q498" s="84">
        <v>1</v>
      </c>
      <c r="R498" s="30">
        <f t="shared" si="48"/>
        <v>11</v>
      </c>
    </row>
    <row r="499" spans="7:18" x14ac:dyDescent="0.3">
      <c r="G499" s="30">
        <v>270</v>
      </c>
      <c r="H499" s="72">
        <f t="shared" si="49"/>
        <v>2122.2703754689769</v>
      </c>
      <c r="I499" s="30">
        <f t="shared" si="50"/>
        <v>-1</v>
      </c>
      <c r="K499" s="30">
        <v>270</v>
      </c>
      <c r="L499" s="72">
        <v>2122.2703754689769</v>
      </c>
      <c r="M499" s="84">
        <v>-1</v>
      </c>
      <c r="O499" s="30">
        <v>270</v>
      </c>
      <c r="P499" s="72">
        <v>3891.1296980517945</v>
      </c>
      <c r="Q499" s="84">
        <v>-1</v>
      </c>
      <c r="R499" s="30">
        <f t="shared" si="48"/>
        <v>10</v>
      </c>
    </row>
    <row r="500" spans="7:18" x14ac:dyDescent="0.3">
      <c r="G500" s="30">
        <v>271</v>
      </c>
      <c r="H500" s="72">
        <f t="shared" si="49"/>
        <v>2123.9278086307468</v>
      </c>
      <c r="I500" s="30">
        <f t="shared" si="50"/>
        <v>-1</v>
      </c>
      <c r="K500" s="30">
        <v>271</v>
      </c>
      <c r="L500" s="72">
        <v>2123.9278086307468</v>
      </c>
      <c r="M500" s="84">
        <v>-1</v>
      </c>
      <c r="O500" s="30">
        <v>271</v>
      </c>
      <c r="P500" s="72">
        <v>3900.7121074476418</v>
      </c>
      <c r="Q500" s="84">
        <v>-1</v>
      </c>
      <c r="R500" s="30">
        <f t="shared" si="48"/>
        <v>9</v>
      </c>
    </row>
    <row r="501" spans="7:18" x14ac:dyDescent="0.3">
      <c r="G501" s="30">
        <v>272</v>
      </c>
      <c r="H501" s="72">
        <f t="shared" si="49"/>
        <v>2173.6056669783661</v>
      </c>
      <c r="I501" s="30">
        <f t="shared" si="50"/>
        <v>-1</v>
      </c>
      <c r="K501" s="30">
        <v>272</v>
      </c>
      <c r="L501" s="72">
        <v>2173.6056669783661</v>
      </c>
      <c r="M501" s="84">
        <v>-1</v>
      </c>
      <c r="O501" s="30">
        <v>272</v>
      </c>
      <c r="P501" s="72">
        <v>3904.7541960301996</v>
      </c>
      <c r="Q501" s="84">
        <v>1</v>
      </c>
      <c r="R501" s="30">
        <f t="shared" si="48"/>
        <v>10</v>
      </c>
    </row>
    <row r="502" spans="7:18" x14ac:dyDescent="0.3">
      <c r="G502" s="30">
        <v>273</v>
      </c>
      <c r="H502" s="72">
        <f t="shared" si="49"/>
        <v>2204.0663414725977</v>
      </c>
      <c r="I502" s="30">
        <f t="shared" si="50"/>
        <v>-1</v>
      </c>
      <c r="K502" s="30">
        <v>273</v>
      </c>
      <c r="L502" s="72">
        <v>2204.0663414725977</v>
      </c>
      <c r="M502" s="84">
        <v>-1</v>
      </c>
      <c r="O502" s="30">
        <v>273</v>
      </c>
      <c r="P502" s="72">
        <v>3911.5692917503598</v>
      </c>
      <c r="Q502" s="84">
        <v>1</v>
      </c>
      <c r="R502" s="30">
        <f t="shared" si="48"/>
        <v>11</v>
      </c>
    </row>
    <row r="503" spans="7:18" x14ac:dyDescent="0.3">
      <c r="G503" s="30">
        <v>274</v>
      </c>
      <c r="H503" s="72">
        <f t="shared" si="49"/>
        <v>2249.200323447747</v>
      </c>
      <c r="I503" s="30">
        <f t="shared" si="50"/>
        <v>-1</v>
      </c>
      <c r="K503" s="30">
        <v>274</v>
      </c>
      <c r="L503" s="72">
        <v>2249.200323447747</v>
      </c>
      <c r="M503" s="84">
        <v>-1</v>
      </c>
      <c r="O503" s="30">
        <v>274</v>
      </c>
      <c r="P503" s="72">
        <v>3913.0248191746941</v>
      </c>
      <c r="Q503" s="84">
        <v>-1</v>
      </c>
      <c r="R503" s="30">
        <f t="shared" si="48"/>
        <v>10</v>
      </c>
    </row>
    <row r="504" spans="7:18" x14ac:dyDescent="0.3">
      <c r="G504" s="30">
        <v>275</v>
      </c>
      <c r="H504" s="72">
        <f t="shared" si="49"/>
        <v>2269.1365819256166</v>
      </c>
      <c r="I504" s="30">
        <f t="shared" si="50"/>
        <v>-1</v>
      </c>
      <c r="K504" s="30">
        <v>275</v>
      </c>
      <c r="L504" s="72">
        <v>2269.1365819256166</v>
      </c>
      <c r="M504" s="84">
        <v>-1</v>
      </c>
      <c r="O504" s="30">
        <v>275</v>
      </c>
      <c r="P504" s="72">
        <v>3937.1264597228301</v>
      </c>
      <c r="Q504" s="84">
        <v>-1</v>
      </c>
      <c r="R504" s="30">
        <f t="shared" si="48"/>
        <v>9</v>
      </c>
    </row>
    <row r="505" spans="7:18" x14ac:dyDescent="0.3">
      <c r="G505" s="30">
        <v>276</v>
      </c>
      <c r="H505" s="72">
        <f t="shared" si="49"/>
        <v>2272.1154898517202</v>
      </c>
      <c r="I505" s="30">
        <f t="shared" si="50"/>
        <v>-1</v>
      </c>
      <c r="K505" s="30">
        <v>276</v>
      </c>
      <c r="L505" s="72">
        <v>2272.1154898517202</v>
      </c>
      <c r="M505" s="84">
        <v>-1</v>
      </c>
      <c r="O505" s="30">
        <v>276</v>
      </c>
      <c r="P505" s="72">
        <v>3946.3362378703268</v>
      </c>
      <c r="Q505" s="84">
        <v>-1</v>
      </c>
      <c r="R505" s="30">
        <f t="shared" si="48"/>
        <v>8</v>
      </c>
    </row>
    <row r="506" spans="7:18" x14ac:dyDescent="0.3">
      <c r="G506" s="30">
        <v>277</v>
      </c>
      <c r="H506" s="72">
        <f t="shared" si="49"/>
        <v>2339.7338867759413</v>
      </c>
      <c r="I506" s="30">
        <f t="shared" si="50"/>
        <v>-1</v>
      </c>
      <c r="K506" s="30">
        <v>277</v>
      </c>
      <c r="L506" s="72">
        <v>2339.7338867759413</v>
      </c>
      <c r="M506" s="84">
        <v>-1</v>
      </c>
      <c r="O506" s="30">
        <v>277</v>
      </c>
      <c r="P506" s="72">
        <v>3955.5861808325153</v>
      </c>
      <c r="Q506" s="84">
        <v>1</v>
      </c>
      <c r="R506" s="30">
        <f t="shared" si="48"/>
        <v>9</v>
      </c>
    </row>
    <row r="507" spans="7:18" x14ac:dyDescent="0.3">
      <c r="G507" s="30">
        <v>278</v>
      </c>
      <c r="H507" s="72">
        <f t="shared" si="49"/>
        <v>2390.5789670730751</v>
      </c>
      <c r="I507" s="30">
        <f t="shared" si="50"/>
        <v>-1</v>
      </c>
      <c r="K507" s="30">
        <v>278</v>
      </c>
      <c r="L507" s="72">
        <v>2390.5789670730751</v>
      </c>
      <c r="M507" s="84">
        <v>-1</v>
      </c>
      <c r="O507" s="30">
        <v>278</v>
      </c>
      <c r="P507" s="72">
        <v>3959.6466204701183</v>
      </c>
      <c r="Q507" s="84">
        <v>1</v>
      </c>
      <c r="R507" s="30">
        <f t="shared" si="48"/>
        <v>10</v>
      </c>
    </row>
    <row r="508" spans="7:18" x14ac:dyDescent="0.3">
      <c r="G508" s="30">
        <v>279</v>
      </c>
      <c r="H508" s="72">
        <f t="shared" si="49"/>
        <v>2410.6763343226789</v>
      </c>
      <c r="I508" s="30">
        <f t="shared" si="50"/>
        <v>-1</v>
      </c>
      <c r="K508" s="30">
        <v>279</v>
      </c>
      <c r="L508" s="72">
        <v>2410.6763343226789</v>
      </c>
      <c r="M508" s="84">
        <v>-1</v>
      </c>
      <c r="O508" s="30">
        <v>279</v>
      </c>
      <c r="P508" s="72">
        <v>3959.9446217665545</v>
      </c>
      <c r="Q508" s="84">
        <v>1</v>
      </c>
      <c r="R508" s="30">
        <f t="shared" si="48"/>
        <v>11</v>
      </c>
    </row>
    <row r="509" spans="7:18" x14ac:dyDescent="0.3">
      <c r="G509" s="30">
        <v>280</v>
      </c>
      <c r="H509" s="72">
        <f t="shared" si="49"/>
        <v>2411.0264585817199</v>
      </c>
      <c r="I509" s="30">
        <f t="shared" si="50"/>
        <v>-1</v>
      </c>
      <c r="K509" s="30">
        <v>280</v>
      </c>
      <c r="L509" s="72">
        <v>2411.0264585817199</v>
      </c>
      <c r="M509" s="84">
        <v>-1</v>
      </c>
      <c r="O509" s="30">
        <v>280</v>
      </c>
      <c r="P509" s="72">
        <v>3962.7331071447229</v>
      </c>
      <c r="Q509" s="84">
        <v>1</v>
      </c>
      <c r="R509" s="30">
        <f t="shared" si="48"/>
        <v>12</v>
      </c>
    </row>
    <row r="510" spans="7:18" x14ac:dyDescent="0.3">
      <c r="G510" s="30">
        <v>281</v>
      </c>
      <c r="H510" s="72">
        <f t="shared" si="49"/>
        <v>2412.1473603464383</v>
      </c>
      <c r="I510" s="30">
        <f t="shared" si="50"/>
        <v>-1</v>
      </c>
      <c r="K510" s="30">
        <v>281</v>
      </c>
      <c r="L510" s="72">
        <v>2412.1473603464383</v>
      </c>
      <c r="M510" s="84">
        <v>-1</v>
      </c>
      <c r="O510" s="30">
        <v>281</v>
      </c>
      <c r="P510" s="72">
        <v>3968.3495652647425</v>
      </c>
      <c r="Q510" s="84">
        <v>-1</v>
      </c>
      <c r="R510" s="30">
        <f t="shared" si="48"/>
        <v>11</v>
      </c>
    </row>
    <row r="511" spans="7:18" x14ac:dyDescent="0.3">
      <c r="G511" s="30">
        <v>282</v>
      </c>
      <c r="H511" s="72">
        <f t="shared" si="49"/>
        <v>2443.4946245191463</v>
      </c>
      <c r="I511" s="30">
        <f t="shared" si="50"/>
        <v>-1</v>
      </c>
      <c r="K511" s="30">
        <v>282</v>
      </c>
      <c r="L511" s="72">
        <v>2443.4946245191463</v>
      </c>
      <c r="M511" s="84">
        <v>-1</v>
      </c>
      <c r="O511" s="30">
        <v>282</v>
      </c>
      <c r="P511" s="72">
        <v>3979.1464272611702</v>
      </c>
      <c r="Q511" s="84">
        <v>1</v>
      </c>
      <c r="R511" s="30">
        <f t="shared" si="48"/>
        <v>12</v>
      </c>
    </row>
    <row r="512" spans="7:18" x14ac:dyDescent="0.3">
      <c r="G512" s="30">
        <v>283</v>
      </c>
      <c r="H512" s="72">
        <f t="shared" si="49"/>
        <v>2485.3562764364742</v>
      </c>
      <c r="I512" s="30">
        <f t="shared" si="50"/>
        <v>-1</v>
      </c>
      <c r="K512" s="30">
        <v>283</v>
      </c>
      <c r="L512" s="72">
        <v>2485.3562764364742</v>
      </c>
      <c r="M512" s="84">
        <v>-1</v>
      </c>
      <c r="O512" s="30">
        <v>283</v>
      </c>
      <c r="P512" s="72">
        <v>3979.7166427529132</v>
      </c>
      <c r="Q512" s="84">
        <v>-1</v>
      </c>
      <c r="R512" s="30">
        <f t="shared" si="48"/>
        <v>11</v>
      </c>
    </row>
    <row r="513" spans="7:18" x14ac:dyDescent="0.3">
      <c r="G513" s="30">
        <v>284</v>
      </c>
      <c r="H513" s="72">
        <f t="shared" si="49"/>
        <v>2496.4590231138573</v>
      </c>
      <c r="I513" s="30">
        <f t="shared" si="50"/>
        <v>-1</v>
      </c>
      <c r="K513" s="30">
        <v>284</v>
      </c>
      <c r="L513" s="72">
        <v>2496.4590231138573</v>
      </c>
      <c r="M513" s="84">
        <v>-1</v>
      </c>
      <c r="O513" s="30">
        <v>284</v>
      </c>
      <c r="P513" s="72">
        <v>3994.4464136809665</v>
      </c>
      <c r="Q513" s="84">
        <v>-1</v>
      </c>
      <c r="R513" s="30">
        <f t="shared" si="48"/>
        <v>10</v>
      </c>
    </row>
    <row r="514" spans="7:18" x14ac:dyDescent="0.3">
      <c r="G514" s="30">
        <v>285</v>
      </c>
      <c r="H514" s="72">
        <f t="shared" si="49"/>
        <v>2505.1254214126684</v>
      </c>
      <c r="I514" s="30">
        <f t="shared" si="50"/>
        <v>-1</v>
      </c>
      <c r="K514" s="30">
        <v>285</v>
      </c>
      <c r="L514" s="72">
        <v>2505.1254214126684</v>
      </c>
      <c r="M514" s="84">
        <v>-1</v>
      </c>
      <c r="O514" s="30">
        <v>285</v>
      </c>
      <c r="P514" s="72">
        <v>3996.5511096038781</v>
      </c>
      <c r="Q514" s="84">
        <v>-1</v>
      </c>
      <c r="R514" s="30">
        <f t="shared" si="48"/>
        <v>9</v>
      </c>
    </row>
    <row r="515" spans="7:18" x14ac:dyDescent="0.3">
      <c r="G515" s="30">
        <v>286</v>
      </c>
      <c r="H515" s="72">
        <f t="shared" si="49"/>
        <v>2521.9213024018336</v>
      </c>
      <c r="I515" s="30">
        <f t="shared" si="50"/>
        <v>-1</v>
      </c>
      <c r="K515" s="30">
        <v>286</v>
      </c>
      <c r="L515" s="72">
        <v>2521.9213024018336</v>
      </c>
      <c r="M515" s="84">
        <v>-1</v>
      </c>
      <c r="O515" s="30">
        <v>286</v>
      </c>
      <c r="P515" s="72">
        <v>3998.5827092809909</v>
      </c>
      <c r="Q515" s="84">
        <v>-1</v>
      </c>
      <c r="R515" s="30">
        <f t="shared" si="48"/>
        <v>8</v>
      </c>
    </row>
    <row r="516" spans="7:18" x14ac:dyDescent="0.3">
      <c r="G516" s="30">
        <v>287</v>
      </c>
      <c r="H516" s="72">
        <f t="shared" si="49"/>
        <v>2578.8050559187814</v>
      </c>
      <c r="I516" s="30">
        <f t="shared" si="50"/>
        <v>-1</v>
      </c>
      <c r="K516" s="30">
        <v>287</v>
      </c>
      <c r="L516" s="72">
        <v>2578.8050559187814</v>
      </c>
      <c r="M516" s="84">
        <v>-1</v>
      </c>
      <c r="O516" s="30">
        <v>287</v>
      </c>
      <c r="P516" s="72">
        <v>4008.9763135338148</v>
      </c>
      <c r="Q516" s="84">
        <v>-1</v>
      </c>
      <c r="R516" s="30">
        <f t="shared" si="48"/>
        <v>7</v>
      </c>
    </row>
    <row r="517" spans="7:18" x14ac:dyDescent="0.3">
      <c r="G517" s="30">
        <v>288</v>
      </c>
      <c r="H517" s="72">
        <f t="shared" si="49"/>
        <v>2598.680772789995</v>
      </c>
      <c r="I517" s="30">
        <f t="shared" si="50"/>
        <v>-1</v>
      </c>
      <c r="K517" s="30">
        <v>288</v>
      </c>
      <c r="L517" s="72">
        <v>2598.680772789995</v>
      </c>
      <c r="M517" s="84">
        <v>-1</v>
      </c>
      <c r="O517" s="30">
        <v>288</v>
      </c>
      <c r="P517" s="72">
        <v>4011.6071915626326</v>
      </c>
      <c r="Q517" s="84">
        <v>1</v>
      </c>
      <c r="R517" s="30">
        <f t="shared" si="48"/>
        <v>8</v>
      </c>
    </row>
    <row r="518" spans="7:18" x14ac:dyDescent="0.3">
      <c r="G518" s="30">
        <v>289</v>
      </c>
      <c r="H518" s="72">
        <f t="shared" si="49"/>
        <v>2636.1172252671827</v>
      </c>
      <c r="I518" s="30">
        <f t="shared" si="50"/>
        <v>-1</v>
      </c>
      <c r="K518" s="30">
        <v>289</v>
      </c>
      <c r="L518" s="72">
        <v>2636.1172252671827</v>
      </c>
      <c r="M518" s="84">
        <v>-1</v>
      </c>
      <c r="O518" s="30">
        <v>289</v>
      </c>
      <c r="P518" s="72">
        <v>4039.9620464191444</v>
      </c>
      <c r="Q518" s="84">
        <v>1</v>
      </c>
      <c r="R518" s="30">
        <f t="shared" si="48"/>
        <v>9</v>
      </c>
    </row>
    <row r="519" spans="7:18" x14ac:dyDescent="0.3">
      <c r="G519" s="30">
        <v>290</v>
      </c>
      <c r="H519" s="72">
        <f t="shared" si="49"/>
        <v>2681.0994732977142</v>
      </c>
      <c r="I519" s="30">
        <f t="shared" si="50"/>
        <v>-1</v>
      </c>
      <c r="K519" s="30">
        <v>290</v>
      </c>
      <c r="L519" s="72">
        <v>2681.0994732977142</v>
      </c>
      <c r="M519" s="84">
        <v>-1</v>
      </c>
      <c r="O519" s="30">
        <v>290</v>
      </c>
      <c r="P519" s="72">
        <v>4043.0619006963293</v>
      </c>
      <c r="Q519" s="84">
        <v>-1</v>
      </c>
      <c r="R519" s="30">
        <f t="shared" si="48"/>
        <v>8</v>
      </c>
    </row>
    <row r="520" spans="7:18" x14ac:dyDescent="0.3">
      <c r="G520" s="30">
        <v>291</v>
      </c>
      <c r="H520" s="72">
        <f t="shared" si="49"/>
        <v>2683.89922656113</v>
      </c>
      <c r="I520" s="30">
        <f t="shared" si="50"/>
        <v>-1</v>
      </c>
      <c r="K520" s="30">
        <v>291</v>
      </c>
      <c r="L520" s="72">
        <v>2683.89922656113</v>
      </c>
      <c r="M520" s="84">
        <v>-1</v>
      </c>
      <c r="O520" s="30">
        <v>291</v>
      </c>
      <c r="P520" s="72">
        <v>4052.3975641117381</v>
      </c>
      <c r="Q520" s="84">
        <v>1</v>
      </c>
      <c r="R520" s="30">
        <f t="shared" si="48"/>
        <v>9</v>
      </c>
    </row>
    <row r="521" spans="7:18" x14ac:dyDescent="0.3">
      <c r="G521" s="30">
        <v>292</v>
      </c>
      <c r="H521" s="72">
        <f t="shared" si="49"/>
        <v>2695.649095865957</v>
      </c>
      <c r="I521" s="30">
        <f t="shared" si="50"/>
        <v>-1</v>
      </c>
      <c r="K521" s="30">
        <v>292</v>
      </c>
      <c r="L521" s="72">
        <v>2695.649095865957</v>
      </c>
      <c r="M521" s="84">
        <v>-1</v>
      </c>
      <c r="O521" s="30">
        <v>292</v>
      </c>
      <c r="P521" s="72">
        <v>4055.0861827167646</v>
      </c>
      <c r="Q521" s="84">
        <v>-1</v>
      </c>
      <c r="R521" s="30">
        <f t="shared" si="48"/>
        <v>8</v>
      </c>
    </row>
    <row r="522" spans="7:18" x14ac:dyDescent="0.3">
      <c r="G522" s="30">
        <v>293</v>
      </c>
      <c r="H522" s="72">
        <f t="shared" si="49"/>
        <v>2704.4433807884284</v>
      </c>
      <c r="I522" s="30">
        <f t="shared" si="50"/>
        <v>-1</v>
      </c>
      <c r="K522" s="30">
        <v>293</v>
      </c>
      <c r="L522" s="72">
        <v>2704.4433807884284</v>
      </c>
      <c r="M522" s="84">
        <v>-1</v>
      </c>
      <c r="O522" s="30">
        <v>293</v>
      </c>
      <c r="P522" s="72">
        <v>4058.653813389179</v>
      </c>
      <c r="Q522" s="84">
        <v>1</v>
      </c>
      <c r="R522" s="30">
        <f t="shared" si="48"/>
        <v>9</v>
      </c>
    </row>
    <row r="523" spans="7:18" x14ac:dyDescent="0.3">
      <c r="G523" s="30">
        <v>294</v>
      </c>
      <c r="H523" s="72">
        <f t="shared" si="49"/>
        <v>2707.0347500709695</v>
      </c>
      <c r="I523" s="30">
        <f t="shared" si="50"/>
        <v>-1</v>
      </c>
      <c r="K523" s="30">
        <v>294</v>
      </c>
      <c r="L523" s="72">
        <v>2707.0347500709695</v>
      </c>
      <c r="M523" s="84">
        <v>-1</v>
      </c>
      <c r="O523" s="30">
        <v>294</v>
      </c>
      <c r="P523" s="72">
        <v>4059.4499379381728</v>
      </c>
      <c r="Q523" s="84">
        <v>1</v>
      </c>
      <c r="R523" s="30">
        <f t="shared" si="48"/>
        <v>10</v>
      </c>
    </row>
    <row r="524" spans="7:18" x14ac:dyDescent="0.3">
      <c r="G524" s="30">
        <v>295</v>
      </c>
      <c r="H524" s="72">
        <f t="shared" si="49"/>
        <v>2722.686466983243</v>
      </c>
      <c r="I524" s="30">
        <f t="shared" si="50"/>
        <v>-1</v>
      </c>
      <c r="K524" s="30">
        <v>295</v>
      </c>
      <c r="L524" s="72">
        <v>2722.686466983243</v>
      </c>
      <c r="M524" s="84">
        <v>-1</v>
      </c>
      <c r="O524" s="30">
        <v>295</v>
      </c>
      <c r="P524" s="72">
        <v>4125.9976608474235</v>
      </c>
      <c r="Q524" s="84">
        <v>1</v>
      </c>
      <c r="R524" s="30">
        <f t="shared" si="48"/>
        <v>11</v>
      </c>
    </row>
    <row r="525" spans="7:18" x14ac:dyDescent="0.3">
      <c r="G525" s="30">
        <v>296</v>
      </c>
      <c r="H525" s="72">
        <f t="shared" si="49"/>
        <v>2730.7490016982906</v>
      </c>
      <c r="I525" s="30">
        <f t="shared" si="50"/>
        <v>-1</v>
      </c>
      <c r="K525" s="30">
        <v>296</v>
      </c>
      <c r="L525" s="72">
        <v>2730.7490016982906</v>
      </c>
      <c r="M525" s="84">
        <v>-1</v>
      </c>
      <c r="O525" s="30">
        <v>296</v>
      </c>
      <c r="P525" s="72">
        <v>4128.1119402447475</v>
      </c>
      <c r="Q525" s="84">
        <v>1</v>
      </c>
      <c r="R525" s="30">
        <f t="shared" si="48"/>
        <v>12</v>
      </c>
    </row>
    <row r="526" spans="7:18" x14ac:dyDescent="0.3">
      <c r="G526" s="30">
        <v>297</v>
      </c>
      <c r="H526" s="72">
        <f t="shared" si="49"/>
        <v>2775.3838835734887</v>
      </c>
      <c r="I526" s="30">
        <f t="shared" si="50"/>
        <v>-1</v>
      </c>
      <c r="K526" s="30">
        <v>297</v>
      </c>
      <c r="L526" s="72">
        <v>2775.3838835734887</v>
      </c>
      <c r="M526" s="84">
        <v>-1</v>
      </c>
      <c r="O526" s="30">
        <v>297</v>
      </c>
      <c r="P526" s="72">
        <v>4138.6790333068002</v>
      </c>
      <c r="Q526" s="84">
        <v>1</v>
      </c>
      <c r="R526" s="30">
        <f t="shared" si="48"/>
        <v>13</v>
      </c>
    </row>
    <row r="527" spans="7:18" x14ac:dyDescent="0.3">
      <c r="G527" s="30">
        <v>298</v>
      </c>
      <c r="H527" s="72">
        <f t="shared" si="49"/>
        <v>2808.2928471568425</v>
      </c>
      <c r="I527" s="30">
        <f t="shared" si="50"/>
        <v>-1</v>
      </c>
      <c r="K527" s="30">
        <v>298</v>
      </c>
      <c r="L527" s="72">
        <v>2808.2928471568425</v>
      </c>
      <c r="M527" s="84">
        <v>-1</v>
      </c>
      <c r="O527" s="30">
        <v>298</v>
      </c>
      <c r="P527" s="72">
        <v>4144.516634550765</v>
      </c>
      <c r="Q527" s="84">
        <v>-1</v>
      </c>
      <c r="R527" s="30">
        <f t="shared" si="48"/>
        <v>12</v>
      </c>
    </row>
    <row r="528" spans="7:18" x14ac:dyDescent="0.3">
      <c r="G528" s="30">
        <v>299</v>
      </c>
      <c r="H528" s="72">
        <f t="shared" si="49"/>
        <v>2836.351036038277</v>
      </c>
      <c r="I528" s="30">
        <f t="shared" si="50"/>
        <v>-1</v>
      </c>
      <c r="K528" s="30">
        <v>299</v>
      </c>
      <c r="L528" s="72">
        <v>2836.351036038277</v>
      </c>
      <c r="M528" s="84">
        <v>-1</v>
      </c>
      <c r="O528" s="30">
        <v>299</v>
      </c>
      <c r="P528" s="72">
        <v>4145.0678927647905</v>
      </c>
      <c r="Q528" s="84">
        <v>1</v>
      </c>
      <c r="R528" s="30">
        <f t="shared" si="48"/>
        <v>13</v>
      </c>
    </row>
    <row r="529" spans="7:18" x14ac:dyDescent="0.3">
      <c r="G529" s="30">
        <v>300</v>
      </c>
      <c r="H529" s="72">
        <f t="shared" si="49"/>
        <v>2838.1471936734201</v>
      </c>
      <c r="I529" s="30">
        <f t="shared" si="50"/>
        <v>-1</v>
      </c>
      <c r="K529" s="30">
        <v>300</v>
      </c>
      <c r="L529" s="72">
        <v>2838.1471936734201</v>
      </c>
      <c r="M529" s="84">
        <v>-1</v>
      </c>
      <c r="O529" s="30">
        <v>300</v>
      </c>
      <c r="P529" s="72">
        <v>4162.9662593259827</v>
      </c>
      <c r="Q529" s="84">
        <v>1</v>
      </c>
      <c r="R529" s="30">
        <f t="shared" si="48"/>
        <v>14</v>
      </c>
    </row>
    <row r="530" spans="7:18" x14ac:dyDescent="0.3">
      <c r="G530" s="30">
        <v>301</v>
      </c>
      <c r="H530" s="72">
        <f t="shared" si="49"/>
        <v>2856.4919735831809</v>
      </c>
      <c r="I530" s="30">
        <f t="shared" si="50"/>
        <v>-1</v>
      </c>
      <c r="K530" s="30">
        <v>301</v>
      </c>
      <c r="L530" s="72">
        <v>2856.4919735831809</v>
      </c>
      <c r="M530" s="84">
        <v>-1</v>
      </c>
      <c r="O530" s="30">
        <v>301</v>
      </c>
      <c r="P530" s="72">
        <v>4176.4307462937904</v>
      </c>
      <c r="Q530" s="84">
        <v>1</v>
      </c>
      <c r="R530" s="30">
        <f t="shared" si="48"/>
        <v>15</v>
      </c>
    </row>
    <row r="531" spans="7:18" x14ac:dyDescent="0.3">
      <c r="G531" s="30">
        <v>302</v>
      </c>
      <c r="H531" s="72">
        <f t="shared" si="49"/>
        <v>2882.6702706218284</v>
      </c>
      <c r="I531" s="30">
        <f t="shared" si="50"/>
        <v>-1</v>
      </c>
      <c r="K531" s="30">
        <v>302</v>
      </c>
      <c r="L531" s="72">
        <v>2882.6702706218284</v>
      </c>
      <c r="M531" s="84">
        <v>-1</v>
      </c>
      <c r="O531" s="30">
        <v>302</v>
      </c>
      <c r="P531" s="72">
        <v>4182.7358838767886</v>
      </c>
      <c r="Q531" s="84">
        <v>-1</v>
      </c>
      <c r="R531" s="30">
        <f t="shared" si="48"/>
        <v>14</v>
      </c>
    </row>
    <row r="532" spans="7:18" x14ac:dyDescent="0.3">
      <c r="G532" s="30">
        <v>303</v>
      </c>
      <c r="H532" s="72">
        <f t="shared" si="49"/>
        <v>2936.8054939433373</v>
      </c>
      <c r="I532" s="30">
        <f t="shared" si="50"/>
        <v>-1</v>
      </c>
      <c r="K532" s="30">
        <v>303</v>
      </c>
      <c r="L532" s="72">
        <v>2936.8054939433373</v>
      </c>
      <c r="M532" s="84">
        <v>-1</v>
      </c>
      <c r="O532" s="30">
        <v>303</v>
      </c>
      <c r="P532" s="72">
        <v>4218.1421032803855</v>
      </c>
      <c r="Q532" s="84">
        <v>-1</v>
      </c>
      <c r="R532" s="30">
        <f t="shared" si="48"/>
        <v>13</v>
      </c>
    </row>
    <row r="533" spans="7:18" x14ac:dyDescent="0.3">
      <c r="G533" s="30">
        <v>304</v>
      </c>
      <c r="H533" s="72">
        <f t="shared" si="49"/>
        <v>2959.6330664237785</v>
      </c>
      <c r="I533" s="30">
        <f t="shared" si="50"/>
        <v>-1</v>
      </c>
      <c r="K533" s="30">
        <v>304</v>
      </c>
      <c r="L533" s="72">
        <v>2959.6330664237785</v>
      </c>
      <c r="M533" s="84">
        <v>-1</v>
      </c>
      <c r="O533" s="30">
        <v>304</v>
      </c>
      <c r="P533" s="72">
        <v>4219.0888898009844</v>
      </c>
      <c r="Q533" s="84">
        <v>-1</v>
      </c>
      <c r="R533" s="30">
        <f t="shared" si="48"/>
        <v>12</v>
      </c>
    </row>
    <row r="534" spans="7:18" x14ac:dyDescent="0.3">
      <c r="G534" s="30">
        <v>305</v>
      </c>
      <c r="H534" s="72">
        <f t="shared" si="49"/>
        <v>2968.432361708502</v>
      </c>
      <c r="I534" s="30">
        <f t="shared" si="50"/>
        <v>-1</v>
      </c>
      <c r="K534" s="30">
        <v>305</v>
      </c>
      <c r="L534" s="72">
        <v>2968.432361708502</v>
      </c>
      <c r="M534" s="84">
        <v>-1</v>
      </c>
      <c r="O534" s="30">
        <v>305</v>
      </c>
      <c r="P534" s="72">
        <v>4222.269894574084</v>
      </c>
      <c r="Q534" s="84">
        <v>1</v>
      </c>
      <c r="R534" s="30">
        <f t="shared" si="48"/>
        <v>13</v>
      </c>
    </row>
    <row r="535" spans="7:18" x14ac:dyDescent="0.3">
      <c r="G535" s="30">
        <v>306</v>
      </c>
      <c r="H535" s="72">
        <f t="shared" si="49"/>
        <v>2979.6470068144413</v>
      </c>
      <c r="I535" s="30">
        <f t="shared" si="50"/>
        <v>-1</v>
      </c>
      <c r="K535" s="30">
        <v>306</v>
      </c>
      <c r="L535" s="72">
        <v>2979.6470068144413</v>
      </c>
      <c r="M535" s="84">
        <v>-1</v>
      </c>
      <c r="O535" s="30">
        <v>306</v>
      </c>
      <c r="P535" s="72">
        <v>4234.4833318459177</v>
      </c>
      <c r="Q535" s="84">
        <v>1</v>
      </c>
      <c r="R535" s="30">
        <f t="shared" si="48"/>
        <v>14</v>
      </c>
    </row>
    <row r="536" spans="7:18" x14ac:dyDescent="0.3">
      <c r="G536" s="30">
        <v>307</v>
      </c>
      <c r="H536" s="72">
        <f t="shared" si="49"/>
        <v>3143.756637286378</v>
      </c>
      <c r="I536" s="30">
        <f t="shared" si="50"/>
        <v>-1</v>
      </c>
      <c r="K536" s="30">
        <v>307</v>
      </c>
      <c r="L536" s="72">
        <v>3143.756637286378</v>
      </c>
      <c r="M536" s="84">
        <v>-1</v>
      </c>
      <c r="O536" s="30">
        <v>307</v>
      </c>
      <c r="P536" s="72">
        <v>4242.732055213105</v>
      </c>
      <c r="Q536" s="84">
        <v>-1</v>
      </c>
      <c r="R536" s="30">
        <f t="shared" si="48"/>
        <v>13</v>
      </c>
    </row>
    <row r="537" spans="7:18" x14ac:dyDescent="0.3">
      <c r="G537" s="30">
        <v>308</v>
      </c>
      <c r="H537" s="72">
        <f t="shared" si="49"/>
        <v>3187.3763454695763</v>
      </c>
      <c r="I537" s="30">
        <f t="shared" si="50"/>
        <v>-1</v>
      </c>
      <c r="K537" s="30">
        <v>308</v>
      </c>
      <c r="L537" s="72">
        <v>3187.3763454695763</v>
      </c>
      <c r="M537" s="84">
        <v>-1</v>
      </c>
      <c r="O537" s="30">
        <v>308</v>
      </c>
      <c r="P537" s="72">
        <v>4243.6397130755531</v>
      </c>
      <c r="Q537" s="84">
        <v>1</v>
      </c>
      <c r="R537" s="30">
        <f t="shared" si="48"/>
        <v>14</v>
      </c>
    </row>
    <row r="538" spans="7:18" x14ac:dyDescent="0.3">
      <c r="G538" s="30">
        <v>309</v>
      </c>
      <c r="H538" s="72">
        <f t="shared" si="49"/>
        <v>3196.9132112065727</v>
      </c>
      <c r="I538" s="30">
        <f t="shared" si="50"/>
        <v>-1</v>
      </c>
      <c r="K538" s="30">
        <v>309</v>
      </c>
      <c r="L538" s="72">
        <v>3196.9132112065727</v>
      </c>
      <c r="M538" s="84">
        <v>-1</v>
      </c>
      <c r="O538" s="30">
        <v>309</v>
      </c>
      <c r="P538" s="72">
        <v>4254.7690890784643</v>
      </c>
      <c r="Q538" s="84">
        <v>1</v>
      </c>
      <c r="R538" s="30">
        <f t="shared" si="48"/>
        <v>15</v>
      </c>
    </row>
    <row r="539" spans="7:18" x14ac:dyDescent="0.3">
      <c r="G539" s="30">
        <v>310</v>
      </c>
      <c r="H539" s="72">
        <f t="shared" si="49"/>
        <v>3229.6058240232755</v>
      </c>
      <c r="I539" s="30">
        <f t="shared" si="50"/>
        <v>-1</v>
      </c>
      <c r="K539" s="30">
        <v>310</v>
      </c>
      <c r="L539" s="72">
        <v>3229.6058240232755</v>
      </c>
      <c r="M539" s="84">
        <v>-1</v>
      </c>
      <c r="O539" s="30">
        <v>310</v>
      </c>
      <c r="P539" s="72">
        <v>4269.5191530739075</v>
      </c>
      <c r="Q539" s="84">
        <v>1</v>
      </c>
      <c r="R539" s="30">
        <f t="shared" si="48"/>
        <v>16</v>
      </c>
    </row>
    <row r="540" spans="7:18" x14ac:dyDescent="0.3">
      <c r="G540" s="30">
        <v>311</v>
      </c>
      <c r="H540" s="72">
        <f t="shared" si="49"/>
        <v>3288.0889176184583</v>
      </c>
      <c r="I540" s="30">
        <f t="shared" si="50"/>
        <v>-1</v>
      </c>
      <c r="K540" s="30">
        <v>311</v>
      </c>
      <c r="L540" s="72">
        <v>3288.0889176184583</v>
      </c>
      <c r="M540" s="84">
        <v>-1</v>
      </c>
      <c r="O540" s="30">
        <v>311</v>
      </c>
      <c r="P540" s="72">
        <v>4293.1248101750025</v>
      </c>
      <c r="Q540" s="84">
        <v>-1</v>
      </c>
      <c r="R540" s="30">
        <f t="shared" si="48"/>
        <v>15</v>
      </c>
    </row>
    <row r="541" spans="7:18" x14ac:dyDescent="0.3">
      <c r="G541" s="30">
        <v>312</v>
      </c>
      <c r="H541" s="72">
        <f t="shared" si="49"/>
        <v>3300.4791338596947</v>
      </c>
      <c r="I541" s="30">
        <f t="shared" si="50"/>
        <v>-1</v>
      </c>
      <c r="K541" s="30">
        <v>312</v>
      </c>
      <c r="L541" s="72">
        <v>3300.4791338596947</v>
      </c>
      <c r="M541" s="84">
        <v>-1</v>
      </c>
      <c r="O541" s="30">
        <v>312</v>
      </c>
      <c r="P541" s="72">
        <v>4347.8143062769586</v>
      </c>
      <c r="Q541" s="84">
        <v>-1</v>
      </c>
      <c r="R541" s="30">
        <f t="shared" si="48"/>
        <v>14</v>
      </c>
    </row>
    <row r="542" spans="7:18" x14ac:dyDescent="0.3">
      <c r="G542" s="30">
        <v>313</v>
      </c>
      <c r="H542" s="72">
        <f t="shared" si="49"/>
        <v>3362.5681507833751</v>
      </c>
      <c r="I542" s="30">
        <f t="shared" si="50"/>
        <v>-1</v>
      </c>
      <c r="K542" s="30">
        <v>313</v>
      </c>
      <c r="L542" s="72">
        <v>3362.5681507833751</v>
      </c>
      <c r="M542" s="84">
        <v>-1</v>
      </c>
      <c r="O542" s="30">
        <v>313</v>
      </c>
      <c r="P542" s="72">
        <v>4385.6016896278861</v>
      </c>
      <c r="Q542" s="84">
        <v>-1</v>
      </c>
      <c r="R542" s="30">
        <f t="shared" si="48"/>
        <v>13</v>
      </c>
    </row>
    <row r="543" spans="7:18" x14ac:dyDescent="0.3">
      <c r="G543" s="30">
        <v>314</v>
      </c>
      <c r="H543" s="72">
        <f t="shared" si="49"/>
        <v>3366.8216227097951</v>
      </c>
      <c r="I543" s="30">
        <f t="shared" si="50"/>
        <v>-1</v>
      </c>
      <c r="K543" s="30">
        <v>314</v>
      </c>
      <c r="L543" s="72">
        <v>3366.8216227097951</v>
      </c>
      <c r="M543" s="84">
        <v>-1</v>
      </c>
      <c r="O543" s="30">
        <v>314</v>
      </c>
      <c r="P543" s="72">
        <v>4390.0512316527074</v>
      </c>
      <c r="Q543" s="84">
        <v>1</v>
      </c>
      <c r="R543" s="30">
        <f t="shared" si="48"/>
        <v>14</v>
      </c>
    </row>
    <row r="544" spans="7:18" x14ac:dyDescent="0.3">
      <c r="G544" s="30">
        <v>315</v>
      </c>
      <c r="H544" s="72">
        <f t="shared" si="49"/>
        <v>3409.590912333761</v>
      </c>
      <c r="I544" s="30">
        <f t="shared" si="50"/>
        <v>-1</v>
      </c>
      <c r="K544" s="30">
        <v>315</v>
      </c>
      <c r="L544" s="72">
        <v>3409.590912333761</v>
      </c>
      <c r="M544" s="84">
        <v>-1</v>
      </c>
      <c r="O544" s="30">
        <v>315</v>
      </c>
      <c r="P544" s="72">
        <v>4390.237505574948</v>
      </c>
      <c r="Q544" s="84">
        <v>1</v>
      </c>
      <c r="R544" s="30">
        <f t="shared" si="48"/>
        <v>15</v>
      </c>
    </row>
    <row r="545" spans="7:18" x14ac:dyDescent="0.3">
      <c r="G545" s="30">
        <v>316</v>
      </c>
      <c r="H545" s="72">
        <f t="shared" si="49"/>
        <v>3425.7759530615326</v>
      </c>
      <c r="I545" s="30">
        <f t="shared" si="50"/>
        <v>-1</v>
      </c>
      <c r="K545" s="30">
        <v>316</v>
      </c>
      <c r="L545" s="72">
        <v>3425.7759530615326</v>
      </c>
      <c r="M545" s="84">
        <v>-1</v>
      </c>
      <c r="O545" s="30">
        <v>316</v>
      </c>
      <c r="P545" s="72">
        <v>4402.8346769565651</v>
      </c>
      <c r="Q545" s="84">
        <v>-1</v>
      </c>
      <c r="R545" s="30">
        <f t="shared" si="48"/>
        <v>14</v>
      </c>
    </row>
    <row r="546" spans="7:18" x14ac:dyDescent="0.3">
      <c r="G546" s="30">
        <v>317</v>
      </c>
      <c r="H546" s="72">
        <f t="shared" si="49"/>
        <v>3457.8120055866148</v>
      </c>
      <c r="I546" s="30">
        <f t="shared" si="50"/>
        <v>-1</v>
      </c>
      <c r="K546" s="30">
        <v>317</v>
      </c>
      <c r="L546" s="72">
        <v>3457.8120055866148</v>
      </c>
      <c r="M546" s="84">
        <v>-1</v>
      </c>
      <c r="O546" s="30">
        <v>317</v>
      </c>
      <c r="P546" s="72">
        <v>4422.5486848852761</v>
      </c>
      <c r="Q546" s="84">
        <v>1</v>
      </c>
      <c r="R546" s="30">
        <f t="shared" si="48"/>
        <v>15</v>
      </c>
    </row>
    <row r="547" spans="7:18" x14ac:dyDescent="0.3">
      <c r="G547" s="30">
        <v>318</v>
      </c>
      <c r="H547" s="72">
        <f t="shared" si="49"/>
        <v>3476.0759985977302</v>
      </c>
      <c r="I547" s="30">
        <f t="shared" si="50"/>
        <v>-1</v>
      </c>
      <c r="K547" s="30">
        <v>318</v>
      </c>
      <c r="L547" s="72">
        <v>3476.0759985977302</v>
      </c>
      <c r="M547" s="84">
        <v>-1</v>
      </c>
      <c r="O547" s="30">
        <v>318</v>
      </c>
      <c r="P547" s="72">
        <v>4458.4112718895594</v>
      </c>
      <c r="Q547" s="84">
        <v>1</v>
      </c>
      <c r="R547" s="30">
        <f t="shared" si="48"/>
        <v>16</v>
      </c>
    </row>
    <row r="548" spans="7:18" x14ac:dyDescent="0.3">
      <c r="G548" s="30">
        <v>319</v>
      </c>
      <c r="H548" s="72">
        <f t="shared" si="49"/>
        <v>3606.8627868838507</v>
      </c>
      <c r="I548" s="30">
        <f t="shared" si="50"/>
        <v>-1</v>
      </c>
      <c r="K548" s="30">
        <v>319</v>
      </c>
      <c r="L548" s="72">
        <v>3606.8627868838507</v>
      </c>
      <c r="M548" s="84">
        <v>-1</v>
      </c>
      <c r="O548" s="30">
        <v>319</v>
      </c>
      <c r="P548" s="72">
        <v>4478.2009001481856</v>
      </c>
      <c r="Q548" s="84">
        <v>-1</v>
      </c>
      <c r="R548" s="30">
        <f t="shared" si="48"/>
        <v>15</v>
      </c>
    </row>
    <row r="549" spans="7:18" x14ac:dyDescent="0.3">
      <c r="G549" s="30">
        <v>320</v>
      </c>
      <c r="H549" s="72">
        <f t="shared" si="49"/>
        <v>3631.9423382140499</v>
      </c>
      <c r="I549" s="30">
        <f t="shared" si="50"/>
        <v>-1</v>
      </c>
      <c r="K549" s="30">
        <v>320</v>
      </c>
      <c r="L549" s="72">
        <v>3631.9423382140499</v>
      </c>
      <c r="M549" s="84">
        <v>-1</v>
      </c>
      <c r="O549" s="30">
        <v>320</v>
      </c>
      <c r="P549" s="72">
        <v>4488.2202572882125</v>
      </c>
      <c r="Q549" s="84">
        <v>1</v>
      </c>
      <c r="R549" s="30">
        <f t="shared" si="48"/>
        <v>16</v>
      </c>
    </row>
    <row r="550" spans="7:18" x14ac:dyDescent="0.3">
      <c r="G550" s="30">
        <v>321</v>
      </c>
      <c r="H550" s="72">
        <f t="shared" si="49"/>
        <v>3650.7055501940758</v>
      </c>
      <c r="I550" s="30">
        <f t="shared" si="50"/>
        <v>-1</v>
      </c>
      <c r="K550" s="30">
        <v>321</v>
      </c>
      <c r="L550" s="72">
        <v>3650.7055501940758</v>
      </c>
      <c r="M550" s="84">
        <v>-1</v>
      </c>
      <c r="O550" s="30">
        <v>321</v>
      </c>
      <c r="P550" s="72">
        <v>4503.8873428936322</v>
      </c>
      <c r="Q550" s="84">
        <v>-1</v>
      </c>
      <c r="R550" s="30">
        <f t="shared" si="48"/>
        <v>15</v>
      </c>
    </row>
    <row r="551" spans="7:18" x14ac:dyDescent="0.3">
      <c r="G551" s="30">
        <v>322</v>
      </c>
      <c r="H551" s="72">
        <f t="shared" si="49"/>
        <v>3662.3376606456281</v>
      </c>
      <c r="I551" s="30">
        <f t="shared" si="50"/>
        <v>-1</v>
      </c>
      <c r="K551" s="30">
        <v>322</v>
      </c>
      <c r="L551" s="72">
        <v>3662.3376606456281</v>
      </c>
      <c r="M551" s="84">
        <v>-1</v>
      </c>
      <c r="O551" s="30">
        <v>322</v>
      </c>
      <c r="P551" s="72">
        <v>4543.4668793632782</v>
      </c>
      <c r="Q551" s="84">
        <v>-1</v>
      </c>
      <c r="R551" s="30">
        <f t="shared" si="48"/>
        <v>14</v>
      </c>
    </row>
    <row r="552" spans="7:18" x14ac:dyDescent="0.3">
      <c r="G552" s="30">
        <v>323</v>
      </c>
      <c r="H552" s="72">
        <f t="shared" si="49"/>
        <v>3699.8229005893136</v>
      </c>
      <c r="I552" s="30">
        <f t="shared" si="50"/>
        <v>-1</v>
      </c>
      <c r="K552" s="30">
        <v>323</v>
      </c>
      <c r="L552" s="72">
        <v>3699.8229005893136</v>
      </c>
      <c r="M552" s="84">
        <v>-1</v>
      </c>
      <c r="O552" s="30">
        <v>323</v>
      </c>
      <c r="P552" s="72">
        <v>4544.4370405183363</v>
      </c>
      <c r="Q552" s="84">
        <v>1</v>
      </c>
      <c r="R552" s="30">
        <f t="shared" ref="R552:R615" si="51">R551+Q552</f>
        <v>15</v>
      </c>
    </row>
    <row r="553" spans="7:18" x14ac:dyDescent="0.3">
      <c r="G553" s="30">
        <v>324</v>
      </c>
      <c r="H553" s="72">
        <f t="shared" si="49"/>
        <v>3709.7192122429078</v>
      </c>
      <c r="I553" s="30">
        <f t="shared" si="50"/>
        <v>-1</v>
      </c>
      <c r="K553" s="30">
        <v>324</v>
      </c>
      <c r="L553" s="72">
        <v>3709.7192122429078</v>
      </c>
      <c r="M553" s="84">
        <v>-1</v>
      </c>
      <c r="O553" s="30">
        <v>324</v>
      </c>
      <c r="P553" s="72">
        <v>4551.1746451856325</v>
      </c>
      <c r="Q553" s="84">
        <v>-1</v>
      </c>
      <c r="R553" s="30">
        <f t="shared" si="51"/>
        <v>14</v>
      </c>
    </row>
    <row r="554" spans="7:18" x14ac:dyDescent="0.3">
      <c r="G554" s="30">
        <v>325</v>
      </c>
      <c r="H554" s="72">
        <f t="shared" si="49"/>
        <v>3786.6170757929713</v>
      </c>
      <c r="I554" s="30">
        <f t="shared" si="50"/>
        <v>-1</v>
      </c>
      <c r="K554" s="30">
        <v>325</v>
      </c>
      <c r="L554" s="72">
        <v>3786.6170757929713</v>
      </c>
      <c r="M554" s="84">
        <v>-1</v>
      </c>
      <c r="O554" s="30">
        <v>325</v>
      </c>
      <c r="P554" s="72">
        <v>4552.3250776929126</v>
      </c>
      <c r="Q554" s="84">
        <v>-1</v>
      </c>
      <c r="R554" s="30">
        <f t="shared" si="51"/>
        <v>13</v>
      </c>
    </row>
    <row r="555" spans="7:18" x14ac:dyDescent="0.3">
      <c r="G555" s="30">
        <v>326</v>
      </c>
      <c r="H555" s="72">
        <f t="shared" si="49"/>
        <v>3802.253531861556</v>
      </c>
      <c r="I555" s="30">
        <f t="shared" si="50"/>
        <v>-1</v>
      </c>
      <c r="K555" s="30">
        <v>326</v>
      </c>
      <c r="L555" s="72">
        <v>3802.253531861556</v>
      </c>
      <c r="M555" s="84">
        <v>-1</v>
      </c>
      <c r="O555" s="30">
        <v>326</v>
      </c>
      <c r="P555" s="72">
        <v>4559.959215651159</v>
      </c>
      <c r="Q555" s="84">
        <v>1</v>
      </c>
      <c r="R555" s="30">
        <f t="shared" si="51"/>
        <v>14</v>
      </c>
    </row>
    <row r="556" spans="7:18" x14ac:dyDescent="0.3">
      <c r="G556" s="30">
        <v>327</v>
      </c>
      <c r="H556" s="72">
        <f t="shared" si="49"/>
        <v>3802.9060210302578</v>
      </c>
      <c r="I556" s="30">
        <f t="shared" si="50"/>
        <v>-1</v>
      </c>
      <c r="K556" s="30">
        <v>327</v>
      </c>
      <c r="L556" s="72">
        <v>3802.9060210302578</v>
      </c>
      <c r="M556" s="84">
        <v>-1</v>
      </c>
      <c r="O556" s="30">
        <v>327</v>
      </c>
      <c r="P556" s="72">
        <v>4578.5865190471395</v>
      </c>
      <c r="Q556" s="84">
        <v>-1</v>
      </c>
      <c r="R556" s="30">
        <f t="shared" si="51"/>
        <v>13</v>
      </c>
    </row>
    <row r="557" spans="7:18" x14ac:dyDescent="0.3">
      <c r="G557" s="30">
        <v>328</v>
      </c>
      <c r="H557" s="72">
        <f t="shared" si="49"/>
        <v>3858.0729602128695</v>
      </c>
      <c r="I557" s="30">
        <f t="shared" si="50"/>
        <v>-1</v>
      </c>
      <c r="K557" s="30">
        <v>328</v>
      </c>
      <c r="L557" s="72">
        <v>3858.0729602128695</v>
      </c>
      <c r="M557" s="84">
        <v>-1</v>
      </c>
      <c r="O557" s="30">
        <v>328</v>
      </c>
      <c r="P557" s="72">
        <v>4585.7814976326863</v>
      </c>
      <c r="Q557" s="84">
        <v>1</v>
      </c>
      <c r="R557" s="30">
        <f t="shared" si="51"/>
        <v>14</v>
      </c>
    </row>
    <row r="558" spans="7:18" x14ac:dyDescent="0.3">
      <c r="G558" s="30">
        <v>329</v>
      </c>
      <c r="H558" s="72">
        <f t="shared" si="49"/>
        <v>3861.0298591678361</v>
      </c>
      <c r="I558" s="30">
        <f t="shared" si="50"/>
        <v>-1</v>
      </c>
      <c r="K558" s="30">
        <v>329</v>
      </c>
      <c r="L558" s="72">
        <v>3861.0298591678361</v>
      </c>
      <c r="M558" s="84">
        <v>-1</v>
      </c>
      <c r="O558" s="30">
        <v>329</v>
      </c>
      <c r="P558" s="72">
        <v>4588.3026785532584</v>
      </c>
      <c r="Q558" s="84">
        <v>1</v>
      </c>
      <c r="R558" s="30">
        <f t="shared" si="51"/>
        <v>15</v>
      </c>
    </row>
    <row r="559" spans="7:18" x14ac:dyDescent="0.3">
      <c r="G559" s="30">
        <v>330</v>
      </c>
      <c r="H559" s="72">
        <f t="shared" ref="H559:H622" si="52">D359</f>
        <v>3891.1296980517945</v>
      </c>
      <c r="I559" s="30">
        <f t="shared" ref="I559:I622" si="53">E359</f>
        <v>-1</v>
      </c>
      <c r="K559" s="30">
        <v>330</v>
      </c>
      <c r="L559" s="72">
        <v>3891.1296980517945</v>
      </c>
      <c r="M559" s="84">
        <v>-1</v>
      </c>
      <c r="O559" s="30">
        <v>330</v>
      </c>
      <c r="P559" s="72">
        <v>4595.8528470254378</v>
      </c>
      <c r="Q559" s="84">
        <v>1</v>
      </c>
      <c r="R559" s="30">
        <f t="shared" si="51"/>
        <v>16</v>
      </c>
    </row>
    <row r="560" spans="7:18" x14ac:dyDescent="0.3">
      <c r="G560" s="30">
        <v>331</v>
      </c>
      <c r="H560" s="72">
        <f t="shared" si="52"/>
        <v>3900.7121074476418</v>
      </c>
      <c r="I560" s="30">
        <f t="shared" si="53"/>
        <v>-1</v>
      </c>
      <c r="K560" s="30">
        <v>331</v>
      </c>
      <c r="L560" s="72">
        <v>3900.7121074476418</v>
      </c>
      <c r="M560" s="84">
        <v>-1</v>
      </c>
      <c r="O560" s="30">
        <v>331</v>
      </c>
      <c r="P560" s="72">
        <v>4600.7836418046872</v>
      </c>
      <c r="Q560" s="84">
        <v>-1</v>
      </c>
      <c r="R560" s="30">
        <f t="shared" si="51"/>
        <v>15</v>
      </c>
    </row>
    <row r="561" spans="7:18" x14ac:dyDescent="0.3">
      <c r="G561" s="30">
        <v>332</v>
      </c>
      <c r="H561" s="72">
        <f t="shared" si="52"/>
        <v>3913.0248191746941</v>
      </c>
      <c r="I561" s="30">
        <f t="shared" si="53"/>
        <v>-1</v>
      </c>
      <c r="K561" s="30">
        <v>332</v>
      </c>
      <c r="L561" s="72">
        <v>3913.0248191746941</v>
      </c>
      <c r="M561" s="84">
        <v>-1</v>
      </c>
      <c r="O561" s="30">
        <v>332</v>
      </c>
      <c r="P561" s="72">
        <v>4619.8210743391919</v>
      </c>
      <c r="Q561" s="84">
        <v>-1</v>
      </c>
      <c r="R561" s="30">
        <f t="shared" si="51"/>
        <v>14</v>
      </c>
    </row>
    <row r="562" spans="7:18" x14ac:dyDescent="0.3">
      <c r="G562" s="30">
        <v>333</v>
      </c>
      <c r="H562" s="72">
        <f t="shared" si="52"/>
        <v>3937.1264597228301</v>
      </c>
      <c r="I562" s="30">
        <f t="shared" si="53"/>
        <v>-1</v>
      </c>
      <c r="K562" s="30">
        <v>333</v>
      </c>
      <c r="L562" s="72">
        <v>3937.1264597228301</v>
      </c>
      <c r="M562" s="84">
        <v>-1</v>
      </c>
      <c r="O562" s="30">
        <v>333</v>
      </c>
      <c r="P562" s="72">
        <v>4620.129728612199</v>
      </c>
      <c r="Q562" s="84">
        <v>1</v>
      </c>
      <c r="R562" s="30">
        <f t="shared" si="51"/>
        <v>15</v>
      </c>
    </row>
    <row r="563" spans="7:18" x14ac:dyDescent="0.3">
      <c r="G563" s="30">
        <v>334</v>
      </c>
      <c r="H563" s="72">
        <f t="shared" si="52"/>
        <v>3946.3362378703268</v>
      </c>
      <c r="I563" s="30">
        <f t="shared" si="53"/>
        <v>-1</v>
      </c>
      <c r="K563" s="30">
        <v>334</v>
      </c>
      <c r="L563" s="72">
        <v>3946.3362378703268</v>
      </c>
      <c r="M563" s="84">
        <v>-1</v>
      </c>
      <c r="O563" s="30">
        <v>334</v>
      </c>
      <c r="P563" s="72">
        <v>4622.2352794180451</v>
      </c>
      <c r="Q563" s="84">
        <v>1</v>
      </c>
      <c r="R563" s="30">
        <f t="shared" si="51"/>
        <v>16</v>
      </c>
    </row>
    <row r="564" spans="7:18" x14ac:dyDescent="0.3">
      <c r="G564" s="30">
        <v>335</v>
      </c>
      <c r="H564" s="72">
        <f t="shared" si="52"/>
        <v>3968.3495652647425</v>
      </c>
      <c r="I564" s="30">
        <f t="shared" si="53"/>
        <v>-1</v>
      </c>
      <c r="K564" s="30">
        <v>335</v>
      </c>
      <c r="L564" s="72">
        <v>3968.3495652647425</v>
      </c>
      <c r="M564" s="84">
        <v>-1</v>
      </c>
      <c r="O564" s="30">
        <v>335</v>
      </c>
      <c r="P564" s="72">
        <v>4628.0726707488639</v>
      </c>
      <c r="Q564" s="84">
        <v>-1</v>
      </c>
      <c r="R564" s="30">
        <f t="shared" si="51"/>
        <v>15</v>
      </c>
    </row>
    <row r="565" spans="7:18" x14ac:dyDescent="0.3">
      <c r="G565" s="30">
        <v>336</v>
      </c>
      <c r="H565" s="72">
        <f t="shared" si="52"/>
        <v>3979.7166427529132</v>
      </c>
      <c r="I565" s="30">
        <f t="shared" si="53"/>
        <v>-1</v>
      </c>
      <c r="K565" s="30">
        <v>336</v>
      </c>
      <c r="L565" s="72">
        <v>3979.7166427529132</v>
      </c>
      <c r="M565" s="84">
        <v>-1</v>
      </c>
      <c r="O565" s="30">
        <v>336</v>
      </c>
      <c r="P565" s="72">
        <v>4640.0267214438772</v>
      </c>
      <c r="Q565" s="84">
        <v>-1</v>
      </c>
      <c r="R565" s="30">
        <f t="shared" si="51"/>
        <v>14</v>
      </c>
    </row>
    <row r="566" spans="7:18" x14ac:dyDescent="0.3">
      <c r="G566" s="30">
        <v>337</v>
      </c>
      <c r="H566" s="72">
        <f t="shared" si="52"/>
        <v>3994.4464136809665</v>
      </c>
      <c r="I566" s="30">
        <f t="shared" si="53"/>
        <v>-1</v>
      </c>
      <c r="K566" s="30">
        <v>337</v>
      </c>
      <c r="L566" s="72">
        <v>3994.4464136809665</v>
      </c>
      <c r="M566" s="84">
        <v>-1</v>
      </c>
      <c r="O566" s="30">
        <v>337</v>
      </c>
      <c r="P566" s="72">
        <v>4640.3623449997049</v>
      </c>
      <c r="Q566" s="84">
        <v>-1</v>
      </c>
      <c r="R566" s="30">
        <f t="shared" si="51"/>
        <v>13</v>
      </c>
    </row>
    <row r="567" spans="7:18" x14ac:dyDescent="0.3">
      <c r="G567" s="30">
        <v>338</v>
      </c>
      <c r="H567" s="72">
        <f t="shared" si="52"/>
        <v>3996.5511096038781</v>
      </c>
      <c r="I567" s="30">
        <f t="shared" si="53"/>
        <v>-1</v>
      </c>
      <c r="K567" s="30">
        <v>338</v>
      </c>
      <c r="L567" s="72">
        <v>3996.5511096038781</v>
      </c>
      <c r="M567" s="84">
        <v>-1</v>
      </c>
      <c r="O567" s="30">
        <v>338</v>
      </c>
      <c r="P567" s="72">
        <v>4652.327875189806</v>
      </c>
      <c r="Q567" s="84">
        <v>1</v>
      </c>
      <c r="R567" s="30">
        <f t="shared" si="51"/>
        <v>14</v>
      </c>
    </row>
    <row r="568" spans="7:18" x14ac:dyDescent="0.3">
      <c r="G568" s="30">
        <v>339</v>
      </c>
      <c r="H568" s="72">
        <f t="shared" si="52"/>
        <v>3998.5827092809909</v>
      </c>
      <c r="I568" s="30">
        <f t="shared" si="53"/>
        <v>-1</v>
      </c>
      <c r="K568" s="30">
        <v>339</v>
      </c>
      <c r="L568" s="72">
        <v>3998.5827092809909</v>
      </c>
      <c r="M568" s="84">
        <v>-1</v>
      </c>
      <c r="O568" s="30">
        <v>339</v>
      </c>
      <c r="P568" s="72">
        <v>4669.826759090457</v>
      </c>
      <c r="Q568" s="84">
        <v>1</v>
      </c>
      <c r="R568" s="30">
        <f t="shared" si="51"/>
        <v>15</v>
      </c>
    </row>
    <row r="569" spans="7:18" x14ac:dyDescent="0.3">
      <c r="G569" s="30">
        <v>340</v>
      </c>
      <c r="H569" s="72">
        <f t="shared" si="52"/>
        <v>4008.9763135338148</v>
      </c>
      <c r="I569" s="30">
        <f t="shared" si="53"/>
        <v>-1</v>
      </c>
      <c r="K569" s="30">
        <v>340</v>
      </c>
      <c r="L569" s="72">
        <v>4008.9763135338148</v>
      </c>
      <c r="M569" s="84">
        <v>-1</v>
      </c>
      <c r="O569" s="30">
        <v>340</v>
      </c>
      <c r="P569" s="72">
        <v>4680.220304817306</v>
      </c>
      <c r="Q569" s="84">
        <v>1</v>
      </c>
      <c r="R569" s="30">
        <f t="shared" si="51"/>
        <v>16</v>
      </c>
    </row>
    <row r="570" spans="7:18" x14ac:dyDescent="0.3">
      <c r="G570" s="30">
        <v>341</v>
      </c>
      <c r="H570" s="72">
        <f t="shared" si="52"/>
        <v>4043.0619006963293</v>
      </c>
      <c r="I570" s="30">
        <f t="shared" si="53"/>
        <v>-1</v>
      </c>
      <c r="K570" s="30">
        <v>341</v>
      </c>
      <c r="L570" s="72">
        <v>4043.0619006963293</v>
      </c>
      <c r="M570" s="84">
        <v>-1</v>
      </c>
      <c r="O570" s="30">
        <v>341</v>
      </c>
      <c r="P570" s="72">
        <v>4734.3583668686215</v>
      </c>
      <c r="Q570" s="84">
        <v>1</v>
      </c>
      <c r="R570" s="30">
        <f t="shared" si="51"/>
        <v>17</v>
      </c>
    </row>
    <row r="571" spans="7:18" x14ac:dyDescent="0.3">
      <c r="G571" s="30">
        <v>342</v>
      </c>
      <c r="H571" s="72">
        <f t="shared" si="52"/>
        <v>4055.0861827167646</v>
      </c>
      <c r="I571" s="30">
        <f t="shared" si="53"/>
        <v>-1</v>
      </c>
      <c r="K571" s="30">
        <v>342</v>
      </c>
      <c r="L571" s="72">
        <v>4055.0861827167646</v>
      </c>
      <c r="M571" s="84">
        <v>-1</v>
      </c>
      <c r="O571" s="30">
        <v>342</v>
      </c>
      <c r="P571" s="72">
        <v>4734.3979216694379</v>
      </c>
      <c r="Q571" s="84">
        <v>1</v>
      </c>
      <c r="R571" s="30">
        <f t="shared" si="51"/>
        <v>18</v>
      </c>
    </row>
    <row r="572" spans="7:18" x14ac:dyDescent="0.3">
      <c r="G572" s="30">
        <v>343</v>
      </c>
      <c r="H572" s="72">
        <f t="shared" si="52"/>
        <v>4144.516634550765</v>
      </c>
      <c r="I572" s="30">
        <f t="shared" si="53"/>
        <v>-1</v>
      </c>
      <c r="K572" s="30">
        <v>343</v>
      </c>
      <c r="L572" s="72">
        <v>4144.516634550765</v>
      </c>
      <c r="M572" s="84">
        <v>-1</v>
      </c>
      <c r="O572" s="30">
        <v>343</v>
      </c>
      <c r="P572" s="72">
        <v>4746.1503396643011</v>
      </c>
      <c r="Q572" s="84">
        <v>-1</v>
      </c>
      <c r="R572" s="30">
        <f t="shared" si="51"/>
        <v>17</v>
      </c>
    </row>
    <row r="573" spans="7:18" x14ac:dyDescent="0.3">
      <c r="G573" s="30">
        <v>344</v>
      </c>
      <c r="H573" s="72">
        <f t="shared" si="52"/>
        <v>4182.7358838767886</v>
      </c>
      <c r="I573" s="30">
        <f t="shared" si="53"/>
        <v>-1</v>
      </c>
      <c r="K573" s="30">
        <v>344</v>
      </c>
      <c r="L573" s="72">
        <v>4182.7358838767886</v>
      </c>
      <c r="M573" s="84">
        <v>-1</v>
      </c>
      <c r="O573" s="30">
        <v>344</v>
      </c>
      <c r="P573" s="72">
        <v>4757.5525563766314</v>
      </c>
      <c r="Q573" s="84">
        <v>-1</v>
      </c>
      <c r="R573" s="30">
        <f t="shared" si="51"/>
        <v>16</v>
      </c>
    </row>
    <row r="574" spans="7:18" x14ac:dyDescent="0.3">
      <c r="G574" s="30">
        <v>345</v>
      </c>
      <c r="H574" s="72">
        <f t="shared" si="52"/>
        <v>4218.1421032803855</v>
      </c>
      <c r="I574" s="30">
        <f t="shared" si="53"/>
        <v>-1</v>
      </c>
      <c r="K574" s="30">
        <v>345</v>
      </c>
      <c r="L574" s="72">
        <v>4218.1421032803855</v>
      </c>
      <c r="M574" s="84">
        <v>-1</v>
      </c>
      <c r="O574" s="30">
        <v>345</v>
      </c>
      <c r="P574" s="72">
        <v>4761.7419912072801</v>
      </c>
      <c r="Q574" s="84">
        <v>-1</v>
      </c>
      <c r="R574" s="30">
        <f t="shared" si="51"/>
        <v>15</v>
      </c>
    </row>
    <row r="575" spans="7:18" x14ac:dyDescent="0.3">
      <c r="G575" s="30">
        <v>346</v>
      </c>
      <c r="H575" s="72">
        <f t="shared" si="52"/>
        <v>4219.0888898009844</v>
      </c>
      <c r="I575" s="30">
        <f t="shared" si="53"/>
        <v>-1</v>
      </c>
      <c r="K575" s="30">
        <v>346</v>
      </c>
      <c r="L575" s="72">
        <v>4219.0888898009844</v>
      </c>
      <c r="M575" s="84">
        <v>-1</v>
      </c>
      <c r="O575" s="30">
        <v>346</v>
      </c>
      <c r="P575" s="72">
        <v>4762.4877259231098</v>
      </c>
      <c r="Q575" s="84">
        <v>1</v>
      </c>
      <c r="R575" s="30">
        <f t="shared" si="51"/>
        <v>16</v>
      </c>
    </row>
    <row r="576" spans="7:18" x14ac:dyDescent="0.3">
      <c r="G576" s="30">
        <v>347</v>
      </c>
      <c r="H576" s="72">
        <f t="shared" si="52"/>
        <v>4242.732055213105</v>
      </c>
      <c r="I576" s="30">
        <f t="shared" si="53"/>
        <v>-1</v>
      </c>
      <c r="K576" s="30">
        <v>347</v>
      </c>
      <c r="L576" s="72">
        <v>4242.732055213105</v>
      </c>
      <c r="M576" s="84">
        <v>-1</v>
      </c>
      <c r="O576" s="30">
        <v>347</v>
      </c>
      <c r="P576" s="72">
        <v>4776.0094540057271</v>
      </c>
      <c r="Q576" s="84">
        <v>-1</v>
      </c>
      <c r="R576" s="30">
        <f t="shared" si="51"/>
        <v>15</v>
      </c>
    </row>
    <row r="577" spans="7:18" x14ac:dyDescent="0.3">
      <c r="G577" s="30">
        <v>348</v>
      </c>
      <c r="H577" s="72">
        <f t="shared" si="52"/>
        <v>4293.1248101750025</v>
      </c>
      <c r="I577" s="30">
        <f t="shared" si="53"/>
        <v>-1</v>
      </c>
      <c r="K577" s="30">
        <v>348</v>
      </c>
      <c r="L577" s="72">
        <v>4293.1248101750025</v>
      </c>
      <c r="M577" s="84">
        <v>-1</v>
      </c>
      <c r="O577" s="30">
        <v>348</v>
      </c>
      <c r="P577" s="72">
        <v>4783.1413242781127</v>
      </c>
      <c r="Q577" s="84">
        <v>-1</v>
      </c>
      <c r="R577" s="30">
        <f t="shared" si="51"/>
        <v>14</v>
      </c>
    </row>
    <row r="578" spans="7:18" x14ac:dyDescent="0.3">
      <c r="G578" s="30">
        <v>349</v>
      </c>
      <c r="H578" s="72">
        <f t="shared" si="52"/>
        <v>4347.8143062769586</v>
      </c>
      <c r="I578" s="30">
        <f t="shared" si="53"/>
        <v>-1</v>
      </c>
      <c r="K578" s="30">
        <v>349</v>
      </c>
      <c r="L578" s="72">
        <v>4347.8143062769586</v>
      </c>
      <c r="M578" s="84">
        <v>-1</v>
      </c>
      <c r="O578" s="30">
        <v>349</v>
      </c>
      <c r="P578" s="72">
        <v>4785.5748756699541</v>
      </c>
      <c r="Q578" s="84">
        <v>-1</v>
      </c>
      <c r="R578" s="30">
        <f t="shared" si="51"/>
        <v>13</v>
      </c>
    </row>
    <row r="579" spans="7:18" x14ac:dyDescent="0.3">
      <c r="G579" s="30">
        <v>350</v>
      </c>
      <c r="H579" s="72">
        <f t="shared" si="52"/>
        <v>4385.6016896278861</v>
      </c>
      <c r="I579" s="30">
        <f t="shared" si="53"/>
        <v>-1</v>
      </c>
      <c r="K579" s="30">
        <v>350</v>
      </c>
      <c r="L579" s="72">
        <v>4385.6016896278861</v>
      </c>
      <c r="M579" s="84">
        <v>-1</v>
      </c>
      <c r="O579" s="30">
        <v>350</v>
      </c>
      <c r="P579" s="72">
        <v>4787.5721267163408</v>
      </c>
      <c r="Q579" s="84">
        <v>1</v>
      </c>
      <c r="R579" s="30">
        <f t="shared" si="51"/>
        <v>14</v>
      </c>
    </row>
    <row r="580" spans="7:18" x14ac:dyDescent="0.3">
      <c r="G580" s="30">
        <v>351</v>
      </c>
      <c r="H580" s="72">
        <f t="shared" si="52"/>
        <v>4402.8346769565651</v>
      </c>
      <c r="I580" s="30">
        <f t="shared" si="53"/>
        <v>-1</v>
      </c>
      <c r="K580" s="30">
        <v>351</v>
      </c>
      <c r="L580" s="72">
        <v>4402.8346769565651</v>
      </c>
      <c r="M580" s="84">
        <v>-1</v>
      </c>
      <c r="O580" s="30">
        <v>351</v>
      </c>
      <c r="P580" s="72">
        <v>4808.2784436835855</v>
      </c>
      <c r="Q580" s="84">
        <v>1</v>
      </c>
      <c r="R580" s="30">
        <f t="shared" si="51"/>
        <v>15</v>
      </c>
    </row>
    <row r="581" spans="7:18" x14ac:dyDescent="0.3">
      <c r="G581" s="30">
        <v>352</v>
      </c>
      <c r="H581" s="72">
        <f t="shared" si="52"/>
        <v>4478.2009001481856</v>
      </c>
      <c r="I581" s="30">
        <f t="shared" si="53"/>
        <v>-1</v>
      </c>
      <c r="K581" s="30">
        <v>352</v>
      </c>
      <c r="L581" s="72">
        <v>4478.2009001481856</v>
      </c>
      <c r="M581" s="84">
        <v>-1</v>
      </c>
      <c r="O581" s="30">
        <v>352</v>
      </c>
      <c r="P581" s="72">
        <v>4832.2510935875507</v>
      </c>
      <c r="Q581" s="84">
        <v>1</v>
      </c>
      <c r="R581" s="30">
        <f t="shared" si="51"/>
        <v>16</v>
      </c>
    </row>
    <row r="582" spans="7:18" x14ac:dyDescent="0.3">
      <c r="G582" s="30">
        <v>353</v>
      </c>
      <c r="H582" s="72">
        <f t="shared" si="52"/>
        <v>4503.8873428936322</v>
      </c>
      <c r="I582" s="30">
        <f t="shared" si="53"/>
        <v>-1</v>
      </c>
      <c r="K582" s="30">
        <v>353</v>
      </c>
      <c r="L582" s="72">
        <v>4503.8873428936322</v>
      </c>
      <c r="M582" s="84">
        <v>-1</v>
      </c>
      <c r="O582" s="30">
        <v>353</v>
      </c>
      <c r="P582" s="72">
        <v>4837.5593836970374</v>
      </c>
      <c r="Q582" s="84">
        <v>-1</v>
      </c>
      <c r="R582" s="30">
        <f t="shared" si="51"/>
        <v>15</v>
      </c>
    </row>
    <row r="583" spans="7:18" x14ac:dyDescent="0.3">
      <c r="G583" s="30">
        <v>354</v>
      </c>
      <c r="H583" s="72">
        <f t="shared" si="52"/>
        <v>4543.4668793632782</v>
      </c>
      <c r="I583" s="30">
        <f t="shared" si="53"/>
        <v>-1</v>
      </c>
      <c r="K583" s="30">
        <v>354</v>
      </c>
      <c r="L583" s="72">
        <v>4543.4668793632782</v>
      </c>
      <c r="M583" s="84">
        <v>-1</v>
      </c>
      <c r="O583" s="30">
        <v>354</v>
      </c>
      <c r="P583" s="72">
        <v>4849.6823883452507</v>
      </c>
      <c r="Q583" s="84">
        <v>1</v>
      </c>
      <c r="R583" s="30">
        <f t="shared" si="51"/>
        <v>16</v>
      </c>
    </row>
    <row r="584" spans="7:18" x14ac:dyDescent="0.3">
      <c r="G584" s="30">
        <v>355</v>
      </c>
      <c r="H584" s="72">
        <f t="shared" si="52"/>
        <v>4551.1746451856325</v>
      </c>
      <c r="I584" s="30">
        <f t="shared" si="53"/>
        <v>-1</v>
      </c>
      <c r="K584" s="30">
        <v>355</v>
      </c>
      <c r="L584" s="72">
        <v>4551.1746451856325</v>
      </c>
      <c r="M584" s="84">
        <v>-1</v>
      </c>
      <c r="O584" s="30">
        <v>355</v>
      </c>
      <c r="P584" s="72">
        <v>4852.1639387527548</v>
      </c>
      <c r="Q584" s="84">
        <v>1</v>
      </c>
      <c r="R584" s="30">
        <f t="shared" si="51"/>
        <v>17</v>
      </c>
    </row>
    <row r="585" spans="7:18" x14ac:dyDescent="0.3">
      <c r="G585" s="30">
        <v>356</v>
      </c>
      <c r="H585" s="72">
        <f t="shared" si="52"/>
        <v>4552.3250776929126</v>
      </c>
      <c r="I585" s="30">
        <f t="shared" si="53"/>
        <v>-1</v>
      </c>
      <c r="K585" s="30">
        <v>356</v>
      </c>
      <c r="L585" s="72">
        <v>4552.3250776929126</v>
      </c>
      <c r="M585" s="84">
        <v>-1</v>
      </c>
      <c r="O585" s="30">
        <v>356</v>
      </c>
      <c r="P585" s="72">
        <v>4861.7349431357534</v>
      </c>
      <c r="Q585" s="84">
        <v>-1</v>
      </c>
      <c r="R585" s="30">
        <f t="shared" si="51"/>
        <v>16</v>
      </c>
    </row>
    <row r="586" spans="7:18" x14ac:dyDescent="0.3">
      <c r="G586" s="30">
        <v>357</v>
      </c>
      <c r="H586" s="72">
        <f t="shared" si="52"/>
        <v>4578.5865190471395</v>
      </c>
      <c r="I586" s="30">
        <f t="shared" si="53"/>
        <v>-1</v>
      </c>
      <c r="K586" s="30">
        <v>357</v>
      </c>
      <c r="L586" s="72">
        <v>4578.5865190471395</v>
      </c>
      <c r="M586" s="84">
        <v>-1</v>
      </c>
      <c r="O586" s="30">
        <v>357</v>
      </c>
      <c r="P586" s="72">
        <v>4881.9857117791989</v>
      </c>
      <c r="Q586" s="84">
        <v>-1</v>
      </c>
      <c r="R586" s="30">
        <f t="shared" si="51"/>
        <v>15</v>
      </c>
    </row>
    <row r="587" spans="7:18" x14ac:dyDescent="0.3">
      <c r="G587" s="30">
        <v>358</v>
      </c>
      <c r="H587" s="72">
        <f t="shared" si="52"/>
        <v>4600.7836418046872</v>
      </c>
      <c r="I587" s="30">
        <f t="shared" si="53"/>
        <v>-1</v>
      </c>
      <c r="K587" s="30">
        <v>358</v>
      </c>
      <c r="L587" s="72">
        <v>4600.7836418046872</v>
      </c>
      <c r="M587" s="84">
        <v>-1</v>
      </c>
      <c r="O587" s="30">
        <v>358</v>
      </c>
      <c r="P587" s="72">
        <v>4896.8574384939511</v>
      </c>
      <c r="Q587" s="84">
        <v>-1</v>
      </c>
      <c r="R587" s="30">
        <f t="shared" si="51"/>
        <v>14</v>
      </c>
    </row>
    <row r="588" spans="7:18" x14ac:dyDescent="0.3">
      <c r="G588" s="30">
        <v>359</v>
      </c>
      <c r="H588" s="72">
        <f t="shared" si="52"/>
        <v>4619.8210743391919</v>
      </c>
      <c r="I588" s="30">
        <f t="shared" si="53"/>
        <v>-1</v>
      </c>
      <c r="K588" s="30">
        <v>359</v>
      </c>
      <c r="L588" s="72">
        <v>4619.8210743391919</v>
      </c>
      <c r="M588" s="84">
        <v>-1</v>
      </c>
      <c r="O588" s="30">
        <v>359</v>
      </c>
      <c r="P588" s="72">
        <v>4917.3402121704257</v>
      </c>
      <c r="Q588" s="84">
        <v>1</v>
      </c>
      <c r="R588" s="30">
        <f t="shared" si="51"/>
        <v>15</v>
      </c>
    </row>
    <row r="589" spans="7:18" x14ac:dyDescent="0.3">
      <c r="G589" s="30">
        <v>360</v>
      </c>
      <c r="H589" s="72">
        <f t="shared" si="52"/>
        <v>4628.0726707488639</v>
      </c>
      <c r="I589" s="30">
        <f t="shared" si="53"/>
        <v>-1</v>
      </c>
      <c r="K589" s="30">
        <v>360</v>
      </c>
      <c r="L589" s="72">
        <v>4628.0726707488639</v>
      </c>
      <c r="M589" s="84">
        <v>-1</v>
      </c>
      <c r="O589" s="30">
        <v>360</v>
      </c>
      <c r="P589" s="72">
        <v>4929.8592283958851</v>
      </c>
      <c r="Q589" s="84">
        <v>-1</v>
      </c>
      <c r="R589" s="30">
        <f t="shared" si="51"/>
        <v>14</v>
      </c>
    </row>
    <row r="590" spans="7:18" x14ac:dyDescent="0.3">
      <c r="G590" s="30">
        <v>361</v>
      </c>
      <c r="H590" s="72">
        <f t="shared" si="52"/>
        <v>4640.0267214438772</v>
      </c>
      <c r="I590" s="30">
        <f t="shared" si="53"/>
        <v>-1</v>
      </c>
      <c r="K590" s="30">
        <v>361</v>
      </c>
      <c r="L590" s="72">
        <v>4640.0267214438772</v>
      </c>
      <c r="M590" s="84">
        <v>-1</v>
      </c>
      <c r="O590" s="30">
        <v>361</v>
      </c>
      <c r="P590" s="72">
        <v>4931.7552939108318</v>
      </c>
      <c r="Q590" s="84">
        <v>1</v>
      </c>
      <c r="R590" s="30">
        <f t="shared" si="51"/>
        <v>15</v>
      </c>
    </row>
    <row r="591" spans="7:18" x14ac:dyDescent="0.3">
      <c r="G591" s="30">
        <v>362</v>
      </c>
      <c r="H591" s="72">
        <f t="shared" si="52"/>
        <v>4640.3623449997049</v>
      </c>
      <c r="I591" s="30">
        <f t="shared" si="53"/>
        <v>-1</v>
      </c>
      <c r="K591" s="30">
        <v>362</v>
      </c>
      <c r="L591" s="72">
        <v>4640.3623449997049</v>
      </c>
      <c r="M591" s="84">
        <v>-1</v>
      </c>
      <c r="O591" s="30">
        <v>362</v>
      </c>
      <c r="P591" s="72">
        <v>4956.4734531278373</v>
      </c>
      <c r="Q591" s="84">
        <v>1</v>
      </c>
      <c r="R591" s="30">
        <f t="shared" si="51"/>
        <v>16</v>
      </c>
    </row>
    <row r="592" spans="7:18" x14ac:dyDescent="0.3">
      <c r="G592" s="30">
        <v>363</v>
      </c>
      <c r="H592" s="72">
        <f t="shared" si="52"/>
        <v>4746.1503396643011</v>
      </c>
      <c r="I592" s="30">
        <f t="shared" si="53"/>
        <v>-1</v>
      </c>
      <c r="K592" s="30">
        <v>363</v>
      </c>
      <c r="L592" s="72">
        <v>4746.1503396643011</v>
      </c>
      <c r="M592" s="84">
        <v>-1</v>
      </c>
      <c r="O592" s="30">
        <v>363</v>
      </c>
      <c r="P592" s="72">
        <v>4958.0843430128407</v>
      </c>
      <c r="Q592" s="84">
        <v>-1</v>
      </c>
      <c r="R592" s="30">
        <f t="shared" si="51"/>
        <v>15</v>
      </c>
    </row>
    <row r="593" spans="7:18" x14ac:dyDescent="0.3">
      <c r="G593" s="30">
        <v>364</v>
      </c>
      <c r="H593" s="72">
        <f t="shared" si="52"/>
        <v>4757.5525563766314</v>
      </c>
      <c r="I593" s="30">
        <f t="shared" si="53"/>
        <v>-1</v>
      </c>
      <c r="K593" s="30">
        <v>364</v>
      </c>
      <c r="L593" s="72">
        <v>4757.5525563766314</v>
      </c>
      <c r="M593" s="84">
        <v>-1</v>
      </c>
      <c r="O593" s="30">
        <v>364</v>
      </c>
      <c r="P593" s="72">
        <v>4963.8090431483115</v>
      </c>
      <c r="Q593" s="84">
        <v>1</v>
      </c>
      <c r="R593" s="30">
        <f t="shared" si="51"/>
        <v>16</v>
      </c>
    </row>
    <row r="594" spans="7:18" x14ac:dyDescent="0.3">
      <c r="G594" s="30">
        <v>365</v>
      </c>
      <c r="H594" s="72">
        <f t="shared" si="52"/>
        <v>4761.7419912072801</v>
      </c>
      <c r="I594" s="30">
        <f t="shared" si="53"/>
        <v>-1</v>
      </c>
      <c r="K594" s="30">
        <v>365</v>
      </c>
      <c r="L594" s="72">
        <v>4761.7419912072801</v>
      </c>
      <c r="M594" s="84">
        <v>-1</v>
      </c>
      <c r="O594" s="30">
        <v>365</v>
      </c>
      <c r="P594" s="72">
        <v>5005.6287893890467</v>
      </c>
      <c r="Q594" s="84">
        <v>1</v>
      </c>
      <c r="R594" s="30">
        <f t="shared" si="51"/>
        <v>17</v>
      </c>
    </row>
    <row r="595" spans="7:18" x14ac:dyDescent="0.3">
      <c r="G595" s="30">
        <v>366</v>
      </c>
      <c r="H595" s="72">
        <f t="shared" si="52"/>
        <v>4776.0094540057271</v>
      </c>
      <c r="I595" s="30">
        <f t="shared" si="53"/>
        <v>-1</v>
      </c>
      <c r="K595" s="30">
        <v>366</v>
      </c>
      <c r="L595" s="72">
        <v>4776.0094540057271</v>
      </c>
      <c r="M595" s="84">
        <v>-1</v>
      </c>
      <c r="O595" s="30">
        <v>366</v>
      </c>
      <c r="P595" s="72">
        <v>5021.2490455318875</v>
      </c>
      <c r="Q595" s="84">
        <v>1</v>
      </c>
      <c r="R595" s="30">
        <f t="shared" si="51"/>
        <v>18</v>
      </c>
    </row>
    <row r="596" spans="7:18" x14ac:dyDescent="0.3">
      <c r="G596" s="30">
        <v>367</v>
      </c>
      <c r="H596" s="72">
        <f t="shared" si="52"/>
        <v>4783.1413242781127</v>
      </c>
      <c r="I596" s="30">
        <f t="shared" si="53"/>
        <v>-1</v>
      </c>
      <c r="K596" s="30">
        <v>367</v>
      </c>
      <c r="L596" s="72">
        <v>4783.1413242781127</v>
      </c>
      <c r="M596" s="84">
        <v>-1</v>
      </c>
      <c r="O596" s="30">
        <v>367</v>
      </c>
      <c r="P596" s="72">
        <v>5035.6097038918733</v>
      </c>
      <c r="Q596" s="84">
        <v>-1</v>
      </c>
      <c r="R596" s="30">
        <f t="shared" si="51"/>
        <v>17</v>
      </c>
    </row>
    <row r="597" spans="7:18" x14ac:dyDescent="0.3">
      <c r="G597" s="30">
        <v>368</v>
      </c>
      <c r="H597" s="72">
        <f t="shared" si="52"/>
        <v>4785.5748756699541</v>
      </c>
      <c r="I597" s="30">
        <f t="shared" si="53"/>
        <v>-1</v>
      </c>
      <c r="K597" s="30">
        <v>368</v>
      </c>
      <c r="L597" s="72">
        <v>4785.5748756699541</v>
      </c>
      <c r="M597" s="84">
        <v>-1</v>
      </c>
      <c r="O597" s="30">
        <v>368</v>
      </c>
      <c r="P597" s="72">
        <v>5036.2075858542103</v>
      </c>
      <c r="Q597" s="84">
        <v>1</v>
      </c>
      <c r="R597" s="30">
        <f t="shared" si="51"/>
        <v>18</v>
      </c>
    </row>
    <row r="598" spans="7:18" x14ac:dyDescent="0.3">
      <c r="G598" s="30">
        <v>369</v>
      </c>
      <c r="H598" s="72">
        <f t="shared" si="52"/>
        <v>4837.5593836970374</v>
      </c>
      <c r="I598" s="30">
        <f t="shared" si="53"/>
        <v>-1</v>
      </c>
      <c r="K598" s="30">
        <v>369</v>
      </c>
      <c r="L598" s="72">
        <v>4837.5593836970374</v>
      </c>
      <c r="M598" s="84">
        <v>-1</v>
      </c>
      <c r="O598" s="30">
        <v>369</v>
      </c>
      <c r="P598" s="72">
        <v>5047.9523781408043</v>
      </c>
      <c r="Q598" s="84">
        <v>1</v>
      </c>
      <c r="R598" s="30">
        <f t="shared" si="51"/>
        <v>19</v>
      </c>
    </row>
    <row r="599" spans="7:18" x14ac:dyDescent="0.3">
      <c r="G599" s="30">
        <v>370</v>
      </c>
      <c r="H599" s="72">
        <f t="shared" si="52"/>
        <v>4861.7349431357534</v>
      </c>
      <c r="I599" s="30">
        <f t="shared" si="53"/>
        <v>-1</v>
      </c>
      <c r="K599" s="30">
        <v>370</v>
      </c>
      <c r="L599" s="72">
        <v>4861.7349431357534</v>
      </c>
      <c r="M599" s="84">
        <v>-1</v>
      </c>
      <c r="O599" s="30">
        <v>370</v>
      </c>
      <c r="P599" s="72">
        <v>5053.4633972293695</v>
      </c>
      <c r="Q599" s="84">
        <v>1</v>
      </c>
      <c r="R599" s="30">
        <f t="shared" si="51"/>
        <v>20</v>
      </c>
    </row>
    <row r="600" spans="7:18" x14ac:dyDescent="0.3">
      <c r="G600" s="30">
        <v>371</v>
      </c>
      <c r="H600" s="72">
        <f t="shared" si="52"/>
        <v>4881.9857117791989</v>
      </c>
      <c r="I600" s="30">
        <f t="shared" si="53"/>
        <v>-1</v>
      </c>
      <c r="K600" s="30">
        <v>371</v>
      </c>
      <c r="L600" s="72">
        <v>4881.9857117791989</v>
      </c>
      <c r="M600" s="84">
        <v>-1</v>
      </c>
      <c r="O600" s="30">
        <v>371</v>
      </c>
      <c r="P600" s="72">
        <v>5056.9534128892547</v>
      </c>
      <c r="Q600" s="84">
        <v>1</v>
      </c>
      <c r="R600" s="30">
        <f t="shared" si="51"/>
        <v>21</v>
      </c>
    </row>
    <row r="601" spans="7:18" x14ac:dyDescent="0.3">
      <c r="G601" s="30">
        <v>372</v>
      </c>
      <c r="H601" s="72">
        <f t="shared" si="52"/>
        <v>4896.8574384939511</v>
      </c>
      <c r="I601" s="30">
        <f t="shared" si="53"/>
        <v>-1</v>
      </c>
      <c r="K601" s="30">
        <v>372</v>
      </c>
      <c r="L601" s="72">
        <v>4896.8574384939511</v>
      </c>
      <c r="M601" s="84">
        <v>-1</v>
      </c>
      <c r="O601" s="30">
        <v>372</v>
      </c>
      <c r="P601" s="72">
        <v>5081.3828288510986</v>
      </c>
      <c r="Q601" s="84">
        <v>1</v>
      </c>
      <c r="R601" s="30">
        <f t="shared" si="51"/>
        <v>22</v>
      </c>
    </row>
    <row r="602" spans="7:18" x14ac:dyDescent="0.3">
      <c r="G602" s="30">
        <v>373</v>
      </c>
      <c r="H602" s="72">
        <f t="shared" si="52"/>
        <v>4929.8592283958851</v>
      </c>
      <c r="I602" s="30">
        <f t="shared" si="53"/>
        <v>-1</v>
      </c>
      <c r="K602" s="30">
        <v>373</v>
      </c>
      <c r="L602" s="72">
        <v>4929.8592283958851</v>
      </c>
      <c r="M602" s="84">
        <v>-1</v>
      </c>
      <c r="O602" s="30">
        <v>373</v>
      </c>
      <c r="P602" s="72">
        <v>5082.3758704821439</v>
      </c>
      <c r="Q602" s="84">
        <v>-1</v>
      </c>
      <c r="R602" s="30">
        <f t="shared" si="51"/>
        <v>21</v>
      </c>
    </row>
    <row r="603" spans="7:18" x14ac:dyDescent="0.3">
      <c r="G603" s="30">
        <v>374</v>
      </c>
      <c r="H603" s="72">
        <f t="shared" si="52"/>
        <v>4958.0843430128407</v>
      </c>
      <c r="I603" s="30">
        <f t="shared" si="53"/>
        <v>-1</v>
      </c>
      <c r="K603" s="30">
        <v>374</v>
      </c>
      <c r="L603" s="72">
        <v>4958.0843430128407</v>
      </c>
      <c r="M603" s="84">
        <v>-1</v>
      </c>
      <c r="O603" s="30">
        <v>374</v>
      </c>
      <c r="P603" s="72">
        <v>5103.4548139708022</v>
      </c>
      <c r="Q603" s="84">
        <v>-1</v>
      </c>
      <c r="R603" s="30">
        <f t="shared" si="51"/>
        <v>20</v>
      </c>
    </row>
    <row r="604" spans="7:18" x14ac:dyDescent="0.3">
      <c r="G604" s="30">
        <v>375</v>
      </c>
      <c r="H604" s="72">
        <f t="shared" si="52"/>
        <v>5035.6097038918733</v>
      </c>
      <c r="I604" s="30">
        <f t="shared" si="53"/>
        <v>-1</v>
      </c>
      <c r="K604" s="30">
        <v>375</v>
      </c>
      <c r="L604" s="72">
        <v>5035.6097038918733</v>
      </c>
      <c r="M604" s="84">
        <v>-1</v>
      </c>
      <c r="O604" s="30">
        <v>375</v>
      </c>
      <c r="P604" s="72">
        <v>5115.3398858245509</v>
      </c>
      <c r="Q604" s="84">
        <v>1</v>
      </c>
      <c r="R604" s="30">
        <f t="shared" si="51"/>
        <v>21</v>
      </c>
    </row>
    <row r="605" spans="7:18" x14ac:dyDescent="0.3">
      <c r="G605" s="30">
        <v>376</v>
      </c>
      <c r="H605" s="72">
        <f t="shared" si="52"/>
        <v>5082.3758704821439</v>
      </c>
      <c r="I605" s="30">
        <f t="shared" si="53"/>
        <v>-1</v>
      </c>
      <c r="K605" s="30">
        <v>376</v>
      </c>
      <c r="L605" s="72">
        <v>5082.3758704821439</v>
      </c>
      <c r="M605" s="84">
        <v>-1</v>
      </c>
      <c r="O605" s="30">
        <v>376</v>
      </c>
      <c r="P605" s="72">
        <v>5117.8986399528485</v>
      </c>
      <c r="Q605" s="84">
        <v>1</v>
      </c>
      <c r="R605" s="30">
        <f t="shared" si="51"/>
        <v>22</v>
      </c>
    </row>
    <row r="606" spans="7:18" x14ac:dyDescent="0.3">
      <c r="G606" s="30">
        <v>377</v>
      </c>
      <c r="H606" s="72">
        <f t="shared" si="52"/>
        <v>5103.4548139708022</v>
      </c>
      <c r="I606" s="30">
        <f t="shared" si="53"/>
        <v>-1</v>
      </c>
      <c r="K606" s="30">
        <v>377</v>
      </c>
      <c r="L606" s="72">
        <v>5103.4548139708022</v>
      </c>
      <c r="M606" s="84">
        <v>-1</v>
      </c>
      <c r="O606" s="30">
        <v>377</v>
      </c>
      <c r="P606" s="72">
        <v>5135.6517376352849</v>
      </c>
      <c r="Q606" s="84">
        <v>-1</v>
      </c>
      <c r="R606" s="30">
        <f t="shared" si="51"/>
        <v>21</v>
      </c>
    </row>
    <row r="607" spans="7:18" x14ac:dyDescent="0.3">
      <c r="G607" s="30">
        <v>378</v>
      </c>
      <c r="H607" s="72">
        <f t="shared" si="52"/>
        <v>5135.6517376352849</v>
      </c>
      <c r="I607" s="30">
        <f t="shared" si="53"/>
        <v>-1</v>
      </c>
      <c r="K607" s="30">
        <v>378</v>
      </c>
      <c r="L607" s="72">
        <v>5135.6517376352849</v>
      </c>
      <c r="M607" s="84">
        <v>-1</v>
      </c>
      <c r="O607" s="30">
        <v>378</v>
      </c>
      <c r="P607" s="72">
        <v>5140.1384263332648</v>
      </c>
      <c r="Q607" s="84">
        <v>-1</v>
      </c>
      <c r="R607" s="30">
        <f t="shared" si="51"/>
        <v>20</v>
      </c>
    </row>
    <row r="608" spans="7:18" x14ac:dyDescent="0.3">
      <c r="G608" s="30">
        <v>379</v>
      </c>
      <c r="H608" s="72">
        <f t="shared" si="52"/>
        <v>5140.1384263332648</v>
      </c>
      <c r="I608" s="30">
        <f t="shared" si="53"/>
        <v>-1</v>
      </c>
      <c r="K608" s="30">
        <v>379</v>
      </c>
      <c r="L608" s="72">
        <v>5140.1384263332648</v>
      </c>
      <c r="M608" s="84">
        <v>-1</v>
      </c>
      <c r="O608" s="30">
        <v>379</v>
      </c>
      <c r="P608" s="72">
        <v>5141.2576209337012</v>
      </c>
      <c r="Q608" s="84">
        <v>-1</v>
      </c>
      <c r="R608" s="30">
        <f t="shared" si="51"/>
        <v>19</v>
      </c>
    </row>
    <row r="609" spans="7:18" x14ac:dyDescent="0.3">
      <c r="G609" s="30">
        <v>380</v>
      </c>
      <c r="H609" s="72">
        <f t="shared" si="52"/>
        <v>5141.2576209337012</v>
      </c>
      <c r="I609" s="30">
        <f t="shared" si="53"/>
        <v>-1</v>
      </c>
      <c r="K609" s="30">
        <v>380</v>
      </c>
      <c r="L609" s="72">
        <v>5141.2576209337012</v>
      </c>
      <c r="M609" s="84">
        <v>-1</v>
      </c>
      <c r="O609" s="30">
        <v>380</v>
      </c>
      <c r="P609" s="72">
        <v>5144.1983419779062</v>
      </c>
      <c r="Q609" s="84">
        <v>-1</v>
      </c>
      <c r="R609" s="30">
        <f t="shared" si="51"/>
        <v>18</v>
      </c>
    </row>
    <row r="610" spans="7:18" x14ac:dyDescent="0.3">
      <c r="G610" s="30">
        <v>381</v>
      </c>
      <c r="H610" s="72">
        <f t="shared" si="52"/>
        <v>5144.1983419779062</v>
      </c>
      <c r="I610" s="30">
        <f t="shared" si="53"/>
        <v>-1</v>
      </c>
      <c r="K610" s="30">
        <v>381</v>
      </c>
      <c r="L610" s="72">
        <v>5144.1983419779062</v>
      </c>
      <c r="M610" s="84">
        <v>-1</v>
      </c>
      <c r="O610" s="30">
        <v>381</v>
      </c>
      <c r="P610" s="72">
        <v>5148.314029193828</v>
      </c>
      <c r="Q610" s="84">
        <v>-1</v>
      </c>
      <c r="R610" s="30">
        <f t="shared" si="51"/>
        <v>17</v>
      </c>
    </row>
    <row r="611" spans="7:18" x14ac:dyDescent="0.3">
      <c r="G611" s="30">
        <v>382</v>
      </c>
      <c r="H611" s="72">
        <f t="shared" si="52"/>
        <v>5148.314029193828</v>
      </c>
      <c r="I611" s="30">
        <f t="shared" si="53"/>
        <v>-1</v>
      </c>
      <c r="K611" s="30">
        <v>382</v>
      </c>
      <c r="L611" s="72">
        <v>5148.314029193828</v>
      </c>
      <c r="M611" s="84">
        <v>-1</v>
      </c>
      <c r="O611" s="30">
        <v>382</v>
      </c>
      <c r="P611" s="72">
        <v>5176.9069025556682</v>
      </c>
      <c r="Q611" s="84">
        <v>-1</v>
      </c>
      <c r="R611" s="30">
        <f t="shared" si="51"/>
        <v>16</v>
      </c>
    </row>
    <row r="612" spans="7:18" x14ac:dyDescent="0.3">
      <c r="G612" s="30">
        <v>383</v>
      </c>
      <c r="H612" s="72">
        <f t="shared" si="52"/>
        <v>5176.9069025556682</v>
      </c>
      <c r="I612" s="30">
        <f t="shared" si="53"/>
        <v>-1</v>
      </c>
      <c r="K612" s="30">
        <v>383</v>
      </c>
      <c r="L612" s="72">
        <v>5176.9069025556682</v>
      </c>
      <c r="M612" s="84">
        <v>-1</v>
      </c>
      <c r="O612" s="30">
        <v>383</v>
      </c>
      <c r="P612" s="72">
        <v>5180.4049858121516</v>
      </c>
      <c r="Q612" s="84">
        <v>-1</v>
      </c>
      <c r="R612" s="30">
        <f t="shared" si="51"/>
        <v>15</v>
      </c>
    </row>
    <row r="613" spans="7:18" x14ac:dyDescent="0.3">
      <c r="G613" s="30">
        <v>384</v>
      </c>
      <c r="H613" s="72">
        <f t="shared" si="52"/>
        <v>5180.4049858121516</v>
      </c>
      <c r="I613" s="30">
        <f t="shared" si="53"/>
        <v>-1</v>
      </c>
      <c r="K613" s="30">
        <v>384</v>
      </c>
      <c r="L613" s="72">
        <v>5180.4049858121516</v>
      </c>
      <c r="M613" s="84">
        <v>-1</v>
      </c>
      <c r="O613" s="30">
        <v>384</v>
      </c>
      <c r="P613" s="72">
        <v>5189.9499712248144</v>
      </c>
      <c r="Q613" s="84">
        <v>1</v>
      </c>
      <c r="R613" s="30">
        <f t="shared" si="51"/>
        <v>16</v>
      </c>
    </row>
    <row r="614" spans="7:18" x14ac:dyDescent="0.3">
      <c r="G614" s="30">
        <v>385</v>
      </c>
      <c r="H614" s="72">
        <f t="shared" si="52"/>
        <v>5196.6281989246518</v>
      </c>
      <c r="I614" s="30">
        <f t="shared" si="53"/>
        <v>-1</v>
      </c>
      <c r="K614" s="30">
        <v>385</v>
      </c>
      <c r="L614" s="72">
        <v>5196.6281989246518</v>
      </c>
      <c r="M614" s="84">
        <v>-1</v>
      </c>
      <c r="O614" s="30">
        <v>385</v>
      </c>
      <c r="P614" s="72">
        <v>5196.6281989246518</v>
      </c>
      <c r="Q614" s="84">
        <v>-1</v>
      </c>
      <c r="R614" s="30">
        <f t="shared" si="51"/>
        <v>15</v>
      </c>
    </row>
    <row r="615" spans="7:18" x14ac:dyDescent="0.3">
      <c r="G615" s="30">
        <v>386</v>
      </c>
      <c r="H615" s="72">
        <f t="shared" si="52"/>
        <v>5207.1392139445888</v>
      </c>
      <c r="I615" s="30">
        <f t="shared" si="53"/>
        <v>-1</v>
      </c>
      <c r="K615" s="30">
        <v>386</v>
      </c>
      <c r="L615" s="72">
        <v>5207.1392139445888</v>
      </c>
      <c r="M615" s="84">
        <v>-1</v>
      </c>
      <c r="O615" s="30">
        <v>386</v>
      </c>
      <c r="P615" s="72">
        <v>5207.1392139445888</v>
      </c>
      <c r="Q615" s="84">
        <v>-1</v>
      </c>
      <c r="R615" s="30">
        <f t="shared" si="51"/>
        <v>14</v>
      </c>
    </row>
    <row r="616" spans="7:18" x14ac:dyDescent="0.3">
      <c r="G616" s="30">
        <v>387</v>
      </c>
      <c r="H616" s="72">
        <f t="shared" si="52"/>
        <v>5234.5699786467467</v>
      </c>
      <c r="I616" s="30">
        <f t="shared" si="53"/>
        <v>-1</v>
      </c>
      <c r="K616" s="30">
        <v>387</v>
      </c>
      <c r="L616" s="72">
        <v>5234.5699786467467</v>
      </c>
      <c r="M616" s="84">
        <v>-1</v>
      </c>
      <c r="O616" s="30">
        <v>387</v>
      </c>
      <c r="P616" s="72">
        <v>5234.5699786467467</v>
      </c>
      <c r="Q616" s="84">
        <v>-1</v>
      </c>
      <c r="R616" s="30">
        <f t="shared" ref="R616:R628" si="54">R615+Q616</f>
        <v>13</v>
      </c>
    </row>
    <row r="617" spans="7:18" x14ac:dyDescent="0.3">
      <c r="G617" s="30">
        <v>388</v>
      </c>
      <c r="H617" s="72">
        <f t="shared" si="52"/>
        <v>5247.5570398028831</v>
      </c>
      <c r="I617" s="30">
        <f t="shared" si="53"/>
        <v>-1</v>
      </c>
      <c r="K617" s="30">
        <v>388</v>
      </c>
      <c r="L617" s="72">
        <v>5247.5570398028831</v>
      </c>
      <c r="M617" s="84">
        <v>-1</v>
      </c>
      <c r="O617" s="30">
        <v>388</v>
      </c>
      <c r="P617" s="72">
        <v>5247.5570398028831</v>
      </c>
      <c r="Q617" s="84">
        <v>-1</v>
      </c>
      <c r="R617" s="30">
        <f t="shared" si="54"/>
        <v>12</v>
      </c>
    </row>
    <row r="618" spans="7:18" x14ac:dyDescent="0.3">
      <c r="G618" s="30">
        <v>389</v>
      </c>
      <c r="H618" s="72">
        <f t="shared" si="52"/>
        <v>5253.1401238454318</v>
      </c>
      <c r="I618" s="30">
        <f t="shared" si="53"/>
        <v>-1</v>
      </c>
      <c r="K618" s="30">
        <v>389</v>
      </c>
      <c r="L618" s="72">
        <v>5253.1401238454318</v>
      </c>
      <c r="M618" s="84">
        <v>-1</v>
      </c>
      <c r="O618" s="30">
        <v>389</v>
      </c>
      <c r="P618" s="72">
        <v>5253.1401238454318</v>
      </c>
      <c r="Q618" s="84">
        <v>-1</v>
      </c>
      <c r="R618" s="30">
        <f t="shared" si="54"/>
        <v>11</v>
      </c>
    </row>
    <row r="619" spans="7:18" x14ac:dyDescent="0.3">
      <c r="G619" s="30">
        <v>390</v>
      </c>
      <c r="H619" s="72">
        <f t="shared" si="52"/>
        <v>5271.9977171533737</v>
      </c>
      <c r="I619" s="30">
        <f t="shared" si="53"/>
        <v>-1</v>
      </c>
      <c r="K619" s="30">
        <v>390</v>
      </c>
      <c r="L619" s="72">
        <v>5271.9977171533737</v>
      </c>
      <c r="M619" s="84">
        <v>-1</v>
      </c>
      <c r="O619" s="30">
        <v>390</v>
      </c>
      <c r="P619" s="72">
        <v>5271.9977171533737</v>
      </c>
      <c r="Q619" s="84">
        <v>-1</v>
      </c>
      <c r="R619" s="30">
        <f t="shared" si="54"/>
        <v>10</v>
      </c>
    </row>
    <row r="620" spans="7:18" x14ac:dyDescent="0.3">
      <c r="G620" s="30">
        <v>391</v>
      </c>
      <c r="H620" s="72">
        <f t="shared" si="52"/>
        <v>5274.5607586317965</v>
      </c>
      <c r="I620" s="30">
        <f t="shared" si="53"/>
        <v>-1</v>
      </c>
      <c r="K620" s="30">
        <v>391</v>
      </c>
      <c r="L620" s="72">
        <v>5274.5607586317965</v>
      </c>
      <c r="M620" s="84">
        <v>-1</v>
      </c>
      <c r="O620" s="30">
        <v>391</v>
      </c>
      <c r="P620" s="72">
        <v>5274.5607586317965</v>
      </c>
      <c r="Q620" s="84">
        <v>-1</v>
      </c>
      <c r="R620" s="30">
        <f t="shared" si="54"/>
        <v>9</v>
      </c>
    </row>
    <row r="621" spans="7:18" x14ac:dyDescent="0.3">
      <c r="G621" s="30">
        <v>392</v>
      </c>
      <c r="H621" s="72">
        <f t="shared" si="52"/>
        <v>5296.0558835398024</v>
      </c>
      <c r="I621" s="30">
        <f t="shared" si="53"/>
        <v>-1</v>
      </c>
      <c r="K621" s="30">
        <v>392</v>
      </c>
      <c r="L621" s="72">
        <v>5296.0558835398024</v>
      </c>
      <c r="M621" s="84">
        <v>-1</v>
      </c>
      <c r="O621" s="30">
        <v>392</v>
      </c>
      <c r="P621" s="72">
        <v>5296.0558835398024</v>
      </c>
      <c r="Q621" s="84">
        <v>-1</v>
      </c>
      <c r="R621" s="30">
        <f t="shared" si="54"/>
        <v>8</v>
      </c>
    </row>
    <row r="622" spans="7:18" x14ac:dyDescent="0.3">
      <c r="G622" s="30">
        <v>393</v>
      </c>
      <c r="H622" s="72">
        <f t="shared" si="52"/>
        <v>5304.2017613527551</v>
      </c>
      <c r="I622" s="30">
        <f t="shared" si="53"/>
        <v>-1</v>
      </c>
      <c r="K622" s="30">
        <v>393</v>
      </c>
      <c r="L622" s="72">
        <v>5304.2017613527551</v>
      </c>
      <c r="M622" s="84">
        <v>-1</v>
      </c>
      <c r="O622" s="30">
        <v>393</v>
      </c>
      <c r="P622" s="72">
        <v>5304.2017613527551</v>
      </c>
      <c r="Q622" s="84">
        <v>-1</v>
      </c>
      <c r="R622" s="30">
        <f t="shared" si="54"/>
        <v>7</v>
      </c>
    </row>
    <row r="623" spans="7:18" x14ac:dyDescent="0.3">
      <c r="G623" s="30">
        <v>394</v>
      </c>
      <c r="H623" s="72">
        <f t="shared" ref="H623:H629" si="55">D423</f>
        <v>5305.2282955187329</v>
      </c>
      <c r="I623" s="30">
        <f t="shared" ref="I623:I629" si="56">E423</f>
        <v>-1</v>
      </c>
      <c r="K623" s="30">
        <v>394</v>
      </c>
      <c r="L623" s="72">
        <v>5305.2282955187329</v>
      </c>
      <c r="M623" s="84">
        <v>-1</v>
      </c>
      <c r="O623" s="30">
        <v>394</v>
      </c>
      <c r="P623" s="72">
        <v>5305.2282955187329</v>
      </c>
      <c r="Q623" s="84">
        <v>-1</v>
      </c>
      <c r="R623" s="30">
        <f t="shared" si="54"/>
        <v>6</v>
      </c>
    </row>
    <row r="624" spans="7:18" x14ac:dyDescent="0.3">
      <c r="G624" s="30">
        <v>395</v>
      </c>
      <c r="H624" s="72">
        <f t="shared" si="55"/>
        <v>5353.4532499983607</v>
      </c>
      <c r="I624" s="30">
        <f t="shared" si="56"/>
        <v>-1</v>
      </c>
      <c r="K624" s="30">
        <v>395</v>
      </c>
      <c r="L624" s="72">
        <v>5353.4532499983607</v>
      </c>
      <c r="M624" s="84">
        <v>-1</v>
      </c>
      <c r="O624" s="30">
        <v>395</v>
      </c>
      <c r="P624" s="72">
        <v>5353.4532499983607</v>
      </c>
      <c r="Q624" s="84">
        <v>-1</v>
      </c>
      <c r="R624" s="30">
        <f t="shared" si="54"/>
        <v>5</v>
      </c>
    </row>
    <row r="625" spans="1:47" x14ac:dyDescent="0.3">
      <c r="G625" s="30">
        <v>396</v>
      </c>
      <c r="H625" s="72">
        <f t="shared" si="55"/>
        <v>5377.681503843568</v>
      </c>
      <c r="I625" s="30">
        <f t="shared" si="56"/>
        <v>-1</v>
      </c>
      <c r="K625" s="30">
        <v>396</v>
      </c>
      <c r="L625" s="72">
        <v>5377.681503843568</v>
      </c>
      <c r="M625" s="84">
        <v>-1</v>
      </c>
      <c r="O625" s="30">
        <v>396</v>
      </c>
      <c r="P625" s="72">
        <v>5377.681503843568</v>
      </c>
      <c r="Q625" s="84">
        <v>-1</v>
      </c>
      <c r="R625" s="30">
        <f t="shared" si="54"/>
        <v>4</v>
      </c>
    </row>
    <row r="626" spans="1:47" x14ac:dyDescent="0.3">
      <c r="G626" s="30">
        <v>397</v>
      </c>
      <c r="H626" s="72">
        <f t="shared" si="55"/>
        <v>5398.2889585567582</v>
      </c>
      <c r="I626" s="30">
        <f t="shared" si="56"/>
        <v>-1</v>
      </c>
      <c r="K626" s="30">
        <v>397</v>
      </c>
      <c r="L626" s="72">
        <v>5398.2889585567582</v>
      </c>
      <c r="M626" s="84">
        <v>-1</v>
      </c>
      <c r="O626" s="30">
        <v>397</v>
      </c>
      <c r="P626" s="72">
        <v>5398.2889585567582</v>
      </c>
      <c r="Q626" s="84">
        <v>-1</v>
      </c>
      <c r="R626" s="30">
        <f t="shared" si="54"/>
        <v>3</v>
      </c>
    </row>
    <row r="627" spans="1:47" x14ac:dyDescent="0.3">
      <c r="G627" s="30">
        <v>398</v>
      </c>
      <c r="H627" s="72">
        <f t="shared" si="55"/>
        <v>5399.8026219337025</v>
      </c>
      <c r="I627" s="30">
        <f t="shared" si="56"/>
        <v>-1</v>
      </c>
      <c r="K627" s="30">
        <v>398</v>
      </c>
      <c r="L627" s="72">
        <v>5399.8026219337025</v>
      </c>
      <c r="M627" s="84">
        <v>-1</v>
      </c>
      <c r="O627" s="30">
        <v>398</v>
      </c>
      <c r="P627" s="72">
        <v>5399.8026219337025</v>
      </c>
      <c r="Q627" s="84">
        <v>-1</v>
      </c>
      <c r="R627" s="30">
        <f t="shared" si="54"/>
        <v>2</v>
      </c>
    </row>
    <row r="628" spans="1:47" x14ac:dyDescent="0.3">
      <c r="G628" s="30">
        <v>399</v>
      </c>
      <c r="H628" s="72">
        <f t="shared" si="55"/>
        <v>5449.6402256947795</v>
      </c>
      <c r="I628" s="30">
        <f t="shared" si="56"/>
        <v>-1</v>
      </c>
      <c r="K628" s="30">
        <v>399</v>
      </c>
      <c r="L628" s="72">
        <v>5449.6402256947795</v>
      </c>
      <c r="M628" s="84">
        <v>-1</v>
      </c>
      <c r="O628" s="30">
        <v>399</v>
      </c>
      <c r="P628" s="72">
        <v>5449.6402256947795</v>
      </c>
      <c r="Q628" s="84">
        <v>-1</v>
      </c>
      <c r="R628" s="30">
        <f t="shared" si="54"/>
        <v>1</v>
      </c>
    </row>
    <row r="629" spans="1:47" x14ac:dyDescent="0.3">
      <c r="G629" s="30">
        <v>400</v>
      </c>
      <c r="H629" s="72">
        <f t="shared" si="55"/>
        <v>5460.1562541915155</v>
      </c>
      <c r="I629" s="30">
        <f t="shared" si="56"/>
        <v>-1</v>
      </c>
      <c r="K629" s="30">
        <v>400</v>
      </c>
      <c r="L629" s="72">
        <v>5460.1562541915155</v>
      </c>
      <c r="M629" s="84">
        <v>-1</v>
      </c>
      <c r="O629" s="30">
        <v>400</v>
      </c>
      <c r="P629" s="72">
        <v>5460.1562541915155</v>
      </c>
      <c r="Q629" s="84">
        <v>-1</v>
      </c>
      <c r="R629" s="30">
        <f>R628+Q629</f>
        <v>0</v>
      </c>
    </row>
    <row r="631" spans="1:47" x14ac:dyDescent="0.3">
      <c r="H631" s="6" t="s">
        <v>220</v>
      </c>
      <c r="I631" s="4">
        <v>0.04</v>
      </c>
      <c r="J631" s="6" t="s">
        <v>4</v>
      </c>
      <c r="K631" s="42">
        <v>3.5000000000000003E-2</v>
      </c>
      <c r="X631" s="6" t="s">
        <v>220</v>
      </c>
      <c r="Y631" s="4">
        <v>0.04</v>
      </c>
      <c r="Z631" s="6" t="s">
        <v>4</v>
      </c>
      <c r="AA631" s="42">
        <v>4.4999999999999998E-2</v>
      </c>
      <c r="AR631" s="6" t="s">
        <v>220</v>
      </c>
      <c r="AS631" s="4">
        <v>0.04</v>
      </c>
      <c r="AT631" s="6" t="s">
        <v>4</v>
      </c>
      <c r="AU631" s="42">
        <v>0.05</v>
      </c>
    </row>
    <row r="633" spans="1:47" ht="17.399999999999999" x14ac:dyDescent="0.3">
      <c r="A633" s="8" t="s">
        <v>19</v>
      </c>
      <c r="B633" s="9" t="s">
        <v>219</v>
      </c>
      <c r="C633" s="9" t="s">
        <v>219</v>
      </c>
      <c r="D633" s="9" t="s">
        <v>219</v>
      </c>
      <c r="O633" s="8" t="s">
        <v>19</v>
      </c>
      <c r="P633" s="9" t="s">
        <v>219</v>
      </c>
      <c r="Q633" s="9" t="s">
        <v>219</v>
      </c>
      <c r="R633" s="9" t="s">
        <v>219</v>
      </c>
      <c r="AI633" s="8" t="s">
        <v>19</v>
      </c>
      <c r="AJ633" s="9" t="s">
        <v>219</v>
      </c>
      <c r="AK633" s="9" t="s">
        <v>219</v>
      </c>
      <c r="AL633" s="9" t="s">
        <v>219</v>
      </c>
    </row>
    <row r="634" spans="1:47" x14ac:dyDescent="0.3">
      <c r="A634" s="30">
        <v>1</v>
      </c>
      <c r="B634" s="30">
        <v>1</v>
      </c>
      <c r="C634" s="30">
        <v>1</v>
      </c>
      <c r="D634" s="30">
        <v>1</v>
      </c>
      <c r="O634" s="30">
        <v>1</v>
      </c>
      <c r="P634" s="30">
        <v>1</v>
      </c>
      <c r="Q634" s="30">
        <v>1</v>
      </c>
      <c r="R634" s="30">
        <v>1</v>
      </c>
      <c r="AI634" s="30">
        <v>1</v>
      </c>
      <c r="AJ634" s="30">
        <v>1</v>
      </c>
      <c r="AK634" s="30">
        <v>1</v>
      </c>
      <c r="AL634" s="30">
        <v>1</v>
      </c>
    </row>
    <row r="635" spans="1:47" x14ac:dyDescent="0.3">
      <c r="A635" s="30">
        <v>2</v>
      </c>
      <c r="B635" s="30">
        <v>0</v>
      </c>
      <c r="C635" s="30">
        <v>0</v>
      </c>
      <c r="D635" s="30">
        <v>0</v>
      </c>
      <c r="O635" s="30">
        <v>2</v>
      </c>
      <c r="P635" s="30">
        <v>0</v>
      </c>
      <c r="Q635" s="30">
        <v>0</v>
      </c>
      <c r="R635" s="30">
        <v>2</v>
      </c>
      <c r="AI635" s="30">
        <v>2</v>
      </c>
      <c r="AJ635" s="30">
        <v>2</v>
      </c>
      <c r="AK635" s="30">
        <v>0</v>
      </c>
      <c r="AL635" s="30">
        <v>2</v>
      </c>
    </row>
    <row r="636" spans="1:47" x14ac:dyDescent="0.3">
      <c r="A636" s="30">
        <v>3</v>
      </c>
      <c r="B636" s="30">
        <v>1</v>
      </c>
      <c r="C636" s="30">
        <v>1</v>
      </c>
      <c r="D636" s="30">
        <v>1</v>
      </c>
      <c r="O636" s="30">
        <v>3</v>
      </c>
      <c r="P636" s="30">
        <v>1</v>
      </c>
      <c r="Q636" s="30">
        <v>1</v>
      </c>
      <c r="R636" s="30">
        <v>1</v>
      </c>
      <c r="AI636" s="30">
        <v>3</v>
      </c>
      <c r="AJ636" s="30">
        <v>3</v>
      </c>
      <c r="AK636" s="30">
        <v>1</v>
      </c>
      <c r="AL636" s="30">
        <v>1</v>
      </c>
    </row>
    <row r="637" spans="1:47" x14ac:dyDescent="0.3">
      <c r="A637" s="30">
        <v>4</v>
      </c>
      <c r="B637" s="30">
        <v>0</v>
      </c>
      <c r="C637" s="30">
        <v>0</v>
      </c>
      <c r="D637" s="30">
        <v>0</v>
      </c>
      <c r="O637" s="30">
        <v>4</v>
      </c>
      <c r="P637" s="30">
        <v>0</v>
      </c>
      <c r="Q637" s="30">
        <v>2</v>
      </c>
      <c r="R637" s="30">
        <v>2</v>
      </c>
      <c r="AI637" s="30">
        <v>4</v>
      </c>
      <c r="AJ637" s="30">
        <v>2</v>
      </c>
      <c r="AK637" s="30">
        <v>0</v>
      </c>
      <c r="AL637" s="30">
        <v>0</v>
      </c>
    </row>
    <row r="638" spans="1:47" x14ac:dyDescent="0.3">
      <c r="A638" s="30">
        <v>5</v>
      </c>
      <c r="B638" s="30">
        <v>1</v>
      </c>
      <c r="C638" s="30">
        <v>1</v>
      </c>
      <c r="D638" s="30">
        <v>1</v>
      </c>
      <c r="O638" s="30">
        <v>5</v>
      </c>
      <c r="P638" s="30">
        <v>1</v>
      </c>
      <c r="Q638" s="30">
        <v>1</v>
      </c>
      <c r="R638" s="30">
        <v>3</v>
      </c>
      <c r="AI638" s="30">
        <v>5</v>
      </c>
      <c r="AJ638" s="30">
        <v>3</v>
      </c>
      <c r="AK638" s="30">
        <v>1</v>
      </c>
      <c r="AL638" s="30">
        <v>1</v>
      </c>
    </row>
    <row r="639" spans="1:47" x14ac:dyDescent="0.3">
      <c r="A639" s="30">
        <v>6</v>
      </c>
      <c r="B639" s="30">
        <v>0</v>
      </c>
      <c r="C639" s="30">
        <v>0</v>
      </c>
      <c r="D639" s="30">
        <v>0</v>
      </c>
      <c r="O639" s="30">
        <v>6</v>
      </c>
      <c r="P639" s="30">
        <v>0</v>
      </c>
      <c r="Q639" s="30">
        <v>0</v>
      </c>
      <c r="R639" s="30">
        <v>4</v>
      </c>
      <c r="AI639" s="30">
        <v>6</v>
      </c>
      <c r="AJ639" s="30">
        <v>4</v>
      </c>
      <c r="AK639" s="30">
        <v>2</v>
      </c>
      <c r="AL639" s="30">
        <v>2</v>
      </c>
    </row>
    <row r="640" spans="1:47" x14ac:dyDescent="0.3">
      <c r="A640" s="30">
        <v>7</v>
      </c>
      <c r="B640" s="30">
        <v>1</v>
      </c>
      <c r="C640" s="30">
        <v>1</v>
      </c>
      <c r="D640" s="30">
        <v>1</v>
      </c>
      <c r="O640" s="30">
        <v>7</v>
      </c>
      <c r="P640" s="30">
        <v>1</v>
      </c>
      <c r="Q640" s="30">
        <v>1</v>
      </c>
      <c r="R640" s="30">
        <v>3</v>
      </c>
      <c r="AI640" s="30">
        <v>7</v>
      </c>
      <c r="AJ640" s="30">
        <v>5</v>
      </c>
      <c r="AK640" s="30">
        <v>3</v>
      </c>
      <c r="AL640" s="30">
        <v>1</v>
      </c>
    </row>
    <row r="641" spans="1:38" x14ac:dyDescent="0.3">
      <c r="A641" s="30">
        <v>8</v>
      </c>
      <c r="B641" s="30">
        <v>0</v>
      </c>
      <c r="C641" s="30">
        <v>2</v>
      </c>
      <c r="D641" s="30">
        <v>2</v>
      </c>
      <c r="O641" s="30">
        <v>8</v>
      </c>
      <c r="P641" s="30">
        <v>2</v>
      </c>
      <c r="Q641" s="30">
        <v>2</v>
      </c>
      <c r="R641" s="30">
        <v>2</v>
      </c>
      <c r="AI641" s="30">
        <v>8</v>
      </c>
      <c r="AJ641" s="30">
        <v>4</v>
      </c>
      <c r="AK641" s="30">
        <v>4</v>
      </c>
      <c r="AL641" s="30">
        <v>2</v>
      </c>
    </row>
    <row r="642" spans="1:38" x14ac:dyDescent="0.3">
      <c r="A642" s="30">
        <v>9</v>
      </c>
      <c r="B642" s="30">
        <v>1</v>
      </c>
      <c r="C642" s="30">
        <v>3</v>
      </c>
      <c r="D642" s="30">
        <v>3</v>
      </c>
      <c r="O642" s="30">
        <v>9</v>
      </c>
      <c r="P642" s="30">
        <v>1</v>
      </c>
      <c r="Q642" s="30">
        <v>1</v>
      </c>
      <c r="R642" s="30">
        <v>3</v>
      </c>
      <c r="AI642" s="30">
        <v>9</v>
      </c>
      <c r="AJ642" s="30">
        <v>5</v>
      </c>
      <c r="AK642" s="30">
        <v>3</v>
      </c>
      <c r="AL642" s="30">
        <v>3</v>
      </c>
    </row>
    <row r="643" spans="1:38" x14ac:dyDescent="0.3">
      <c r="A643" s="30">
        <v>10</v>
      </c>
      <c r="B643" s="30">
        <v>2</v>
      </c>
      <c r="C643" s="30">
        <v>2</v>
      </c>
      <c r="D643" s="30">
        <v>2</v>
      </c>
      <c r="O643" s="30">
        <v>10</v>
      </c>
      <c r="P643" s="30">
        <v>0</v>
      </c>
      <c r="Q643" s="30">
        <v>2</v>
      </c>
      <c r="R643" s="30">
        <v>4</v>
      </c>
      <c r="AI643" s="30">
        <v>10</v>
      </c>
      <c r="AJ643" s="30">
        <v>6</v>
      </c>
      <c r="AK643" s="30">
        <v>4</v>
      </c>
      <c r="AL643" s="30">
        <v>4</v>
      </c>
    </row>
    <row r="644" spans="1:38" x14ac:dyDescent="0.3">
      <c r="A644" s="30">
        <v>11</v>
      </c>
      <c r="B644" s="30">
        <v>3</v>
      </c>
      <c r="C644" s="30">
        <v>3</v>
      </c>
      <c r="D644" s="30">
        <v>3</v>
      </c>
      <c r="O644" s="30">
        <v>11</v>
      </c>
      <c r="P644" s="30">
        <v>1</v>
      </c>
      <c r="Q644" s="30">
        <v>1</v>
      </c>
      <c r="R644" s="30">
        <v>3</v>
      </c>
      <c r="AI644" s="30">
        <v>11</v>
      </c>
      <c r="AJ644" s="30">
        <v>5</v>
      </c>
      <c r="AK644" s="30">
        <v>5</v>
      </c>
      <c r="AL644" s="30">
        <v>3</v>
      </c>
    </row>
    <row r="645" spans="1:38" x14ac:dyDescent="0.3">
      <c r="A645" s="30">
        <v>12</v>
      </c>
      <c r="B645" s="30">
        <v>4</v>
      </c>
      <c r="C645" s="30">
        <v>4</v>
      </c>
      <c r="D645" s="30">
        <v>4</v>
      </c>
      <c r="O645" s="30">
        <v>12</v>
      </c>
      <c r="P645" s="30">
        <v>2</v>
      </c>
      <c r="Q645" s="30">
        <v>0</v>
      </c>
      <c r="R645" s="30">
        <v>2</v>
      </c>
      <c r="AI645" s="30">
        <v>12</v>
      </c>
      <c r="AJ645" s="30">
        <v>6</v>
      </c>
      <c r="AK645" s="30">
        <v>4</v>
      </c>
      <c r="AL645" s="30">
        <v>2</v>
      </c>
    </row>
    <row r="646" spans="1:38" x14ac:dyDescent="0.3">
      <c r="A646" s="30">
        <v>13</v>
      </c>
      <c r="B646" s="30">
        <v>3</v>
      </c>
      <c r="C646" s="30">
        <v>3</v>
      </c>
      <c r="D646" s="30">
        <v>3</v>
      </c>
      <c r="O646" s="30">
        <v>13</v>
      </c>
      <c r="P646" s="30">
        <v>3</v>
      </c>
      <c r="Q646" s="30">
        <v>1</v>
      </c>
      <c r="R646" s="30">
        <v>3</v>
      </c>
      <c r="AI646" s="30">
        <v>13</v>
      </c>
      <c r="AJ646" s="30">
        <v>5</v>
      </c>
      <c r="AK646" s="30">
        <v>5</v>
      </c>
      <c r="AL646" s="30">
        <v>1</v>
      </c>
    </row>
    <row r="647" spans="1:38" x14ac:dyDescent="0.3">
      <c r="A647" s="30">
        <v>14</v>
      </c>
      <c r="B647" s="30">
        <v>2</v>
      </c>
      <c r="C647" s="30">
        <v>2</v>
      </c>
      <c r="D647" s="30">
        <v>2</v>
      </c>
      <c r="O647" s="30">
        <v>14</v>
      </c>
      <c r="P647" s="30">
        <v>2</v>
      </c>
      <c r="Q647" s="30">
        <v>0</v>
      </c>
      <c r="R647" s="30">
        <v>4</v>
      </c>
      <c r="AI647" s="30">
        <v>14</v>
      </c>
      <c r="AJ647" s="30">
        <v>6</v>
      </c>
      <c r="AK647" s="30">
        <v>4</v>
      </c>
      <c r="AL647" s="30">
        <v>0</v>
      </c>
    </row>
    <row r="648" spans="1:38" x14ac:dyDescent="0.3">
      <c r="A648" s="30">
        <v>15</v>
      </c>
      <c r="B648" s="30">
        <v>1</v>
      </c>
      <c r="C648" s="30">
        <v>1</v>
      </c>
      <c r="D648" s="30">
        <v>3</v>
      </c>
      <c r="O648" s="30">
        <v>15</v>
      </c>
      <c r="P648" s="30">
        <v>1</v>
      </c>
      <c r="Q648" s="30">
        <v>1</v>
      </c>
      <c r="R648" s="30">
        <v>3</v>
      </c>
      <c r="AI648" s="30">
        <v>15</v>
      </c>
      <c r="AJ648" s="30">
        <v>5</v>
      </c>
      <c r="AK648" s="30">
        <v>5</v>
      </c>
      <c r="AL648" s="30">
        <v>1</v>
      </c>
    </row>
    <row r="649" spans="1:38" x14ac:dyDescent="0.3">
      <c r="A649" s="30">
        <v>16</v>
      </c>
      <c r="B649" s="30">
        <v>0</v>
      </c>
      <c r="C649" s="30">
        <v>0</v>
      </c>
      <c r="D649" s="30">
        <v>2</v>
      </c>
      <c r="O649" s="30">
        <v>16</v>
      </c>
      <c r="P649" s="30">
        <v>2</v>
      </c>
      <c r="Q649" s="30">
        <v>2</v>
      </c>
      <c r="R649" s="30">
        <v>2</v>
      </c>
      <c r="AI649" s="30">
        <v>16</v>
      </c>
      <c r="AJ649" s="30">
        <v>4</v>
      </c>
      <c r="AK649" s="30">
        <v>4</v>
      </c>
      <c r="AL649" s="30">
        <v>0</v>
      </c>
    </row>
    <row r="650" spans="1:38" x14ac:dyDescent="0.3">
      <c r="A650" s="30">
        <v>17</v>
      </c>
      <c r="B650" s="30">
        <v>1</v>
      </c>
      <c r="C650" s="30">
        <v>1</v>
      </c>
      <c r="D650" s="30">
        <v>1</v>
      </c>
      <c r="O650" s="30">
        <v>17</v>
      </c>
      <c r="P650" s="30">
        <v>1</v>
      </c>
      <c r="Q650" s="30">
        <v>1</v>
      </c>
      <c r="R650" s="30">
        <v>3</v>
      </c>
      <c r="AI650" s="30">
        <v>17</v>
      </c>
      <c r="AJ650" s="30">
        <v>5</v>
      </c>
      <c r="AK650" s="30">
        <v>3</v>
      </c>
      <c r="AL650" s="30">
        <v>1</v>
      </c>
    </row>
    <row r="651" spans="1:38" x14ac:dyDescent="0.3">
      <c r="A651" s="30">
        <v>18</v>
      </c>
      <c r="B651" s="30">
        <v>0</v>
      </c>
      <c r="C651" s="30">
        <v>0</v>
      </c>
      <c r="D651" s="30">
        <v>2</v>
      </c>
      <c r="O651" s="30">
        <v>18</v>
      </c>
      <c r="P651" s="30">
        <v>2</v>
      </c>
      <c r="Q651" s="30">
        <v>0</v>
      </c>
      <c r="R651" s="30">
        <v>4</v>
      </c>
      <c r="AI651" s="30">
        <v>18</v>
      </c>
      <c r="AJ651" s="30">
        <v>6</v>
      </c>
      <c r="AK651" s="30">
        <v>2</v>
      </c>
      <c r="AL651" s="30">
        <v>2</v>
      </c>
    </row>
    <row r="652" spans="1:38" x14ac:dyDescent="0.3">
      <c r="A652" s="30">
        <v>19</v>
      </c>
      <c r="B652" s="30">
        <v>1</v>
      </c>
      <c r="C652" s="30">
        <v>1</v>
      </c>
      <c r="D652" s="30">
        <v>1</v>
      </c>
      <c r="O652" s="30">
        <v>19</v>
      </c>
      <c r="P652" s="30">
        <v>3</v>
      </c>
      <c r="Q652" s="30">
        <v>1</v>
      </c>
      <c r="R652" s="30">
        <v>3</v>
      </c>
      <c r="AI652" s="30">
        <v>19</v>
      </c>
      <c r="AJ652" s="30">
        <v>5</v>
      </c>
      <c r="AK652" s="30">
        <v>3</v>
      </c>
      <c r="AL652" s="30">
        <v>3</v>
      </c>
    </row>
    <row r="653" spans="1:38" x14ac:dyDescent="0.3">
      <c r="A653" s="30">
        <v>20</v>
      </c>
      <c r="B653" s="30">
        <v>2</v>
      </c>
      <c r="C653" s="30">
        <v>2</v>
      </c>
      <c r="D653" s="30">
        <v>2</v>
      </c>
      <c r="O653" s="30">
        <v>20</v>
      </c>
      <c r="P653" s="30">
        <v>2</v>
      </c>
      <c r="Q653" s="30">
        <v>2</v>
      </c>
      <c r="R653" s="30">
        <v>4</v>
      </c>
      <c r="AI653" s="30">
        <v>20</v>
      </c>
      <c r="AJ653" s="30">
        <v>4</v>
      </c>
      <c r="AK653" s="30">
        <v>4</v>
      </c>
      <c r="AL653" s="30">
        <v>2</v>
      </c>
    </row>
    <row r="654" spans="1:38" x14ac:dyDescent="0.3">
      <c r="A654" s="30">
        <v>21</v>
      </c>
      <c r="B654" s="30">
        <v>3</v>
      </c>
      <c r="C654" s="30">
        <v>1</v>
      </c>
      <c r="D654" s="30">
        <v>1</v>
      </c>
      <c r="O654" s="30">
        <v>21</v>
      </c>
      <c r="P654" s="30">
        <v>1</v>
      </c>
      <c r="Q654" s="30">
        <v>1</v>
      </c>
      <c r="R654" s="30">
        <v>3</v>
      </c>
      <c r="AI654" s="30">
        <v>21</v>
      </c>
      <c r="AJ654" s="30">
        <v>3</v>
      </c>
      <c r="AK654" s="30">
        <v>5</v>
      </c>
      <c r="AL654" s="30">
        <v>3</v>
      </c>
    </row>
    <row r="655" spans="1:38" x14ac:dyDescent="0.3">
      <c r="A655" s="30">
        <v>22</v>
      </c>
      <c r="B655" s="30">
        <v>4</v>
      </c>
      <c r="C655" s="30">
        <v>2</v>
      </c>
      <c r="D655" s="30">
        <v>0</v>
      </c>
      <c r="O655" s="30">
        <v>22</v>
      </c>
      <c r="P655" s="30">
        <v>0</v>
      </c>
      <c r="Q655" s="30">
        <v>2</v>
      </c>
      <c r="R655" s="30">
        <v>4</v>
      </c>
      <c r="AI655" s="30">
        <v>22</v>
      </c>
      <c r="AJ655" s="30">
        <v>2</v>
      </c>
      <c r="AK655" s="30">
        <v>6</v>
      </c>
      <c r="AL655" s="30">
        <v>4</v>
      </c>
    </row>
    <row r="656" spans="1:38" x14ac:dyDescent="0.3">
      <c r="A656" s="30">
        <v>23</v>
      </c>
      <c r="B656" s="30">
        <v>3</v>
      </c>
      <c r="C656" s="30">
        <v>1</v>
      </c>
      <c r="D656" s="30">
        <v>1</v>
      </c>
      <c r="O656" s="30">
        <v>23</v>
      </c>
      <c r="P656" s="30">
        <v>1</v>
      </c>
      <c r="Q656" s="30">
        <v>1</v>
      </c>
      <c r="R656" s="30">
        <v>3</v>
      </c>
      <c r="AI656" s="30">
        <v>23</v>
      </c>
      <c r="AJ656" s="30">
        <v>3</v>
      </c>
      <c r="AK656" s="30">
        <v>5</v>
      </c>
      <c r="AL656" s="30">
        <v>5</v>
      </c>
    </row>
    <row r="657" spans="1:38" x14ac:dyDescent="0.3">
      <c r="A657" s="30">
        <v>24</v>
      </c>
      <c r="B657" s="30">
        <v>4</v>
      </c>
      <c r="C657" s="30">
        <v>0</v>
      </c>
      <c r="D657" s="30">
        <v>0</v>
      </c>
      <c r="O657" s="30">
        <v>24</v>
      </c>
      <c r="P657" s="30">
        <v>2</v>
      </c>
      <c r="Q657" s="30">
        <v>2</v>
      </c>
      <c r="R657" s="30">
        <v>2</v>
      </c>
      <c r="AI657" s="30">
        <v>24</v>
      </c>
      <c r="AJ657" s="30">
        <v>4</v>
      </c>
      <c r="AK657" s="30">
        <v>4</v>
      </c>
      <c r="AL657" s="30">
        <v>6</v>
      </c>
    </row>
    <row r="658" spans="1:38" x14ac:dyDescent="0.3">
      <c r="A658" s="30">
        <v>25</v>
      </c>
      <c r="B658" s="30">
        <v>5</v>
      </c>
      <c r="C658" s="30">
        <v>1</v>
      </c>
      <c r="D658" s="30">
        <v>1</v>
      </c>
      <c r="O658" s="30">
        <v>25</v>
      </c>
      <c r="P658" s="30">
        <v>3</v>
      </c>
      <c r="Q658" s="30">
        <v>3</v>
      </c>
      <c r="R658" s="30">
        <v>1</v>
      </c>
      <c r="AI658" s="30">
        <v>25</v>
      </c>
      <c r="AJ658" s="30">
        <v>5</v>
      </c>
      <c r="AK658" s="30">
        <v>3</v>
      </c>
      <c r="AL658" s="30">
        <v>5</v>
      </c>
    </row>
    <row r="659" spans="1:38" x14ac:dyDescent="0.3">
      <c r="A659" s="30">
        <v>26</v>
      </c>
      <c r="B659" s="30">
        <v>6</v>
      </c>
      <c r="C659" s="30">
        <v>2</v>
      </c>
      <c r="D659" s="30">
        <v>2</v>
      </c>
      <c r="O659" s="30">
        <v>26</v>
      </c>
      <c r="P659" s="30">
        <v>4</v>
      </c>
      <c r="Q659" s="30">
        <v>2</v>
      </c>
      <c r="R659" s="30">
        <v>0</v>
      </c>
      <c r="AI659" s="30">
        <v>26</v>
      </c>
      <c r="AJ659" s="30">
        <v>6</v>
      </c>
      <c r="AK659" s="30">
        <v>4</v>
      </c>
      <c r="AL659" s="30">
        <v>6</v>
      </c>
    </row>
    <row r="660" spans="1:38" x14ac:dyDescent="0.3">
      <c r="A660" s="30">
        <v>27</v>
      </c>
      <c r="B660" s="30">
        <v>5</v>
      </c>
      <c r="C660" s="30">
        <v>1</v>
      </c>
      <c r="D660" s="30">
        <v>1</v>
      </c>
      <c r="O660" s="30">
        <v>27</v>
      </c>
      <c r="P660" s="30">
        <v>5</v>
      </c>
      <c r="Q660" s="30">
        <v>1</v>
      </c>
      <c r="R660" s="30">
        <v>1</v>
      </c>
      <c r="AI660" s="30">
        <v>27</v>
      </c>
      <c r="AJ660" s="30">
        <v>5</v>
      </c>
      <c r="AK660" s="30">
        <v>3</v>
      </c>
      <c r="AL660" s="30">
        <v>7</v>
      </c>
    </row>
    <row r="661" spans="1:38" x14ac:dyDescent="0.3">
      <c r="A661" s="30">
        <v>28</v>
      </c>
      <c r="B661" s="30">
        <v>4</v>
      </c>
      <c r="C661" s="30">
        <v>2</v>
      </c>
      <c r="D661" s="30">
        <v>2</v>
      </c>
      <c r="O661" s="30">
        <v>28</v>
      </c>
      <c r="P661" s="30">
        <v>6</v>
      </c>
      <c r="Q661" s="30">
        <v>0</v>
      </c>
      <c r="R661" s="30">
        <v>0</v>
      </c>
      <c r="AI661" s="30">
        <v>28</v>
      </c>
      <c r="AJ661" s="30">
        <v>6</v>
      </c>
      <c r="AK661" s="30">
        <v>4</v>
      </c>
      <c r="AL661" s="30">
        <v>6</v>
      </c>
    </row>
    <row r="662" spans="1:38" x14ac:dyDescent="0.3">
      <c r="A662" s="30">
        <v>29</v>
      </c>
      <c r="B662" s="30">
        <v>3</v>
      </c>
      <c r="C662" s="30">
        <v>3</v>
      </c>
      <c r="D662" s="30">
        <v>1</v>
      </c>
      <c r="O662" s="30">
        <v>29</v>
      </c>
      <c r="P662" s="30">
        <v>5</v>
      </c>
      <c r="Q662" s="30">
        <v>1</v>
      </c>
      <c r="R662" s="30">
        <v>1</v>
      </c>
      <c r="AI662" s="30">
        <v>29</v>
      </c>
      <c r="AJ662" s="30">
        <v>7</v>
      </c>
      <c r="AK662" s="30">
        <v>3</v>
      </c>
      <c r="AL662" s="30">
        <v>7</v>
      </c>
    </row>
    <row r="663" spans="1:38" x14ac:dyDescent="0.3">
      <c r="A663" s="30">
        <v>30</v>
      </c>
      <c r="B663" s="30">
        <v>2</v>
      </c>
      <c r="C663" s="30">
        <v>4</v>
      </c>
      <c r="D663" s="30">
        <v>2</v>
      </c>
      <c r="O663" s="30">
        <v>30</v>
      </c>
      <c r="P663" s="30">
        <v>4</v>
      </c>
      <c r="Q663" s="30">
        <v>0</v>
      </c>
      <c r="R663" s="30">
        <v>2</v>
      </c>
      <c r="AI663" s="30">
        <v>30</v>
      </c>
      <c r="AJ663" s="30">
        <v>6</v>
      </c>
      <c r="AK663" s="30">
        <v>4</v>
      </c>
      <c r="AL663" s="30">
        <v>8</v>
      </c>
    </row>
    <row r="664" spans="1:38" x14ac:dyDescent="0.3">
      <c r="A664" s="30">
        <v>31</v>
      </c>
      <c r="B664" s="30">
        <v>1</v>
      </c>
      <c r="C664" s="30">
        <v>5</v>
      </c>
      <c r="D664" s="30">
        <v>1</v>
      </c>
      <c r="O664" s="30">
        <v>31</v>
      </c>
      <c r="P664" s="30">
        <v>3</v>
      </c>
      <c r="Q664" s="30">
        <v>1</v>
      </c>
      <c r="R664" s="30">
        <v>3</v>
      </c>
      <c r="AI664" s="30">
        <v>31</v>
      </c>
      <c r="AJ664" s="30">
        <v>5</v>
      </c>
      <c r="AK664" s="30">
        <v>3</v>
      </c>
      <c r="AL664" s="30">
        <v>9</v>
      </c>
    </row>
    <row r="665" spans="1:38" x14ac:dyDescent="0.3">
      <c r="A665" s="30">
        <v>32</v>
      </c>
      <c r="B665" s="30">
        <v>2</v>
      </c>
      <c r="C665" s="30">
        <v>4</v>
      </c>
      <c r="D665" s="30">
        <v>2</v>
      </c>
      <c r="O665" s="30">
        <v>32</v>
      </c>
      <c r="P665" s="30">
        <v>4</v>
      </c>
      <c r="Q665" s="30">
        <v>0</v>
      </c>
      <c r="R665" s="30">
        <v>4</v>
      </c>
      <c r="AI665" s="30">
        <v>32</v>
      </c>
      <c r="AJ665" s="30">
        <v>6</v>
      </c>
      <c r="AK665" s="30">
        <v>2</v>
      </c>
      <c r="AL665" s="30">
        <v>8</v>
      </c>
    </row>
    <row r="666" spans="1:38" x14ac:dyDescent="0.3">
      <c r="A666" s="30">
        <v>33</v>
      </c>
      <c r="B666" s="30">
        <v>3</v>
      </c>
      <c r="C666" s="30">
        <v>3</v>
      </c>
      <c r="D666" s="30">
        <v>1</v>
      </c>
      <c r="O666" s="30">
        <v>33</v>
      </c>
      <c r="P666" s="30">
        <v>3</v>
      </c>
      <c r="Q666" s="30">
        <v>1</v>
      </c>
      <c r="R666" s="30">
        <v>3</v>
      </c>
      <c r="AI666" s="30">
        <v>33</v>
      </c>
      <c r="AJ666" s="30">
        <v>5</v>
      </c>
      <c r="AK666" s="30">
        <v>3</v>
      </c>
      <c r="AL666" s="30">
        <v>9</v>
      </c>
    </row>
    <row r="667" spans="1:38" x14ac:dyDescent="0.3">
      <c r="A667" s="30">
        <v>34</v>
      </c>
      <c r="B667" s="30">
        <v>4</v>
      </c>
      <c r="C667" s="30">
        <v>4</v>
      </c>
      <c r="D667" s="30">
        <v>0</v>
      </c>
      <c r="O667" s="30">
        <v>34</v>
      </c>
      <c r="P667" s="30">
        <v>4</v>
      </c>
      <c r="Q667" s="30">
        <v>0</v>
      </c>
      <c r="R667" s="30">
        <v>4</v>
      </c>
      <c r="AI667" s="30">
        <v>34</v>
      </c>
      <c r="AJ667" s="30">
        <v>6</v>
      </c>
      <c r="AK667" s="30">
        <v>4</v>
      </c>
      <c r="AL667" s="30">
        <v>10</v>
      </c>
    </row>
    <row r="668" spans="1:38" x14ac:dyDescent="0.3">
      <c r="A668" s="30">
        <v>35</v>
      </c>
      <c r="B668" s="30">
        <v>5</v>
      </c>
      <c r="C668" s="30">
        <v>3</v>
      </c>
      <c r="D668" s="30">
        <v>1</v>
      </c>
      <c r="O668" s="30">
        <v>35</v>
      </c>
      <c r="P668" s="30">
        <v>3</v>
      </c>
      <c r="Q668" s="30">
        <v>1</v>
      </c>
      <c r="R668" s="30">
        <v>5</v>
      </c>
      <c r="AI668" s="30">
        <v>35</v>
      </c>
      <c r="AJ668" s="30">
        <v>7</v>
      </c>
      <c r="AK668" s="30">
        <v>3</v>
      </c>
      <c r="AL668" s="30">
        <v>11</v>
      </c>
    </row>
    <row r="669" spans="1:38" x14ac:dyDescent="0.3">
      <c r="A669" s="30">
        <v>36</v>
      </c>
      <c r="B669" s="30">
        <v>6</v>
      </c>
      <c r="C669" s="30">
        <v>4</v>
      </c>
      <c r="D669" s="30">
        <v>2</v>
      </c>
      <c r="O669" s="30">
        <v>36</v>
      </c>
      <c r="P669" s="30">
        <v>4</v>
      </c>
      <c r="Q669" s="30">
        <v>0</v>
      </c>
      <c r="R669" s="30">
        <v>6</v>
      </c>
      <c r="AI669" s="30">
        <v>36</v>
      </c>
      <c r="AJ669" s="30">
        <v>8</v>
      </c>
      <c r="AK669" s="30">
        <v>2</v>
      </c>
      <c r="AL669" s="30">
        <v>12</v>
      </c>
    </row>
    <row r="670" spans="1:38" x14ac:dyDescent="0.3">
      <c r="A670" s="30">
        <v>37</v>
      </c>
      <c r="B670" s="30">
        <v>5</v>
      </c>
      <c r="C670" s="30">
        <v>5</v>
      </c>
      <c r="D670" s="30">
        <v>3</v>
      </c>
      <c r="O670" s="30">
        <v>37</v>
      </c>
      <c r="P670" s="30">
        <v>5</v>
      </c>
      <c r="Q670" s="30">
        <v>1</v>
      </c>
      <c r="R670" s="30">
        <v>5</v>
      </c>
      <c r="AI670" s="30">
        <v>37</v>
      </c>
      <c r="AJ670" s="30">
        <v>9</v>
      </c>
      <c r="AK670" s="30">
        <v>3</v>
      </c>
      <c r="AL670" s="30">
        <v>13</v>
      </c>
    </row>
    <row r="671" spans="1:38" x14ac:dyDescent="0.3">
      <c r="A671" s="30">
        <v>38</v>
      </c>
      <c r="B671" s="30">
        <v>6</v>
      </c>
      <c r="C671" s="30">
        <v>4</v>
      </c>
      <c r="D671" s="30">
        <v>2</v>
      </c>
      <c r="O671" s="30">
        <v>38</v>
      </c>
      <c r="P671" s="30">
        <v>6</v>
      </c>
      <c r="Q671" s="30">
        <v>0</v>
      </c>
      <c r="R671" s="30">
        <v>4</v>
      </c>
      <c r="AI671" s="30">
        <v>38</v>
      </c>
      <c r="AJ671" s="30">
        <v>10</v>
      </c>
      <c r="AK671" s="30">
        <v>2</v>
      </c>
      <c r="AL671" s="30">
        <v>14</v>
      </c>
    </row>
    <row r="672" spans="1:38" x14ac:dyDescent="0.3">
      <c r="A672" s="30">
        <v>39</v>
      </c>
      <c r="B672" s="30">
        <v>5</v>
      </c>
      <c r="C672" s="30">
        <v>5</v>
      </c>
      <c r="D672" s="30">
        <v>3</v>
      </c>
      <c r="O672" s="30">
        <v>39</v>
      </c>
      <c r="P672" s="30">
        <v>7</v>
      </c>
      <c r="Q672" s="30">
        <v>1</v>
      </c>
      <c r="R672" s="30">
        <v>3</v>
      </c>
      <c r="AI672" s="30">
        <v>39</v>
      </c>
      <c r="AJ672" s="30">
        <v>9</v>
      </c>
      <c r="AK672" s="30">
        <v>3</v>
      </c>
      <c r="AL672" s="30">
        <v>15</v>
      </c>
    </row>
    <row r="673" spans="1:38" x14ac:dyDescent="0.3">
      <c r="A673" s="30">
        <v>40</v>
      </c>
      <c r="B673" s="30">
        <v>6</v>
      </c>
      <c r="C673" s="30">
        <v>6</v>
      </c>
      <c r="D673" s="30">
        <v>2</v>
      </c>
      <c r="O673" s="30">
        <v>40</v>
      </c>
      <c r="P673" s="30">
        <v>6</v>
      </c>
      <c r="Q673" s="30">
        <v>0</v>
      </c>
      <c r="R673" s="30">
        <v>4</v>
      </c>
      <c r="AI673" s="30">
        <v>40</v>
      </c>
      <c r="AJ673" s="30">
        <v>8</v>
      </c>
      <c r="AK673" s="30">
        <v>2</v>
      </c>
      <c r="AL673" s="30">
        <v>16</v>
      </c>
    </row>
    <row r="674" spans="1:38" x14ac:dyDescent="0.3">
      <c r="A674" s="30">
        <v>41</v>
      </c>
      <c r="B674" s="30">
        <v>7</v>
      </c>
      <c r="C674" s="30">
        <v>5</v>
      </c>
      <c r="D674" s="30">
        <v>3</v>
      </c>
      <c r="O674" s="30">
        <v>41</v>
      </c>
      <c r="P674" s="30">
        <v>7</v>
      </c>
      <c r="Q674" s="30">
        <v>1</v>
      </c>
      <c r="R674" s="30">
        <v>5</v>
      </c>
      <c r="AI674" s="30">
        <v>41</v>
      </c>
      <c r="AJ674" s="30">
        <v>7</v>
      </c>
      <c r="AK674" s="30">
        <v>1</v>
      </c>
      <c r="AL674" s="30">
        <v>15</v>
      </c>
    </row>
    <row r="675" spans="1:38" x14ac:dyDescent="0.3">
      <c r="A675" s="30">
        <v>42</v>
      </c>
      <c r="B675" s="30">
        <v>6</v>
      </c>
      <c r="C675" s="30">
        <v>6</v>
      </c>
      <c r="D675" s="30">
        <v>4</v>
      </c>
      <c r="O675" s="30">
        <v>42</v>
      </c>
      <c r="P675" s="30">
        <v>8</v>
      </c>
      <c r="Q675" s="30">
        <v>0</v>
      </c>
      <c r="R675" s="30">
        <v>6</v>
      </c>
      <c r="AI675" s="30">
        <v>42</v>
      </c>
      <c r="AJ675" s="30">
        <v>6</v>
      </c>
      <c r="AK675" s="30">
        <v>0</v>
      </c>
      <c r="AL675" s="30">
        <v>16</v>
      </c>
    </row>
    <row r="676" spans="1:38" x14ac:dyDescent="0.3">
      <c r="A676" s="30">
        <v>43</v>
      </c>
      <c r="B676" s="30">
        <v>7</v>
      </c>
      <c r="C676" s="30">
        <v>5</v>
      </c>
      <c r="D676" s="30">
        <v>3</v>
      </c>
      <c r="O676" s="30">
        <v>43</v>
      </c>
      <c r="P676" s="30">
        <v>7</v>
      </c>
      <c r="Q676" s="30">
        <v>1</v>
      </c>
      <c r="R676" s="30">
        <v>5</v>
      </c>
      <c r="AI676" s="30">
        <v>43</v>
      </c>
      <c r="AJ676" s="30">
        <v>5</v>
      </c>
      <c r="AK676" s="30">
        <v>1</v>
      </c>
      <c r="AL676" s="30">
        <v>15</v>
      </c>
    </row>
    <row r="677" spans="1:38" x14ac:dyDescent="0.3">
      <c r="A677" s="30">
        <v>44</v>
      </c>
      <c r="B677" s="30">
        <v>6</v>
      </c>
      <c r="C677" s="30">
        <v>4</v>
      </c>
      <c r="D677" s="30">
        <v>4</v>
      </c>
      <c r="O677" s="30">
        <v>44</v>
      </c>
      <c r="P677" s="30">
        <v>8</v>
      </c>
      <c r="Q677" s="30">
        <v>0</v>
      </c>
      <c r="R677" s="30">
        <v>6</v>
      </c>
      <c r="AI677" s="30">
        <v>44</v>
      </c>
      <c r="AJ677" s="30">
        <v>6</v>
      </c>
      <c r="AK677" s="30">
        <v>0</v>
      </c>
      <c r="AL677" s="30">
        <v>16</v>
      </c>
    </row>
    <row r="678" spans="1:38" x14ac:dyDescent="0.3">
      <c r="A678" s="30">
        <v>45</v>
      </c>
      <c r="B678" s="30">
        <v>7</v>
      </c>
      <c r="C678" s="30">
        <v>3</v>
      </c>
      <c r="D678" s="30">
        <v>5</v>
      </c>
      <c r="O678" s="30">
        <v>45</v>
      </c>
      <c r="P678" s="30">
        <v>7</v>
      </c>
      <c r="Q678" s="30">
        <v>1</v>
      </c>
      <c r="R678" s="30">
        <v>7</v>
      </c>
      <c r="AI678" s="30">
        <v>45</v>
      </c>
      <c r="AJ678" s="30">
        <v>7</v>
      </c>
      <c r="AK678" s="30">
        <v>1</v>
      </c>
      <c r="AL678" s="30">
        <v>17</v>
      </c>
    </row>
    <row r="679" spans="1:38" x14ac:dyDescent="0.3">
      <c r="A679" s="30">
        <v>46</v>
      </c>
      <c r="B679" s="30">
        <v>8</v>
      </c>
      <c r="C679" s="30">
        <v>2</v>
      </c>
      <c r="D679" s="30">
        <v>6</v>
      </c>
      <c r="O679" s="30">
        <v>46</v>
      </c>
      <c r="P679" s="30">
        <v>6</v>
      </c>
      <c r="Q679" s="30">
        <v>2</v>
      </c>
      <c r="R679" s="30">
        <v>8</v>
      </c>
      <c r="AI679" s="30">
        <v>46</v>
      </c>
      <c r="AJ679" s="30">
        <v>6</v>
      </c>
      <c r="AK679" s="30">
        <v>0</v>
      </c>
      <c r="AL679" s="30">
        <v>16</v>
      </c>
    </row>
    <row r="680" spans="1:38" x14ac:dyDescent="0.3">
      <c r="A680" s="30">
        <v>47</v>
      </c>
      <c r="B680" s="30">
        <v>9</v>
      </c>
      <c r="C680" s="30">
        <v>1</v>
      </c>
      <c r="D680" s="30">
        <v>5</v>
      </c>
      <c r="O680" s="30">
        <v>47</v>
      </c>
      <c r="P680" s="30">
        <v>7</v>
      </c>
      <c r="Q680" s="30">
        <v>1</v>
      </c>
      <c r="R680" s="30">
        <v>9</v>
      </c>
      <c r="AI680" s="30">
        <v>47</v>
      </c>
      <c r="AJ680" s="30">
        <v>7</v>
      </c>
      <c r="AK680" s="30">
        <v>1</v>
      </c>
      <c r="AL680" s="30">
        <v>17</v>
      </c>
    </row>
    <row r="681" spans="1:38" x14ac:dyDescent="0.3">
      <c r="A681" s="30">
        <v>48</v>
      </c>
      <c r="B681" s="30">
        <v>8</v>
      </c>
      <c r="C681" s="30">
        <v>2</v>
      </c>
      <c r="D681" s="30">
        <v>6</v>
      </c>
      <c r="O681" s="30">
        <v>48</v>
      </c>
      <c r="P681" s="30">
        <v>8</v>
      </c>
      <c r="Q681" s="30">
        <v>0</v>
      </c>
      <c r="R681" s="30">
        <v>10</v>
      </c>
      <c r="AI681" s="30">
        <v>48</v>
      </c>
      <c r="AJ681" s="30">
        <v>8</v>
      </c>
      <c r="AK681" s="30">
        <v>2</v>
      </c>
      <c r="AL681" s="30">
        <v>16</v>
      </c>
    </row>
    <row r="682" spans="1:38" x14ac:dyDescent="0.3">
      <c r="A682" s="30">
        <v>49</v>
      </c>
      <c r="B682" s="30">
        <v>7</v>
      </c>
      <c r="C682" s="30">
        <v>1</v>
      </c>
      <c r="D682" s="30">
        <v>7</v>
      </c>
      <c r="O682" s="30">
        <v>49</v>
      </c>
      <c r="P682" s="30">
        <v>9</v>
      </c>
      <c r="Q682" s="30">
        <v>1</v>
      </c>
      <c r="R682" s="30">
        <v>9</v>
      </c>
      <c r="AI682" s="30">
        <v>49</v>
      </c>
      <c r="AJ682" s="30">
        <v>9</v>
      </c>
      <c r="AK682" s="30">
        <v>3</v>
      </c>
      <c r="AL682" s="30">
        <v>17</v>
      </c>
    </row>
    <row r="683" spans="1:38" x14ac:dyDescent="0.3">
      <c r="A683" s="30">
        <v>50</v>
      </c>
      <c r="B683" s="30">
        <v>6</v>
      </c>
      <c r="C683" s="30">
        <v>2</v>
      </c>
      <c r="D683" s="30">
        <v>8</v>
      </c>
      <c r="O683" s="30">
        <v>50</v>
      </c>
      <c r="P683" s="30">
        <v>10</v>
      </c>
      <c r="Q683" s="30">
        <v>2</v>
      </c>
      <c r="R683" s="30">
        <v>10</v>
      </c>
      <c r="AI683" s="30">
        <v>50</v>
      </c>
      <c r="AJ683" s="30">
        <v>10</v>
      </c>
      <c r="AK683" s="30">
        <v>4</v>
      </c>
      <c r="AL683" s="30">
        <v>16</v>
      </c>
    </row>
    <row r="684" spans="1:38" x14ac:dyDescent="0.3">
      <c r="A684" s="30">
        <v>51</v>
      </c>
      <c r="B684" s="30">
        <v>5</v>
      </c>
      <c r="C684" s="30">
        <v>1</v>
      </c>
      <c r="D684" s="30">
        <v>7</v>
      </c>
      <c r="O684" s="30">
        <v>51</v>
      </c>
      <c r="P684" s="30">
        <v>9</v>
      </c>
      <c r="Q684" s="30">
        <v>1</v>
      </c>
      <c r="R684" s="30">
        <v>11</v>
      </c>
      <c r="AI684" s="30">
        <v>51</v>
      </c>
      <c r="AJ684" s="30">
        <v>9</v>
      </c>
      <c r="AK684" s="30">
        <v>3</v>
      </c>
      <c r="AL684" s="30">
        <v>17</v>
      </c>
    </row>
    <row r="685" spans="1:38" x14ac:dyDescent="0.3">
      <c r="A685" s="30">
        <v>52</v>
      </c>
      <c r="B685" s="30">
        <v>4</v>
      </c>
      <c r="C685" s="30">
        <v>0</v>
      </c>
      <c r="D685" s="30">
        <v>8</v>
      </c>
      <c r="O685" s="30">
        <v>52</v>
      </c>
      <c r="P685" s="30">
        <v>8</v>
      </c>
      <c r="Q685" s="30">
        <v>2</v>
      </c>
      <c r="R685" s="30">
        <v>10</v>
      </c>
      <c r="AI685" s="30">
        <v>52</v>
      </c>
      <c r="AJ685" s="30">
        <v>10</v>
      </c>
      <c r="AK685" s="30">
        <v>4</v>
      </c>
      <c r="AL685" s="30">
        <v>16</v>
      </c>
    </row>
    <row r="686" spans="1:38" x14ac:dyDescent="0.3">
      <c r="A686" s="30">
        <v>53</v>
      </c>
      <c r="B686" s="30">
        <v>3</v>
      </c>
      <c r="C686" s="30">
        <v>1</v>
      </c>
      <c r="D686" s="30">
        <v>9</v>
      </c>
      <c r="O686" s="30">
        <v>53</v>
      </c>
      <c r="P686" s="30">
        <v>9</v>
      </c>
      <c r="Q686" s="30">
        <v>3</v>
      </c>
      <c r="R686" s="30">
        <v>9</v>
      </c>
      <c r="AI686" s="30">
        <v>53</v>
      </c>
      <c r="AJ686" s="30">
        <v>11</v>
      </c>
      <c r="AK686" s="30">
        <v>3</v>
      </c>
      <c r="AL686" s="30">
        <v>17</v>
      </c>
    </row>
    <row r="687" spans="1:38" x14ac:dyDescent="0.3">
      <c r="A687" s="30">
        <v>54</v>
      </c>
      <c r="B687" s="30">
        <v>4</v>
      </c>
      <c r="C687" s="30">
        <v>2</v>
      </c>
      <c r="D687" s="30">
        <v>8</v>
      </c>
      <c r="O687" s="30">
        <v>54</v>
      </c>
      <c r="P687" s="30">
        <v>10</v>
      </c>
      <c r="Q687" s="30">
        <v>2</v>
      </c>
      <c r="R687" s="30">
        <v>8</v>
      </c>
      <c r="AI687" s="30">
        <v>54</v>
      </c>
      <c r="AJ687" s="30">
        <v>12</v>
      </c>
      <c r="AK687" s="30">
        <v>2</v>
      </c>
      <c r="AL687" s="30">
        <v>16</v>
      </c>
    </row>
    <row r="688" spans="1:38" x14ac:dyDescent="0.3">
      <c r="A688" s="30">
        <v>55</v>
      </c>
      <c r="B688" s="30">
        <v>3</v>
      </c>
      <c r="C688" s="30">
        <v>1</v>
      </c>
      <c r="D688" s="30">
        <v>7</v>
      </c>
      <c r="O688" s="30">
        <v>55</v>
      </c>
      <c r="P688" s="30">
        <v>9</v>
      </c>
      <c r="Q688" s="30">
        <v>1</v>
      </c>
      <c r="R688" s="30">
        <v>9</v>
      </c>
      <c r="AI688" s="30">
        <v>55</v>
      </c>
      <c r="AJ688" s="30">
        <v>11</v>
      </c>
      <c r="AK688" s="30">
        <v>1</v>
      </c>
      <c r="AL688" s="30">
        <v>15</v>
      </c>
    </row>
    <row r="689" spans="1:38" x14ac:dyDescent="0.3">
      <c r="A689" s="30">
        <v>56</v>
      </c>
      <c r="B689" s="30">
        <v>2</v>
      </c>
      <c r="C689" s="30">
        <v>2</v>
      </c>
      <c r="D689" s="30">
        <v>6</v>
      </c>
      <c r="O689" s="30">
        <v>56</v>
      </c>
      <c r="P689" s="30">
        <v>10</v>
      </c>
      <c r="Q689" s="30">
        <v>2</v>
      </c>
      <c r="R689" s="30">
        <v>10</v>
      </c>
      <c r="AI689" s="30">
        <v>56</v>
      </c>
      <c r="AJ689" s="30">
        <v>10</v>
      </c>
      <c r="AK689" s="30">
        <v>2</v>
      </c>
      <c r="AL689" s="30">
        <v>16</v>
      </c>
    </row>
    <row r="690" spans="1:38" x14ac:dyDescent="0.3">
      <c r="A690" s="30">
        <v>57</v>
      </c>
      <c r="B690" s="30">
        <v>1</v>
      </c>
      <c r="C690" s="30">
        <v>3</v>
      </c>
      <c r="D690" s="30">
        <v>5</v>
      </c>
      <c r="O690" s="30">
        <v>57</v>
      </c>
      <c r="P690" s="30">
        <v>9</v>
      </c>
      <c r="Q690" s="30">
        <v>1</v>
      </c>
      <c r="R690" s="30">
        <v>11</v>
      </c>
      <c r="AI690" s="30">
        <v>57</v>
      </c>
      <c r="AJ690" s="30">
        <v>11</v>
      </c>
      <c r="AK690" s="30">
        <v>1</v>
      </c>
      <c r="AL690" s="30">
        <v>17</v>
      </c>
    </row>
    <row r="691" spans="1:38" x14ac:dyDescent="0.3">
      <c r="A691" s="30">
        <v>58</v>
      </c>
      <c r="B691" s="30">
        <v>0</v>
      </c>
      <c r="C691" s="30">
        <v>2</v>
      </c>
      <c r="D691" s="30">
        <v>4</v>
      </c>
      <c r="O691" s="30">
        <v>58</v>
      </c>
      <c r="P691" s="30">
        <v>8</v>
      </c>
      <c r="Q691" s="30">
        <v>0</v>
      </c>
      <c r="R691" s="30">
        <v>12</v>
      </c>
      <c r="AI691" s="30">
        <v>58</v>
      </c>
      <c r="AJ691" s="30">
        <v>12</v>
      </c>
      <c r="AK691" s="30">
        <v>2</v>
      </c>
      <c r="AL691" s="30">
        <v>16</v>
      </c>
    </row>
    <row r="692" spans="1:38" x14ac:dyDescent="0.3">
      <c r="A692" s="30">
        <v>59</v>
      </c>
      <c r="B692" s="30">
        <v>1</v>
      </c>
      <c r="C692" s="30">
        <v>1</v>
      </c>
      <c r="D692" s="30">
        <v>3</v>
      </c>
      <c r="O692" s="30">
        <v>59</v>
      </c>
      <c r="P692" s="30">
        <v>7</v>
      </c>
      <c r="Q692" s="30">
        <v>1</v>
      </c>
      <c r="R692" s="30">
        <v>13</v>
      </c>
      <c r="AI692" s="30">
        <v>59</v>
      </c>
      <c r="AJ692" s="30">
        <v>13</v>
      </c>
      <c r="AK692" s="30">
        <v>1</v>
      </c>
      <c r="AL692" s="30">
        <v>15</v>
      </c>
    </row>
    <row r="693" spans="1:38" x14ac:dyDescent="0.3">
      <c r="A693" s="30">
        <v>60</v>
      </c>
      <c r="B693" s="30">
        <v>2</v>
      </c>
      <c r="C693" s="30">
        <v>2</v>
      </c>
      <c r="D693" s="30">
        <v>4</v>
      </c>
      <c r="O693" s="30">
        <v>60</v>
      </c>
      <c r="P693" s="30">
        <v>8</v>
      </c>
      <c r="Q693" s="30">
        <v>2</v>
      </c>
      <c r="R693" s="30">
        <v>12</v>
      </c>
      <c r="AI693" s="30">
        <v>60</v>
      </c>
      <c r="AJ693" s="30">
        <v>12</v>
      </c>
      <c r="AK693" s="30">
        <v>0</v>
      </c>
      <c r="AL693" s="30">
        <v>14</v>
      </c>
    </row>
    <row r="694" spans="1:38" x14ac:dyDescent="0.3">
      <c r="A694" s="30">
        <v>61</v>
      </c>
      <c r="B694" s="30">
        <v>3</v>
      </c>
      <c r="C694" s="30">
        <v>3</v>
      </c>
      <c r="D694" s="30">
        <v>3</v>
      </c>
      <c r="O694" s="30">
        <v>61</v>
      </c>
      <c r="P694" s="30">
        <v>7</v>
      </c>
      <c r="Q694" s="30">
        <v>1</v>
      </c>
      <c r="R694" s="30">
        <v>11</v>
      </c>
      <c r="AI694" s="30">
        <v>61</v>
      </c>
      <c r="AJ694" s="30">
        <v>11</v>
      </c>
      <c r="AK694" s="30">
        <v>1</v>
      </c>
      <c r="AL694" s="30">
        <v>13</v>
      </c>
    </row>
    <row r="695" spans="1:38" x14ac:dyDescent="0.3">
      <c r="A695" s="30">
        <v>62</v>
      </c>
      <c r="B695" s="30">
        <v>2</v>
      </c>
      <c r="C695" s="30">
        <v>2</v>
      </c>
      <c r="D695" s="30">
        <v>4</v>
      </c>
      <c r="O695" s="30">
        <v>62</v>
      </c>
      <c r="P695" s="30">
        <v>6</v>
      </c>
      <c r="Q695" s="30">
        <v>0</v>
      </c>
      <c r="R695" s="30">
        <v>10</v>
      </c>
      <c r="AI695" s="30">
        <v>62</v>
      </c>
      <c r="AJ695" s="30">
        <v>10</v>
      </c>
      <c r="AK695" s="30">
        <v>0</v>
      </c>
      <c r="AL695" s="30">
        <v>12</v>
      </c>
    </row>
    <row r="696" spans="1:38" x14ac:dyDescent="0.3">
      <c r="A696" s="30">
        <v>63</v>
      </c>
      <c r="B696" s="30">
        <v>1</v>
      </c>
      <c r="C696" s="30">
        <v>1</v>
      </c>
      <c r="D696" s="30">
        <v>3</v>
      </c>
      <c r="O696" s="30">
        <v>63</v>
      </c>
      <c r="P696" s="30">
        <v>5</v>
      </c>
      <c r="Q696" s="30">
        <v>1</v>
      </c>
      <c r="R696" s="30">
        <v>11</v>
      </c>
      <c r="AI696" s="30">
        <v>63</v>
      </c>
      <c r="AJ696" s="30">
        <v>9</v>
      </c>
      <c r="AK696" s="30">
        <v>1</v>
      </c>
      <c r="AL696" s="30">
        <v>13</v>
      </c>
    </row>
    <row r="697" spans="1:38" x14ac:dyDescent="0.3">
      <c r="A697" s="30">
        <v>64</v>
      </c>
      <c r="B697" s="30">
        <v>0</v>
      </c>
      <c r="C697" s="30">
        <v>2</v>
      </c>
      <c r="D697" s="30">
        <v>4</v>
      </c>
      <c r="O697" s="30">
        <v>64</v>
      </c>
      <c r="P697" s="30">
        <v>4</v>
      </c>
      <c r="Q697" s="30">
        <v>2</v>
      </c>
      <c r="R697" s="30">
        <v>10</v>
      </c>
      <c r="AI697" s="30">
        <v>64</v>
      </c>
      <c r="AJ697" s="30">
        <v>10</v>
      </c>
      <c r="AK697" s="30">
        <v>0</v>
      </c>
      <c r="AL697" s="30">
        <v>12</v>
      </c>
    </row>
    <row r="698" spans="1:38" x14ac:dyDescent="0.3">
      <c r="A698" s="30">
        <v>65</v>
      </c>
      <c r="B698" s="30">
        <v>1</v>
      </c>
      <c r="C698" s="30">
        <v>1</v>
      </c>
      <c r="D698" s="30">
        <v>3</v>
      </c>
      <c r="O698" s="30">
        <v>65</v>
      </c>
      <c r="P698" s="30">
        <v>5</v>
      </c>
      <c r="Q698" s="30">
        <v>3</v>
      </c>
      <c r="R698" s="30">
        <v>9</v>
      </c>
      <c r="AI698" s="30">
        <v>65</v>
      </c>
      <c r="AJ698" s="30">
        <v>11</v>
      </c>
      <c r="AK698" s="30">
        <v>1</v>
      </c>
      <c r="AL698" s="30">
        <v>13</v>
      </c>
    </row>
    <row r="699" spans="1:38" x14ac:dyDescent="0.3">
      <c r="A699" s="30">
        <v>66</v>
      </c>
      <c r="B699" s="30">
        <v>0</v>
      </c>
      <c r="C699" s="30">
        <v>0</v>
      </c>
      <c r="D699" s="30">
        <v>4</v>
      </c>
      <c r="O699" s="30">
        <v>66</v>
      </c>
      <c r="P699" s="30">
        <v>4</v>
      </c>
      <c r="Q699" s="30">
        <v>2</v>
      </c>
      <c r="R699" s="30">
        <v>8</v>
      </c>
      <c r="AI699" s="30">
        <v>66</v>
      </c>
      <c r="AJ699" s="30">
        <v>10</v>
      </c>
      <c r="AK699" s="30">
        <v>2</v>
      </c>
      <c r="AL699" s="30">
        <v>14</v>
      </c>
    </row>
    <row r="700" spans="1:38" x14ac:dyDescent="0.3">
      <c r="A700" s="30">
        <v>67</v>
      </c>
      <c r="B700" s="30">
        <v>1</v>
      </c>
      <c r="C700" s="30">
        <v>1</v>
      </c>
      <c r="D700" s="30">
        <v>3</v>
      </c>
      <c r="O700" s="30">
        <v>67</v>
      </c>
      <c r="P700" s="30">
        <v>3</v>
      </c>
      <c r="Q700" s="30">
        <v>1</v>
      </c>
      <c r="R700" s="30">
        <v>9</v>
      </c>
      <c r="AI700" s="30">
        <v>67</v>
      </c>
      <c r="AJ700" s="30">
        <v>11</v>
      </c>
      <c r="AK700" s="30">
        <v>3</v>
      </c>
      <c r="AL700" s="30">
        <v>13</v>
      </c>
    </row>
    <row r="701" spans="1:38" x14ac:dyDescent="0.3">
      <c r="A701" s="30">
        <v>68</v>
      </c>
      <c r="B701" s="30">
        <v>2</v>
      </c>
      <c r="C701" s="30">
        <v>2</v>
      </c>
      <c r="D701" s="30">
        <v>2</v>
      </c>
      <c r="O701" s="30">
        <v>68</v>
      </c>
      <c r="P701" s="30">
        <v>4</v>
      </c>
      <c r="Q701" s="30">
        <v>2</v>
      </c>
      <c r="R701" s="30">
        <v>8</v>
      </c>
      <c r="AI701" s="30">
        <v>68</v>
      </c>
      <c r="AJ701" s="30">
        <v>10</v>
      </c>
      <c r="AK701" s="30">
        <v>2</v>
      </c>
      <c r="AL701" s="30">
        <v>14</v>
      </c>
    </row>
    <row r="702" spans="1:38" x14ac:dyDescent="0.3">
      <c r="A702" s="30">
        <v>69</v>
      </c>
      <c r="B702" s="30">
        <v>1</v>
      </c>
      <c r="C702" s="30">
        <v>1</v>
      </c>
      <c r="D702" s="30">
        <v>1</v>
      </c>
      <c r="O702" s="30">
        <v>69</v>
      </c>
      <c r="P702" s="30">
        <v>3</v>
      </c>
      <c r="Q702" s="30">
        <v>1</v>
      </c>
      <c r="R702" s="30">
        <v>9</v>
      </c>
      <c r="AI702" s="30">
        <v>69</v>
      </c>
      <c r="AJ702" s="30">
        <v>9</v>
      </c>
      <c r="AK702" s="30">
        <v>1</v>
      </c>
      <c r="AL702" s="30">
        <v>15</v>
      </c>
    </row>
    <row r="703" spans="1:38" x14ac:dyDescent="0.3">
      <c r="A703" s="30">
        <v>70</v>
      </c>
      <c r="B703" s="30">
        <v>0</v>
      </c>
      <c r="C703" s="30">
        <v>2</v>
      </c>
      <c r="D703" s="30">
        <v>2</v>
      </c>
      <c r="O703" s="30">
        <v>70</v>
      </c>
      <c r="P703" s="30">
        <v>4</v>
      </c>
      <c r="Q703" s="30">
        <v>0</v>
      </c>
      <c r="R703" s="30">
        <v>8</v>
      </c>
      <c r="AI703" s="30">
        <v>70</v>
      </c>
      <c r="AJ703" s="30">
        <v>8</v>
      </c>
      <c r="AK703" s="30">
        <v>2</v>
      </c>
      <c r="AL703" s="30">
        <v>16</v>
      </c>
    </row>
    <row r="704" spans="1:38" x14ac:dyDescent="0.3">
      <c r="A704" s="30">
        <v>71</v>
      </c>
      <c r="B704" s="30">
        <v>1</v>
      </c>
      <c r="C704" s="30">
        <v>1</v>
      </c>
      <c r="D704" s="30">
        <v>3</v>
      </c>
      <c r="O704" s="30">
        <v>71</v>
      </c>
      <c r="P704" s="30">
        <v>3</v>
      </c>
      <c r="Q704" s="30">
        <v>1</v>
      </c>
      <c r="R704" s="30">
        <v>7</v>
      </c>
      <c r="AI704" s="30">
        <v>71</v>
      </c>
      <c r="AJ704" s="30">
        <v>9</v>
      </c>
      <c r="AK704" s="30">
        <v>1</v>
      </c>
      <c r="AL704" s="30">
        <v>15</v>
      </c>
    </row>
    <row r="705" spans="1:38" x14ac:dyDescent="0.3">
      <c r="A705" s="30">
        <v>72</v>
      </c>
      <c r="B705" s="30">
        <v>0</v>
      </c>
      <c r="C705" s="30">
        <v>2</v>
      </c>
      <c r="D705" s="30">
        <v>2</v>
      </c>
      <c r="O705" s="30">
        <v>72</v>
      </c>
      <c r="P705" s="30">
        <v>2</v>
      </c>
      <c r="Q705" s="30">
        <v>2</v>
      </c>
      <c r="R705" s="30">
        <v>6</v>
      </c>
      <c r="AI705" s="30">
        <v>72</v>
      </c>
      <c r="AJ705" s="30">
        <v>10</v>
      </c>
      <c r="AK705" s="30">
        <v>2</v>
      </c>
      <c r="AL705" s="30">
        <v>14</v>
      </c>
    </row>
    <row r="706" spans="1:38" x14ac:dyDescent="0.3">
      <c r="A706" s="30">
        <v>73</v>
      </c>
      <c r="B706" s="30">
        <v>1</v>
      </c>
      <c r="C706" s="30">
        <v>3</v>
      </c>
      <c r="D706" s="30">
        <v>1</v>
      </c>
      <c r="O706" s="30">
        <v>73</v>
      </c>
      <c r="P706" s="30">
        <v>3</v>
      </c>
      <c r="Q706" s="30">
        <v>1</v>
      </c>
      <c r="R706" s="30">
        <v>7</v>
      </c>
      <c r="AI706" s="30">
        <v>73</v>
      </c>
      <c r="AJ706" s="30">
        <v>9</v>
      </c>
      <c r="AK706" s="30">
        <v>1</v>
      </c>
      <c r="AL706" s="30">
        <v>15</v>
      </c>
    </row>
    <row r="707" spans="1:38" x14ac:dyDescent="0.3">
      <c r="A707" s="30">
        <v>74</v>
      </c>
      <c r="B707" s="30">
        <v>0</v>
      </c>
      <c r="C707" s="30">
        <v>2</v>
      </c>
      <c r="D707" s="30">
        <v>2</v>
      </c>
      <c r="O707" s="30">
        <v>74</v>
      </c>
      <c r="P707" s="30">
        <v>2</v>
      </c>
      <c r="Q707" s="30">
        <v>0</v>
      </c>
      <c r="R707" s="30">
        <v>6</v>
      </c>
      <c r="AI707" s="30">
        <v>74</v>
      </c>
      <c r="AJ707" s="30">
        <v>10</v>
      </c>
      <c r="AK707" s="30">
        <v>2</v>
      </c>
      <c r="AL707" s="30">
        <v>14</v>
      </c>
    </row>
    <row r="708" spans="1:38" x14ac:dyDescent="0.3">
      <c r="A708" s="30">
        <v>75</v>
      </c>
      <c r="B708" s="30">
        <v>1</v>
      </c>
      <c r="C708" s="30">
        <v>3</v>
      </c>
      <c r="D708" s="30">
        <v>3</v>
      </c>
      <c r="O708" s="30">
        <v>75</v>
      </c>
      <c r="P708" s="30">
        <v>1</v>
      </c>
      <c r="Q708" s="30">
        <v>1</v>
      </c>
      <c r="R708" s="30">
        <v>5</v>
      </c>
      <c r="AI708" s="30">
        <v>75</v>
      </c>
      <c r="AJ708" s="30">
        <v>9</v>
      </c>
      <c r="AK708" s="30">
        <v>1</v>
      </c>
      <c r="AL708" s="30">
        <v>13</v>
      </c>
    </row>
    <row r="709" spans="1:38" x14ac:dyDescent="0.3">
      <c r="A709" s="30">
        <v>76</v>
      </c>
      <c r="B709" s="30">
        <v>2</v>
      </c>
      <c r="C709" s="30">
        <v>2</v>
      </c>
      <c r="D709" s="30">
        <v>4</v>
      </c>
      <c r="O709" s="30">
        <v>76</v>
      </c>
      <c r="P709" s="30">
        <v>0</v>
      </c>
      <c r="Q709" s="30">
        <v>0</v>
      </c>
      <c r="R709" s="30">
        <v>6</v>
      </c>
      <c r="AI709" s="30">
        <v>76</v>
      </c>
      <c r="AJ709" s="30">
        <v>8</v>
      </c>
      <c r="AK709" s="30">
        <v>2</v>
      </c>
      <c r="AL709" s="30">
        <v>12</v>
      </c>
    </row>
    <row r="710" spans="1:38" x14ac:dyDescent="0.3">
      <c r="A710" s="30">
        <v>77</v>
      </c>
      <c r="B710" s="30">
        <v>1</v>
      </c>
      <c r="C710" s="30">
        <v>1</v>
      </c>
      <c r="D710" s="30">
        <v>5</v>
      </c>
      <c r="O710" s="30">
        <v>77</v>
      </c>
      <c r="P710" s="30">
        <v>1</v>
      </c>
      <c r="Q710" s="30">
        <v>1</v>
      </c>
      <c r="R710" s="30">
        <v>7</v>
      </c>
      <c r="AI710" s="30">
        <v>77</v>
      </c>
      <c r="AJ710" s="30">
        <v>9</v>
      </c>
      <c r="AK710" s="30">
        <v>1</v>
      </c>
      <c r="AL710" s="30">
        <v>11</v>
      </c>
    </row>
    <row r="711" spans="1:38" x14ac:dyDescent="0.3">
      <c r="A711" s="30">
        <v>78</v>
      </c>
      <c r="B711" s="30">
        <v>2</v>
      </c>
      <c r="C711" s="30">
        <v>0</v>
      </c>
      <c r="D711" s="30">
        <v>4</v>
      </c>
      <c r="O711" s="30">
        <v>78</v>
      </c>
      <c r="P711" s="30">
        <v>2</v>
      </c>
      <c r="Q711" s="30">
        <v>0</v>
      </c>
      <c r="R711" s="30">
        <v>8</v>
      </c>
      <c r="AI711" s="30">
        <v>78</v>
      </c>
      <c r="AJ711" s="30">
        <v>8</v>
      </c>
      <c r="AK711" s="30">
        <v>2</v>
      </c>
      <c r="AL711" s="30">
        <v>12</v>
      </c>
    </row>
    <row r="712" spans="1:38" x14ac:dyDescent="0.3">
      <c r="A712" s="30">
        <v>79</v>
      </c>
      <c r="B712" s="30">
        <v>1</v>
      </c>
      <c r="C712" s="30">
        <v>1</v>
      </c>
      <c r="D712" s="30">
        <v>3</v>
      </c>
      <c r="O712" s="30">
        <v>79</v>
      </c>
      <c r="P712" s="30">
        <v>1</v>
      </c>
      <c r="Q712" s="30">
        <v>1</v>
      </c>
      <c r="R712" s="30">
        <v>9</v>
      </c>
      <c r="AI712" s="30">
        <v>79</v>
      </c>
      <c r="AJ712" s="30">
        <v>7</v>
      </c>
      <c r="AK712" s="30">
        <v>3</v>
      </c>
      <c r="AL712" s="30">
        <v>11</v>
      </c>
    </row>
    <row r="713" spans="1:38" x14ac:dyDescent="0.3">
      <c r="A713" s="30">
        <v>80</v>
      </c>
      <c r="B713" s="30">
        <v>0</v>
      </c>
      <c r="C713" s="30">
        <v>2</v>
      </c>
      <c r="D713" s="30">
        <v>4</v>
      </c>
      <c r="O713" s="30">
        <v>80</v>
      </c>
      <c r="P713" s="30">
        <v>0</v>
      </c>
      <c r="Q713" s="30">
        <v>0</v>
      </c>
      <c r="R713" s="30">
        <v>10</v>
      </c>
      <c r="AI713" s="30">
        <v>80</v>
      </c>
      <c r="AJ713" s="30">
        <v>8</v>
      </c>
      <c r="AK713" s="30">
        <v>4</v>
      </c>
      <c r="AL713" s="30">
        <v>10</v>
      </c>
    </row>
    <row r="714" spans="1:38" x14ac:dyDescent="0.3">
      <c r="A714" s="30">
        <v>81</v>
      </c>
      <c r="B714" s="30">
        <v>1</v>
      </c>
      <c r="C714" s="30">
        <v>1</v>
      </c>
      <c r="D714" s="30">
        <v>3</v>
      </c>
      <c r="O714" s="30">
        <v>81</v>
      </c>
      <c r="P714" s="30">
        <v>1</v>
      </c>
      <c r="Q714" s="30">
        <v>1</v>
      </c>
      <c r="R714" s="30">
        <v>9</v>
      </c>
      <c r="AI714" s="30">
        <v>81</v>
      </c>
      <c r="AJ714" s="30">
        <v>9</v>
      </c>
      <c r="AK714" s="30">
        <v>5</v>
      </c>
      <c r="AL714" s="30">
        <v>9</v>
      </c>
    </row>
    <row r="715" spans="1:38" x14ac:dyDescent="0.3">
      <c r="A715" s="30">
        <v>82</v>
      </c>
      <c r="B715" s="30">
        <v>0</v>
      </c>
      <c r="C715" s="30">
        <v>0</v>
      </c>
      <c r="D715" s="30">
        <v>4</v>
      </c>
      <c r="O715" s="30">
        <v>82</v>
      </c>
      <c r="P715" s="30">
        <v>2</v>
      </c>
      <c r="Q715" s="30">
        <v>2</v>
      </c>
      <c r="R715" s="30">
        <v>8</v>
      </c>
      <c r="AI715" s="30">
        <v>82</v>
      </c>
      <c r="AJ715" s="30">
        <v>8</v>
      </c>
      <c r="AK715" s="30">
        <v>4</v>
      </c>
      <c r="AL715" s="30">
        <v>8</v>
      </c>
    </row>
    <row r="716" spans="1:38" x14ac:dyDescent="0.3">
      <c r="A716" s="30">
        <v>83</v>
      </c>
      <c r="B716" s="30">
        <v>1</v>
      </c>
      <c r="C716" s="30">
        <v>1</v>
      </c>
      <c r="D716" s="30">
        <v>5</v>
      </c>
      <c r="O716" s="30">
        <v>83</v>
      </c>
      <c r="P716" s="30">
        <v>3</v>
      </c>
      <c r="Q716" s="30">
        <v>3</v>
      </c>
      <c r="R716" s="30">
        <v>7</v>
      </c>
      <c r="AI716" s="30">
        <v>83</v>
      </c>
      <c r="AJ716" s="30">
        <v>9</v>
      </c>
      <c r="AK716" s="30">
        <v>5</v>
      </c>
      <c r="AL716" s="30">
        <v>9</v>
      </c>
    </row>
    <row r="717" spans="1:38" x14ac:dyDescent="0.3">
      <c r="A717" s="30">
        <v>84</v>
      </c>
      <c r="B717" s="30">
        <v>2</v>
      </c>
      <c r="C717" s="30">
        <v>2</v>
      </c>
      <c r="D717" s="30">
        <v>6</v>
      </c>
      <c r="O717" s="30">
        <v>84</v>
      </c>
      <c r="P717" s="30">
        <v>2</v>
      </c>
      <c r="Q717" s="30">
        <v>2</v>
      </c>
      <c r="R717" s="30">
        <v>8</v>
      </c>
      <c r="AI717" s="30">
        <v>84</v>
      </c>
      <c r="AJ717" s="30">
        <v>10</v>
      </c>
      <c r="AK717" s="30">
        <v>4</v>
      </c>
      <c r="AL717" s="30">
        <v>8</v>
      </c>
    </row>
    <row r="718" spans="1:38" x14ac:dyDescent="0.3">
      <c r="A718" s="30">
        <v>85</v>
      </c>
      <c r="B718" s="30">
        <v>3</v>
      </c>
      <c r="C718" s="30">
        <v>3</v>
      </c>
      <c r="D718" s="30">
        <v>7</v>
      </c>
      <c r="O718" s="30">
        <v>85</v>
      </c>
      <c r="P718" s="30">
        <v>3</v>
      </c>
      <c r="Q718" s="30">
        <v>3</v>
      </c>
      <c r="R718" s="30">
        <v>9</v>
      </c>
      <c r="AI718" s="30">
        <v>85</v>
      </c>
      <c r="AJ718" s="30">
        <v>9</v>
      </c>
      <c r="AK718" s="30">
        <v>5</v>
      </c>
      <c r="AL718" s="30">
        <v>9</v>
      </c>
    </row>
    <row r="719" spans="1:38" x14ac:dyDescent="0.3">
      <c r="A719" s="30">
        <v>86</v>
      </c>
      <c r="B719" s="30">
        <v>2</v>
      </c>
      <c r="C719" s="30">
        <v>4</v>
      </c>
      <c r="D719" s="30">
        <v>6</v>
      </c>
      <c r="O719" s="30">
        <v>86</v>
      </c>
      <c r="P719" s="30">
        <v>4</v>
      </c>
      <c r="Q719" s="30">
        <v>4</v>
      </c>
      <c r="R719" s="30">
        <v>10</v>
      </c>
      <c r="AI719" s="30">
        <v>86</v>
      </c>
      <c r="AJ719" s="30">
        <v>8</v>
      </c>
      <c r="AK719" s="30">
        <v>6</v>
      </c>
      <c r="AL719" s="30">
        <v>8</v>
      </c>
    </row>
    <row r="720" spans="1:38" x14ac:dyDescent="0.3">
      <c r="A720" s="30">
        <v>87</v>
      </c>
      <c r="B720" s="30">
        <v>1</v>
      </c>
      <c r="C720" s="30">
        <v>3</v>
      </c>
      <c r="D720" s="30">
        <v>7</v>
      </c>
      <c r="O720" s="30">
        <v>87</v>
      </c>
      <c r="P720" s="30">
        <v>5</v>
      </c>
      <c r="Q720" s="30">
        <v>3</v>
      </c>
      <c r="R720" s="30">
        <v>9</v>
      </c>
      <c r="AI720" s="30">
        <v>87</v>
      </c>
      <c r="AJ720" s="30">
        <v>9</v>
      </c>
      <c r="AK720" s="30">
        <v>5</v>
      </c>
      <c r="AL720" s="30">
        <v>7</v>
      </c>
    </row>
    <row r="721" spans="1:38" x14ac:dyDescent="0.3">
      <c r="A721" s="30">
        <v>88</v>
      </c>
      <c r="B721" s="30">
        <v>0</v>
      </c>
      <c r="C721" s="30">
        <v>2</v>
      </c>
      <c r="D721" s="30">
        <v>6</v>
      </c>
      <c r="O721" s="30">
        <v>88</v>
      </c>
      <c r="P721" s="30">
        <v>4</v>
      </c>
      <c r="Q721" s="30">
        <v>2</v>
      </c>
      <c r="R721" s="30">
        <v>8</v>
      </c>
      <c r="AI721" s="30">
        <v>88</v>
      </c>
      <c r="AJ721" s="30">
        <v>10</v>
      </c>
      <c r="AK721" s="30">
        <v>4</v>
      </c>
      <c r="AL721" s="30">
        <v>6</v>
      </c>
    </row>
    <row r="722" spans="1:38" x14ac:dyDescent="0.3">
      <c r="A722" s="30">
        <v>89</v>
      </c>
      <c r="B722" s="30">
        <v>1</v>
      </c>
      <c r="C722" s="30">
        <v>3</v>
      </c>
      <c r="D722" s="30">
        <v>5</v>
      </c>
      <c r="O722" s="30">
        <v>89</v>
      </c>
      <c r="P722" s="30">
        <v>3</v>
      </c>
      <c r="Q722" s="30">
        <v>3</v>
      </c>
      <c r="R722" s="30">
        <v>9</v>
      </c>
      <c r="AI722" s="30">
        <v>89</v>
      </c>
      <c r="AJ722" s="30">
        <v>11</v>
      </c>
      <c r="AK722" s="30">
        <v>5</v>
      </c>
      <c r="AL722" s="30">
        <v>7</v>
      </c>
    </row>
    <row r="723" spans="1:38" x14ac:dyDescent="0.3">
      <c r="A723" s="30">
        <v>90</v>
      </c>
      <c r="B723" s="30">
        <v>2</v>
      </c>
      <c r="C723" s="30">
        <v>2</v>
      </c>
      <c r="D723" s="30">
        <v>6</v>
      </c>
      <c r="O723" s="30">
        <v>90</v>
      </c>
      <c r="P723" s="30">
        <v>4</v>
      </c>
      <c r="Q723" s="30">
        <v>2</v>
      </c>
      <c r="R723" s="30">
        <v>10</v>
      </c>
      <c r="AI723" s="30">
        <v>90</v>
      </c>
      <c r="AJ723" s="30">
        <v>12</v>
      </c>
      <c r="AK723" s="30">
        <v>4</v>
      </c>
      <c r="AL723" s="30">
        <v>8</v>
      </c>
    </row>
    <row r="724" spans="1:38" x14ac:dyDescent="0.3">
      <c r="A724" s="30">
        <v>91</v>
      </c>
      <c r="B724" s="30">
        <v>3</v>
      </c>
      <c r="C724" s="30">
        <v>1</v>
      </c>
      <c r="D724" s="30">
        <v>5</v>
      </c>
      <c r="O724" s="30">
        <v>91</v>
      </c>
      <c r="P724" s="30">
        <v>3</v>
      </c>
      <c r="Q724" s="30">
        <v>3</v>
      </c>
      <c r="R724" s="30">
        <v>11</v>
      </c>
      <c r="AI724" s="30">
        <v>91</v>
      </c>
      <c r="AJ724" s="30">
        <v>11</v>
      </c>
      <c r="AK724" s="30">
        <v>3</v>
      </c>
      <c r="AL724" s="30">
        <v>7</v>
      </c>
    </row>
    <row r="725" spans="1:38" x14ac:dyDescent="0.3">
      <c r="A725" s="30">
        <v>92</v>
      </c>
      <c r="B725" s="30">
        <v>4</v>
      </c>
      <c r="C725" s="30">
        <v>0</v>
      </c>
      <c r="D725" s="30">
        <v>6</v>
      </c>
      <c r="O725" s="30">
        <v>92</v>
      </c>
      <c r="P725" s="30">
        <v>2</v>
      </c>
      <c r="Q725" s="30">
        <v>4</v>
      </c>
      <c r="R725" s="30">
        <v>10</v>
      </c>
      <c r="AI725" s="30">
        <v>92</v>
      </c>
      <c r="AJ725" s="30">
        <v>10</v>
      </c>
      <c r="AK725" s="30">
        <v>4</v>
      </c>
      <c r="AL725" s="30">
        <v>8</v>
      </c>
    </row>
    <row r="726" spans="1:38" x14ac:dyDescent="0.3">
      <c r="A726" s="30">
        <v>93</v>
      </c>
      <c r="B726" s="30">
        <v>3</v>
      </c>
      <c r="C726" s="30">
        <v>1</v>
      </c>
      <c r="D726" s="30">
        <v>7</v>
      </c>
      <c r="O726" s="30">
        <v>93</v>
      </c>
      <c r="P726" s="30">
        <v>3</v>
      </c>
      <c r="Q726" s="30">
        <v>3</v>
      </c>
      <c r="R726" s="30">
        <v>9</v>
      </c>
      <c r="AI726" s="30">
        <v>93</v>
      </c>
      <c r="AJ726" s="30">
        <v>9</v>
      </c>
      <c r="AK726" s="30">
        <v>3</v>
      </c>
      <c r="AL726" s="30">
        <v>7</v>
      </c>
    </row>
    <row r="727" spans="1:38" x14ac:dyDescent="0.3">
      <c r="A727" s="30">
        <v>94</v>
      </c>
      <c r="B727" s="30">
        <v>2</v>
      </c>
      <c r="C727" s="30">
        <v>2</v>
      </c>
      <c r="D727" s="30">
        <v>8</v>
      </c>
      <c r="O727" s="30">
        <v>94</v>
      </c>
      <c r="P727" s="30">
        <v>2</v>
      </c>
      <c r="Q727" s="30">
        <v>2</v>
      </c>
      <c r="R727" s="30">
        <v>8</v>
      </c>
      <c r="AI727" s="30">
        <v>94</v>
      </c>
      <c r="AJ727" s="30">
        <v>8</v>
      </c>
      <c r="AK727" s="30">
        <v>2</v>
      </c>
      <c r="AL727" s="30">
        <v>8</v>
      </c>
    </row>
    <row r="728" spans="1:38" x14ac:dyDescent="0.3">
      <c r="A728" s="30">
        <v>95</v>
      </c>
      <c r="B728" s="30">
        <v>3</v>
      </c>
      <c r="C728" s="30">
        <v>1</v>
      </c>
      <c r="D728" s="30">
        <v>9</v>
      </c>
      <c r="O728" s="30">
        <v>95</v>
      </c>
      <c r="P728" s="30">
        <v>3</v>
      </c>
      <c r="Q728" s="30">
        <v>3</v>
      </c>
      <c r="R728" s="30">
        <v>9</v>
      </c>
      <c r="AI728" s="30">
        <v>95</v>
      </c>
      <c r="AJ728" s="30">
        <v>9</v>
      </c>
      <c r="AK728" s="30">
        <v>1</v>
      </c>
      <c r="AL728" s="30">
        <v>7</v>
      </c>
    </row>
    <row r="729" spans="1:38" x14ac:dyDescent="0.3">
      <c r="A729" s="30">
        <v>96</v>
      </c>
      <c r="B729" s="30">
        <v>2</v>
      </c>
      <c r="C729" s="30">
        <v>2</v>
      </c>
      <c r="D729" s="30">
        <v>8</v>
      </c>
      <c r="O729" s="30">
        <v>96</v>
      </c>
      <c r="P729" s="30">
        <v>2</v>
      </c>
      <c r="Q729" s="30">
        <v>2</v>
      </c>
      <c r="R729" s="30">
        <v>10</v>
      </c>
      <c r="AI729" s="30">
        <v>96</v>
      </c>
      <c r="AJ729" s="30">
        <v>10</v>
      </c>
      <c r="AK729" s="30">
        <v>0</v>
      </c>
      <c r="AL729" s="30">
        <v>6</v>
      </c>
    </row>
    <row r="730" spans="1:38" x14ac:dyDescent="0.3">
      <c r="A730" s="30">
        <v>97</v>
      </c>
      <c r="B730" s="30">
        <v>3</v>
      </c>
      <c r="C730" s="30">
        <v>3</v>
      </c>
      <c r="D730" s="30">
        <v>7</v>
      </c>
      <c r="O730" s="30">
        <v>97</v>
      </c>
      <c r="P730" s="30">
        <v>3</v>
      </c>
      <c r="Q730" s="30">
        <v>3</v>
      </c>
      <c r="R730" s="30">
        <v>11</v>
      </c>
      <c r="AI730" s="30">
        <v>97</v>
      </c>
      <c r="AJ730" s="30">
        <v>11</v>
      </c>
      <c r="AK730" s="30">
        <v>1</v>
      </c>
      <c r="AL730" s="30">
        <v>7</v>
      </c>
    </row>
    <row r="731" spans="1:38" x14ac:dyDescent="0.3">
      <c r="A731" s="30">
        <v>98</v>
      </c>
      <c r="B731" s="30">
        <v>4</v>
      </c>
      <c r="C731" s="30">
        <v>2</v>
      </c>
      <c r="D731" s="30">
        <v>8</v>
      </c>
      <c r="O731" s="30">
        <v>98</v>
      </c>
      <c r="P731" s="30">
        <v>2</v>
      </c>
      <c r="Q731" s="30">
        <v>4</v>
      </c>
      <c r="R731" s="30">
        <v>12</v>
      </c>
      <c r="AI731" s="30">
        <v>98</v>
      </c>
      <c r="AJ731" s="30">
        <v>10</v>
      </c>
      <c r="AK731" s="30">
        <v>2</v>
      </c>
      <c r="AL731" s="30">
        <v>8</v>
      </c>
    </row>
    <row r="732" spans="1:38" x14ac:dyDescent="0.3">
      <c r="A732" s="30">
        <v>99</v>
      </c>
      <c r="B732" s="30">
        <v>3</v>
      </c>
      <c r="C732" s="30">
        <v>3</v>
      </c>
      <c r="D732" s="30">
        <v>7</v>
      </c>
      <c r="O732" s="30">
        <v>99</v>
      </c>
      <c r="P732" s="30">
        <v>1</v>
      </c>
      <c r="Q732" s="30">
        <v>5</v>
      </c>
      <c r="R732" s="30">
        <v>11</v>
      </c>
      <c r="AI732" s="30">
        <v>99</v>
      </c>
      <c r="AJ732" s="30">
        <v>9</v>
      </c>
      <c r="AK732" s="30">
        <v>1</v>
      </c>
      <c r="AL732" s="30">
        <v>9</v>
      </c>
    </row>
    <row r="733" spans="1:38" x14ac:dyDescent="0.3">
      <c r="A733" s="30">
        <v>100</v>
      </c>
      <c r="B733" s="30">
        <v>4</v>
      </c>
      <c r="C733" s="30">
        <v>4</v>
      </c>
      <c r="D733" s="30">
        <v>8</v>
      </c>
      <c r="O733" s="30">
        <v>100</v>
      </c>
      <c r="P733" s="30">
        <v>2</v>
      </c>
      <c r="Q733" s="30">
        <v>6</v>
      </c>
      <c r="R733" s="30">
        <v>10</v>
      </c>
      <c r="AI733" s="30">
        <v>100</v>
      </c>
      <c r="AJ733" s="30">
        <v>10</v>
      </c>
      <c r="AK733" s="30">
        <v>2</v>
      </c>
      <c r="AL733" s="30">
        <v>10</v>
      </c>
    </row>
    <row r="734" spans="1:38" x14ac:dyDescent="0.3">
      <c r="A734" s="30">
        <v>101</v>
      </c>
      <c r="B734" s="30">
        <v>5</v>
      </c>
      <c r="C734" s="30">
        <v>5</v>
      </c>
      <c r="D734" s="30">
        <v>7</v>
      </c>
      <c r="O734" s="30">
        <v>101</v>
      </c>
      <c r="P734" s="30">
        <v>1</v>
      </c>
      <c r="Q734" s="30">
        <v>5</v>
      </c>
      <c r="R734" s="30">
        <v>11</v>
      </c>
      <c r="AI734" s="30">
        <v>101</v>
      </c>
      <c r="AJ734" s="30">
        <v>9</v>
      </c>
      <c r="AK734" s="30">
        <v>3</v>
      </c>
      <c r="AL734" s="30">
        <v>9</v>
      </c>
    </row>
    <row r="735" spans="1:38" x14ac:dyDescent="0.3">
      <c r="A735" s="30">
        <v>102</v>
      </c>
      <c r="B735" s="30">
        <v>4</v>
      </c>
      <c r="C735" s="30">
        <v>6</v>
      </c>
      <c r="D735" s="30">
        <v>8</v>
      </c>
      <c r="O735" s="30">
        <v>102</v>
      </c>
      <c r="P735" s="30">
        <v>0</v>
      </c>
      <c r="Q735" s="30">
        <v>4</v>
      </c>
      <c r="R735" s="30">
        <v>10</v>
      </c>
      <c r="AI735" s="30">
        <v>102</v>
      </c>
      <c r="AJ735" s="30">
        <v>8</v>
      </c>
      <c r="AK735" s="30">
        <v>2</v>
      </c>
      <c r="AL735" s="30">
        <v>8</v>
      </c>
    </row>
    <row r="736" spans="1:38" x14ac:dyDescent="0.3">
      <c r="A736" s="30">
        <v>103</v>
      </c>
      <c r="B736" s="30">
        <v>3</v>
      </c>
      <c r="C736" s="30">
        <v>7</v>
      </c>
      <c r="D736" s="30">
        <v>9</v>
      </c>
      <c r="O736" s="30">
        <v>103</v>
      </c>
      <c r="P736" s="30">
        <v>1</v>
      </c>
      <c r="Q736" s="30">
        <v>3</v>
      </c>
      <c r="R736" s="30">
        <v>9</v>
      </c>
      <c r="AI736" s="30">
        <v>103</v>
      </c>
      <c r="AJ736" s="30">
        <v>7</v>
      </c>
      <c r="AK736" s="30">
        <v>3</v>
      </c>
      <c r="AL736" s="30">
        <v>7</v>
      </c>
    </row>
    <row r="737" spans="1:38" x14ac:dyDescent="0.3">
      <c r="A737" s="30">
        <v>104</v>
      </c>
      <c r="B737" s="30">
        <v>4</v>
      </c>
      <c r="C737" s="30">
        <v>8</v>
      </c>
      <c r="D737" s="30">
        <v>10</v>
      </c>
      <c r="O737" s="30">
        <v>104</v>
      </c>
      <c r="P737" s="30">
        <v>0</v>
      </c>
      <c r="Q737" s="30">
        <v>4</v>
      </c>
      <c r="R737" s="30">
        <v>10</v>
      </c>
      <c r="AI737" s="30">
        <v>104</v>
      </c>
      <c r="AJ737" s="30">
        <v>6</v>
      </c>
      <c r="AK737" s="30">
        <v>4</v>
      </c>
      <c r="AL737" s="30">
        <v>6</v>
      </c>
    </row>
    <row r="738" spans="1:38" x14ac:dyDescent="0.3">
      <c r="A738" s="30">
        <v>105</v>
      </c>
      <c r="B738" s="30">
        <v>5</v>
      </c>
      <c r="C738" s="30">
        <v>9</v>
      </c>
      <c r="D738" s="30">
        <v>9</v>
      </c>
      <c r="O738" s="30">
        <v>105</v>
      </c>
      <c r="P738" s="30">
        <v>1</v>
      </c>
      <c r="Q738" s="30">
        <v>3</v>
      </c>
      <c r="R738" s="30">
        <v>11</v>
      </c>
      <c r="AI738" s="30">
        <v>105</v>
      </c>
      <c r="AJ738" s="30">
        <v>7</v>
      </c>
      <c r="AK738" s="30">
        <v>5</v>
      </c>
      <c r="AL738" s="30">
        <v>5</v>
      </c>
    </row>
    <row r="739" spans="1:38" x14ac:dyDescent="0.3">
      <c r="A739" s="30">
        <v>106</v>
      </c>
      <c r="B739" s="30">
        <v>6</v>
      </c>
      <c r="C739" s="30">
        <v>10</v>
      </c>
      <c r="D739" s="30">
        <v>8</v>
      </c>
      <c r="O739" s="30">
        <v>106</v>
      </c>
      <c r="P739" s="30">
        <v>2</v>
      </c>
      <c r="Q739" s="30">
        <v>2</v>
      </c>
      <c r="R739" s="30">
        <v>12</v>
      </c>
      <c r="AI739" s="30">
        <v>106</v>
      </c>
      <c r="AJ739" s="30">
        <v>8</v>
      </c>
      <c r="AK739" s="30">
        <v>4</v>
      </c>
      <c r="AL739" s="30">
        <v>4</v>
      </c>
    </row>
    <row r="740" spans="1:38" x14ac:dyDescent="0.3">
      <c r="A740" s="30">
        <v>107</v>
      </c>
      <c r="B740" s="30">
        <v>5</v>
      </c>
      <c r="C740" s="30">
        <v>9</v>
      </c>
      <c r="D740" s="30">
        <v>9</v>
      </c>
      <c r="O740" s="30">
        <v>107</v>
      </c>
      <c r="P740" s="30">
        <v>1</v>
      </c>
      <c r="Q740" s="30">
        <v>1</v>
      </c>
      <c r="R740" s="30">
        <v>13</v>
      </c>
      <c r="AI740" s="30">
        <v>107</v>
      </c>
      <c r="AJ740" s="30">
        <v>7</v>
      </c>
      <c r="AK740" s="30">
        <v>5</v>
      </c>
      <c r="AL740" s="30">
        <v>3</v>
      </c>
    </row>
    <row r="741" spans="1:38" x14ac:dyDescent="0.3">
      <c r="A741" s="30">
        <v>108</v>
      </c>
      <c r="B741" s="30">
        <v>4</v>
      </c>
      <c r="C741" s="30">
        <v>10</v>
      </c>
      <c r="D741" s="30">
        <v>8</v>
      </c>
      <c r="O741" s="30">
        <v>108</v>
      </c>
      <c r="P741" s="30">
        <v>2</v>
      </c>
      <c r="Q741" s="30">
        <v>0</v>
      </c>
      <c r="R741" s="30">
        <v>12</v>
      </c>
      <c r="AI741" s="30">
        <v>108</v>
      </c>
      <c r="AJ741" s="30">
        <v>8</v>
      </c>
      <c r="AK741" s="30">
        <v>6</v>
      </c>
      <c r="AL741" s="30">
        <v>2</v>
      </c>
    </row>
    <row r="742" spans="1:38" x14ac:dyDescent="0.3">
      <c r="A742" s="30">
        <v>109</v>
      </c>
      <c r="B742" s="30">
        <v>3</v>
      </c>
      <c r="C742" s="30">
        <v>11</v>
      </c>
      <c r="D742" s="30">
        <v>7</v>
      </c>
      <c r="O742" s="30">
        <v>109</v>
      </c>
      <c r="P742" s="30">
        <v>1</v>
      </c>
      <c r="Q742" s="30">
        <v>1</v>
      </c>
      <c r="R742" s="30">
        <v>11</v>
      </c>
      <c r="AI742" s="30">
        <v>109</v>
      </c>
      <c r="AJ742" s="30">
        <v>7</v>
      </c>
      <c r="AK742" s="30">
        <v>5</v>
      </c>
      <c r="AL742" s="30">
        <v>1</v>
      </c>
    </row>
    <row r="743" spans="1:38" x14ac:dyDescent="0.3">
      <c r="A743" s="30">
        <v>110</v>
      </c>
      <c r="B743" s="30">
        <v>2</v>
      </c>
      <c r="C743" s="30">
        <v>10</v>
      </c>
      <c r="D743" s="30">
        <v>8</v>
      </c>
      <c r="O743" s="30">
        <v>110</v>
      </c>
      <c r="P743" s="30">
        <v>2</v>
      </c>
      <c r="Q743" s="30">
        <v>0</v>
      </c>
      <c r="R743" s="30">
        <v>10</v>
      </c>
      <c r="AI743" s="30">
        <v>110</v>
      </c>
      <c r="AJ743" s="30">
        <v>6</v>
      </c>
      <c r="AK743" s="30">
        <v>4</v>
      </c>
      <c r="AL743" s="30">
        <v>0</v>
      </c>
    </row>
    <row r="744" spans="1:38" x14ac:dyDescent="0.3">
      <c r="A744" s="30">
        <v>111</v>
      </c>
      <c r="B744" s="30">
        <v>1</v>
      </c>
      <c r="C744" s="30">
        <v>11</v>
      </c>
      <c r="D744" s="30">
        <v>7</v>
      </c>
      <c r="O744" s="30">
        <v>111</v>
      </c>
      <c r="P744" s="30">
        <v>1</v>
      </c>
      <c r="Q744" s="30">
        <v>1</v>
      </c>
      <c r="R744" s="30">
        <v>9</v>
      </c>
      <c r="AI744" s="30">
        <v>111</v>
      </c>
      <c r="AJ744" s="30">
        <v>5</v>
      </c>
      <c r="AK744" s="30">
        <v>5</v>
      </c>
      <c r="AL744" s="30">
        <v>1</v>
      </c>
    </row>
    <row r="745" spans="1:38" x14ac:dyDescent="0.3">
      <c r="A745" s="30">
        <v>112</v>
      </c>
      <c r="B745" s="30">
        <v>2</v>
      </c>
      <c r="C745" s="30">
        <v>12</v>
      </c>
      <c r="D745" s="30">
        <v>6</v>
      </c>
      <c r="O745" s="30">
        <v>112</v>
      </c>
      <c r="P745" s="30">
        <v>2</v>
      </c>
      <c r="Q745" s="30">
        <v>2</v>
      </c>
      <c r="R745" s="30">
        <v>10</v>
      </c>
      <c r="AI745" s="30">
        <v>112</v>
      </c>
      <c r="AJ745" s="30">
        <v>6</v>
      </c>
      <c r="AK745" s="30">
        <v>6</v>
      </c>
      <c r="AL745" s="30">
        <v>0</v>
      </c>
    </row>
    <row r="746" spans="1:38" x14ac:dyDescent="0.3">
      <c r="A746" s="30">
        <v>113</v>
      </c>
      <c r="B746" s="30">
        <v>3</v>
      </c>
      <c r="C746" s="30">
        <v>13</v>
      </c>
      <c r="D746" s="30">
        <v>5</v>
      </c>
      <c r="O746" s="30">
        <v>113</v>
      </c>
      <c r="P746" s="30">
        <v>3</v>
      </c>
      <c r="Q746" s="30">
        <v>1</v>
      </c>
      <c r="R746" s="30">
        <v>9</v>
      </c>
      <c r="AI746" s="30">
        <v>113</v>
      </c>
      <c r="AJ746" s="30">
        <v>5</v>
      </c>
      <c r="AK746" s="30">
        <v>5</v>
      </c>
      <c r="AL746" s="30">
        <v>1</v>
      </c>
    </row>
    <row r="747" spans="1:38" x14ac:dyDescent="0.3">
      <c r="A747" s="30">
        <v>114</v>
      </c>
      <c r="B747" s="30">
        <v>2</v>
      </c>
      <c r="C747" s="30">
        <v>14</v>
      </c>
      <c r="D747" s="30">
        <v>6</v>
      </c>
      <c r="O747" s="30">
        <v>114</v>
      </c>
      <c r="P747" s="30">
        <v>2</v>
      </c>
      <c r="Q747" s="30">
        <v>0</v>
      </c>
      <c r="R747" s="30">
        <v>10</v>
      </c>
      <c r="AI747" s="30">
        <v>114</v>
      </c>
      <c r="AJ747" s="30">
        <v>6</v>
      </c>
      <c r="AK747" s="30">
        <v>4</v>
      </c>
      <c r="AL747" s="30">
        <v>0</v>
      </c>
    </row>
    <row r="748" spans="1:38" x14ac:dyDescent="0.3">
      <c r="A748" s="30">
        <v>115</v>
      </c>
      <c r="B748" s="30">
        <v>3</v>
      </c>
      <c r="C748" s="30">
        <v>15</v>
      </c>
      <c r="D748" s="30">
        <v>5</v>
      </c>
      <c r="O748" s="30">
        <v>115</v>
      </c>
      <c r="P748" s="30">
        <v>1</v>
      </c>
      <c r="Q748" s="30">
        <v>1</v>
      </c>
      <c r="R748" s="30">
        <v>11</v>
      </c>
      <c r="AI748" s="30">
        <v>115</v>
      </c>
      <c r="AJ748" s="30">
        <v>5</v>
      </c>
      <c r="AK748" s="30">
        <v>3</v>
      </c>
      <c r="AL748" s="30">
        <v>1</v>
      </c>
    </row>
    <row r="749" spans="1:38" x14ac:dyDescent="0.3">
      <c r="A749" s="30">
        <v>116</v>
      </c>
      <c r="B749" s="30">
        <v>4</v>
      </c>
      <c r="C749" s="30">
        <v>16</v>
      </c>
      <c r="D749" s="30">
        <v>6</v>
      </c>
      <c r="O749" s="30">
        <v>116</v>
      </c>
      <c r="P749" s="30">
        <v>2</v>
      </c>
      <c r="Q749" s="30">
        <v>0</v>
      </c>
      <c r="R749" s="30">
        <v>10</v>
      </c>
      <c r="AI749" s="30">
        <v>116</v>
      </c>
      <c r="AJ749" s="30">
        <v>4</v>
      </c>
      <c r="AK749" s="30">
        <v>2</v>
      </c>
      <c r="AL749" s="30">
        <v>2</v>
      </c>
    </row>
    <row r="750" spans="1:38" x14ac:dyDescent="0.3">
      <c r="A750" s="30">
        <v>117</v>
      </c>
      <c r="B750" s="30">
        <v>5</v>
      </c>
      <c r="C750" s="30">
        <v>15</v>
      </c>
      <c r="D750" s="30">
        <v>5</v>
      </c>
      <c r="O750" s="30">
        <v>117</v>
      </c>
      <c r="P750" s="30">
        <v>1</v>
      </c>
      <c r="Q750" s="30">
        <v>1</v>
      </c>
      <c r="R750" s="30">
        <v>11</v>
      </c>
      <c r="AI750" s="30">
        <v>117</v>
      </c>
      <c r="AJ750" s="30">
        <v>5</v>
      </c>
      <c r="AK750" s="30">
        <v>1</v>
      </c>
      <c r="AL750" s="30">
        <v>3</v>
      </c>
    </row>
    <row r="751" spans="1:38" x14ac:dyDescent="0.3">
      <c r="A751" s="30">
        <v>118</v>
      </c>
      <c r="B751" s="30">
        <v>6</v>
      </c>
      <c r="C751" s="30">
        <v>16</v>
      </c>
      <c r="D751" s="30">
        <v>6</v>
      </c>
      <c r="O751" s="30">
        <v>118</v>
      </c>
      <c r="P751" s="30">
        <v>2</v>
      </c>
      <c r="Q751" s="30">
        <v>0</v>
      </c>
      <c r="R751" s="30">
        <v>12</v>
      </c>
      <c r="AI751" s="30">
        <v>118</v>
      </c>
      <c r="AJ751" s="30">
        <v>6</v>
      </c>
      <c r="AK751" s="30">
        <v>0</v>
      </c>
      <c r="AL751" s="30">
        <v>2</v>
      </c>
    </row>
    <row r="752" spans="1:38" x14ac:dyDescent="0.3">
      <c r="A752" s="30">
        <v>119</v>
      </c>
      <c r="B752" s="30">
        <v>7</v>
      </c>
      <c r="C752" s="30">
        <v>15</v>
      </c>
      <c r="D752" s="30">
        <v>7</v>
      </c>
      <c r="O752" s="30">
        <v>119</v>
      </c>
      <c r="P752" s="30">
        <v>1</v>
      </c>
      <c r="Q752" s="30">
        <v>1</v>
      </c>
      <c r="R752" s="30">
        <v>11</v>
      </c>
      <c r="AI752" s="30">
        <v>119</v>
      </c>
      <c r="AJ752" s="30">
        <v>5</v>
      </c>
      <c r="AK752" s="30">
        <v>1</v>
      </c>
      <c r="AL752" s="30">
        <v>1</v>
      </c>
    </row>
    <row r="753" spans="1:38" x14ac:dyDescent="0.3">
      <c r="A753" s="30">
        <v>120</v>
      </c>
      <c r="B753" s="30">
        <v>8</v>
      </c>
      <c r="C753" s="30">
        <v>14</v>
      </c>
      <c r="D753" s="30">
        <v>8</v>
      </c>
      <c r="O753" s="30">
        <v>120</v>
      </c>
      <c r="P753" s="30">
        <v>2</v>
      </c>
      <c r="Q753" s="30">
        <v>2</v>
      </c>
      <c r="R753" s="30">
        <v>10</v>
      </c>
      <c r="AI753" s="30">
        <v>120</v>
      </c>
      <c r="AJ753" s="30">
        <v>4</v>
      </c>
      <c r="AK753" s="30">
        <v>2</v>
      </c>
      <c r="AL753" s="30">
        <v>2</v>
      </c>
    </row>
    <row r="754" spans="1:38" x14ac:dyDescent="0.3">
      <c r="A754" s="30">
        <v>121</v>
      </c>
      <c r="B754" s="30">
        <v>9</v>
      </c>
      <c r="C754" s="30">
        <v>13</v>
      </c>
      <c r="D754" s="30">
        <v>9</v>
      </c>
      <c r="O754" s="30">
        <v>121</v>
      </c>
      <c r="P754" s="30">
        <v>1</v>
      </c>
      <c r="Q754" s="30">
        <v>3</v>
      </c>
      <c r="R754" s="30">
        <v>11</v>
      </c>
      <c r="AI754" s="30">
        <v>121</v>
      </c>
      <c r="AJ754" s="30">
        <v>5</v>
      </c>
      <c r="AK754" s="30">
        <v>1</v>
      </c>
      <c r="AL754" s="30">
        <v>1</v>
      </c>
    </row>
    <row r="755" spans="1:38" x14ac:dyDescent="0.3">
      <c r="A755" s="30">
        <v>122</v>
      </c>
      <c r="B755" s="30">
        <v>10</v>
      </c>
      <c r="C755" s="30">
        <v>12</v>
      </c>
      <c r="D755" s="30">
        <v>8</v>
      </c>
      <c r="O755" s="30">
        <v>122</v>
      </c>
      <c r="P755" s="30">
        <v>2</v>
      </c>
      <c r="Q755" s="30">
        <v>4</v>
      </c>
      <c r="R755" s="30">
        <v>10</v>
      </c>
      <c r="AI755" s="30">
        <v>122</v>
      </c>
      <c r="AJ755" s="30">
        <v>4</v>
      </c>
      <c r="AK755" s="30">
        <v>0</v>
      </c>
      <c r="AL755" s="30">
        <v>0</v>
      </c>
    </row>
    <row r="756" spans="1:38" x14ac:dyDescent="0.3">
      <c r="A756" s="30">
        <v>123</v>
      </c>
      <c r="B756" s="30">
        <v>11</v>
      </c>
      <c r="C756" s="30">
        <v>13</v>
      </c>
      <c r="D756" s="30">
        <v>9</v>
      </c>
      <c r="O756" s="30">
        <v>123</v>
      </c>
      <c r="P756" s="30">
        <v>1</v>
      </c>
      <c r="Q756" s="30">
        <v>3</v>
      </c>
      <c r="R756" s="30">
        <v>9</v>
      </c>
      <c r="AI756" s="30">
        <v>123</v>
      </c>
      <c r="AJ756" s="30">
        <v>5</v>
      </c>
      <c r="AK756" s="30">
        <v>1</v>
      </c>
      <c r="AL756" s="30">
        <v>1</v>
      </c>
    </row>
    <row r="757" spans="1:38" x14ac:dyDescent="0.3">
      <c r="A757" s="30">
        <v>124</v>
      </c>
      <c r="B757" s="30">
        <v>10</v>
      </c>
      <c r="C757" s="30">
        <v>14</v>
      </c>
      <c r="D757" s="30">
        <v>10</v>
      </c>
      <c r="O757" s="30">
        <v>124</v>
      </c>
      <c r="P757" s="30">
        <v>2</v>
      </c>
      <c r="Q757" s="30">
        <v>4</v>
      </c>
      <c r="R757" s="30">
        <v>8</v>
      </c>
      <c r="AI757" s="30">
        <v>124</v>
      </c>
      <c r="AJ757" s="30">
        <v>4</v>
      </c>
      <c r="AK757" s="30">
        <v>0</v>
      </c>
      <c r="AL757" s="30">
        <v>0</v>
      </c>
    </row>
    <row r="758" spans="1:38" x14ac:dyDescent="0.3">
      <c r="A758" s="30">
        <v>125</v>
      </c>
      <c r="B758" s="30">
        <v>11</v>
      </c>
      <c r="C758" s="30">
        <v>15</v>
      </c>
      <c r="D758" s="30">
        <v>11</v>
      </c>
      <c r="O758" s="30">
        <v>125</v>
      </c>
      <c r="P758" s="30">
        <v>3</v>
      </c>
      <c r="Q758" s="30">
        <v>3</v>
      </c>
      <c r="R758" s="30">
        <v>9</v>
      </c>
      <c r="AI758" s="30">
        <v>125</v>
      </c>
      <c r="AJ758" s="30">
        <v>5</v>
      </c>
      <c r="AK758" s="30">
        <v>1</v>
      </c>
      <c r="AL758" s="30">
        <v>1</v>
      </c>
    </row>
    <row r="759" spans="1:38" x14ac:dyDescent="0.3">
      <c r="A759" s="30">
        <v>126</v>
      </c>
      <c r="B759" s="30">
        <v>12</v>
      </c>
      <c r="C759" s="30">
        <v>14</v>
      </c>
      <c r="D759" s="30">
        <v>10</v>
      </c>
      <c r="O759" s="30">
        <v>126</v>
      </c>
      <c r="P759" s="30">
        <v>4</v>
      </c>
      <c r="Q759" s="30">
        <v>4</v>
      </c>
      <c r="R759" s="30">
        <v>10</v>
      </c>
      <c r="AI759" s="30">
        <v>126</v>
      </c>
      <c r="AJ759" s="30">
        <v>6</v>
      </c>
      <c r="AK759" s="30">
        <v>0</v>
      </c>
      <c r="AL759" s="30">
        <v>0</v>
      </c>
    </row>
    <row r="760" spans="1:38" x14ac:dyDescent="0.3">
      <c r="A760" s="30">
        <v>127</v>
      </c>
      <c r="B760" s="30">
        <v>11</v>
      </c>
      <c r="C760" s="30">
        <v>15</v>
      </c>
      <c r="D760" s="30">
        <v>11</v>
      </c>
      <c r="O760" s="30">
        <v>127</v>
      </c>
      <c r="P760" s="30">
        <v>5</v>
      </c>
      <c r="Q760" s="30">
        <v>5</v>
      </c>
      <c r="R760" s="30">
        <v>11</v>
      </c>
      <c r="AI760" s="30">
        <v>127</v>
      </c>
      <c r="AJ760" s="30">
        <v>7</v>
      </c>
      <c r="AK760" s="30">
        <v>1</v>
      </c>
      <c r="AL760" s="30">
        <v>1</v>
      </c>
    </row>
    <row r="761" spans="1:38" x14ac:dyDescent="0.3">
      <c r="A761" s="30">
        <v>128</v>
      </c>
      <c r="B761" s="30">
        <v>10</v>
      </c>
      <c r="C761" s="30">
        <v>14</v>
      </c>
      <c r="D761" s="30">
        <v>10</v>
      </c>
      <c r="O761" s="30">
        <v>128</v>
      </c>
      <c r="P761" s="30">
        <v>4</v>
      </c>
      <c r="Q761" s="30">
        <v>4</v>
      </c>
      <c r="R761" s="30">
        <v>10</v>
      </c>
      <c r="AI761" s="30">
        <v>128</v>
      </c>
      <c r="AJ761" s="30">
        <v>6</v>
      </c>
      <c r="AK761" s="30">
        <v>0</v>
      </c>
      <c r="AL761" s="30">
        <v>2</v>
      </c>
    </row>
    <row r="762" spans="1:38" x14ac:dyDescent="0.3">
      <c r="A762" s="30">
        <v>129</v>
      </c>
      <c r="B762" s="30">
        <v>11</v>
      </c>
      <c r="C762" s="30">
        <v>15</v>
      </c>
      <c r="D762" s="30">
        <v>9</v>
      </c>
      <c r="O762" s="30">
        <v>129</v>
      </c>
      <c r="P762" s="30">
        <v>3</v>
      </c>
      <c r="Q762" s="30">
        <v>3</v>
      </c>
      <c r="R762" s="30">
        <v>9</v>
      </c>
      <c r="AI762" s="30">
        <v>129</v>
      </c>
      <c r="AJ762" s="30">
        <v>7</v>
      </c>
      <c r="AK762" s="30">
        <v>1</v>
      </c>
      <c r="AL762" s="30">
        <v>1</v>
      </c>
    </row>
    <row r="763" spans="1:38" x14ac:dyDescent="0.3">
      <c r="A763" s="30">
        <v>130</v>
      </c>
      <c r="B763" s="30">
        <v>10</v>
      </c>
      <c r="C763" s="30">
        <v>16</v>
      </c>
      <c r="D763" s="30">
        <v>10</v>
      </c>
      <c r="O763" s="30">
        <v>130</v>
      </c>
      <c r="P763" s="30">
        <v>2</v>
      </c>
      <c r="Q763" s="30">
        <v>4</v>
      </c>
      <c r="R763" s="30">
        <v>8</v>
      </c>
      <c r="AI763" s="30">
        <v>130</v>
      </c>
      <c r="AJ763" s="30">
        <v>6</v>
      </c>
      <c r="AK763" s="30">
        <v>0</v>
      </c>
      <c r="AL763" s="30">
        <v>0</v>
      </c>
    </row>
    <row r="764" spans="1:38" x14ac:dyDescent="0.3">
      <c r="A764" s="30">
        <v>131</v>
      </c>
      <c r="B764" s="30">
        <v>11</v>
      </c>
      <c r="C764" s="30">
        <v>17</v>
      </c>
      <c r="D764" s="30">
        <v>11</v>
      </c>
      <c r="O764" s="30">
        <v>131</v>
      </c>
      <c r="P764" s="30">
        <v>1</v>
      </c>
      <c r="Q764" s="30">
        <v>3</v>
      </c>
      <c r="R764" s="30">
        <v>9</v>
      </c>
      <c r="AI764" s="30">
        <v>131</v>
      </c>
      <c r="AJ764" s="30">
        <v>5</v>
      </c>
      <c r="AK764" s="30">
        <v>1</v>
      </c>
      <c r="AL764" s="30">
        <v>1</v>
      </c>
    </row>
    <row r="765" spans="1:38" x14ac:dyDescent="0.3">
      <c r="A765" s="30">
        <v>132</v>
      </c>
      <c r="B765" s="30">
        <v>12</v>
      </c>
      <c r="C765" s="30">
        <v>18</v>
      </c>
      <c r="D765" s="30">
        <v>12</v>
      </c>
      <c r="O765" s="30">
        <v>132</v>
      </c>
      <c r="P765" s="30">
        <v>2</v>
      </c>
      <c r="Q765" s="30">
        <v>4</v>
      </c>
      <c r="R765" s="30">
        <v>10</v>
      </c>
      <c r="AI765" s="30">
        <v>132</v>
      </c>
      <c r="AJ765" s="30">
        <v>4</v>
      </c>
      <c r="AK765" s="30">
        <v>0</v>
      </c>
      <c r="AL765" s="30">
        <v>2</v>
      </c>
    </row>
    <row r="766" spans="1:38" x14ac:dyDescent="0.3">
      <c r="A766" s="30">
        <v>133</v>
      </c>
      <c r="B766" s="30">
        <v>11</v>
      </c>
      <c r="C766" s="30">
        <v>19</v>
      </c>
      <c r="D766" s="30">
        <v>13</v>
      </c>
      <c r="O766" s="30">
        <v>133</v>
      </c>
      <c r="P766" s="30">
        <v>3</v>
      </c>
      <c r="Q766" s="30">
        <v>5</v>
      </c>
      <c r="R766" s="30">
        <v>11</v>
      </c>
      <c r="AI766" s="30">
        <v>133</v>
      </c>
      <c r="AJ766" s="30">
        <v>5</v>
      </c>
      <c r="AK766" s="30">
        <v>1</v>
      </c>
      <c r="AL766" s="30">
        <v>1</v>
      </c>
    </row>
    <row r="767" spans="1:38" x14ac:dyDescent="0.3">
      <c r="A767" s="30">
        <v>134</v>
      </c>
      <c r="B767" s="30">
        <v>12</v>
      </c>
      <c r="C767" s="30">
        <v>20</v>
      </c>
      <c r="D767" s="30">
        <v>14</v>
      </c>
      <c r="O767" s="30">
        <v>134</v>
      </c>
      <c r="P767" s="30">
        <v>4</v>
      </c>
      <c r="Q767" s="30">
        <v>6</v>
      </c>
      <c r="R767" s="30">
        <v>10</v>
      </c>
      <c r="AI767" s="30">
        <v>134</v>
      </c>
      <c r="AJ767" s="30">
        <v>6</v>
      </c>
      <c r="AK767" s="30">
        <v>0</v>
      </c>
      <c r="AL767" s="30">
        <v>2</v>
      </c>
    </row>
    <row r="768" spans="1:38" x14ac:dyDescent="0.3">
      <c r="A768" s="30">
        <v>135</v>
      </c>
      <c r="B768" s="30">
        <v>13</v>
      </c>
      <c r="C768" s="30">
        <v>21</v>
      </c>
      <c r="D768" s="30">
        <v>15</v>
      </c>
      <c r="O768" s="30">
        <v>135</v>
      </c>
      <c r="P768" s="30">
        <v>3</v>
      </c>
      <c r="Q768" s="30">
        <v>7</v>
      </c>
      <c r="R768" s="30">
        <v>9</v>
      </c>
      <c r="AI768" s="30">
        <v>135</v>
      </c>
      <c r="AJ768" s="30">
        <v>5</v>
      </c>
      <c r="AK768" s="30">
        <v>1</v>
      </c>
      <c r="AL768" s="30">
        <v>3</v>
      </c>
    </row>
    <row r="769" spans="1:38" x14ac:dyDescent="0.3">
      <c r="A769" s="30">
        <v>136</v>
      </c>
      <c r="B769" s="30">
        <v>14</v>
      </c>
      <c r="C769" s="30">
        <v>22</v>
      </c>
      <c r="D769" s="30">
        <v>16</v>
      </c>
      <c r="O769" s="30">
        <v>136</v>
      </c>
      <c r="P769" s="30">
        <v>2</v>
      </c>
      <c r="Q769" s="30">
        <v>6</v>
      </c>
      <c r="R769" s="30">
        <v>8</v>
      </c>
      <c r="AI769" s="30">
        <v>136</v>
      </c>
      <c r="AJ769" s="30">
        <v>6</v>
      </c>
      <c r="AK769" s="30">
        <v>0</v>
      </c>
      <c r="AL769" s="30">
        <v>4</v>
      </c>
    </row>
    <row r="770" spans="1:38" x14ac:dyDescent="0.3">
      <c r="A770" s="30">
        <v>137</v>
      </c>
      <c r="B770" s="30">
        <v>15</v>
      </c>
      <c r="C770" s="30">
        <v>23</v>
      </c>
      <c r="D770" s="30">
        <v>17</v>
      </c>
      <c r="O770" s="30">
        <v>137</v>
      </c>
      <c r="P770" s="30">
        <v>1</v>
      </c>
      <c r="Q770" s="30">
        <v>5</v>
      </c>
      <c r="R770" s="30">
        <v>7</v>
      </c>
      <c r="AI770" s="30">
        <v>137</v>
      </c>
      <c r="AJ770" s="30">
        <v>5</v>
      </c>
      <c r="AK770" s="30">
        <v>1</v>
      </c>
      <c r="AL770" s="30">
        <v>3</v>
      </c>
    </row>
    <row r="771" spans="1:38" x14ac:dyDescent="0.3">
      <c r="A771" s="30">
        <v>138</v>
      </c>
      <c r="B771" s="30">
        <v>16</v>
      </c>
      <c r="C771" s="30">
        <v>24</v>
      </c>
      <c r="D771" s="30">
        <v>18</v>
      </c>
      <c r="O771" s="30">
        <v>138</v>
      </c>
      <c r="P771" s="30">
        <v>0</v>
      </c>
      <c r="Q771" s="30">
        <v>4</v>
      </c>
      <c r="R771" s="30">
        <v>6</v>
      </c>
      <c r="AI771" s="30">
        <v>138</v>
      </c>
      <c r="AJ771" s="30">
        <v>4</v>
      </c>
      <c r="AK771" s="30">
        <v>0</v>
      </c>
      <c r="AL771" s="30">
        <v>4</v>
      </c>
    </row>
    <row r="772" spans="1:38" x14ac:dyDescent="0.3">
      <c r="A772" s="30">
        <v>139</v>
      </c>
      <c r="B772" s="30">
        <v>17</v>
      </c>
      <c r="C772" s="30">
        <v>25</v>
      </c>
      <c r="D772" s="30">
        <v>19</v>
      </c>
      <c r="O772" s="30">
        <v>139</v>
      </c>
      <c r="P772" s="30">
        <v>1</v>
      </c>
      <c r="Q772" s="30">
        <v>5</v>
      </c>
      <c r="R772" s="30">
        <v>5</v>
      </c>
      <c r="AI772" s="30">
        <v>139</v>
      </c>
      <c r="AJ772" s="30">
        <v>5</v>
      </c>
      <c r="AK772" s="30">
        <v>1</v>
      </c>
      <c r="AL772" s="30">
        <v>5</v>
      </c>
    </row>
    <row r="773" spans="1:38" x14ac:dyDescent="0.3">
      <c r="A773" s="30">
        <v>140</v>
      </c>
      <c r="B773" s="30">
        <v>18</v>
      </c>
      <c r="C773" s="30">
        <v>24</v>
      </c>
      <c r="D773" s="30">
        <v>20</v>
      </c>
      <c r="O773" s="30">
        <v>140</v>
      </c>
      <c r="P773" s="30">
        <v>0</v>
      </c>
      <c r="Q773" s="30">
        <v>6</v>
      </c>
      <c r="R773" s="30">
        <v>6</v>
      </c>
      <c r="AI773" s="30">
        <v>140</v>
      </c>
      <c r="AJ773" s="30">
        <v>4</v>
      </c>
      <c r="AK773" s="30">
        <v>2</v>
      </c>
      <c r="AL773" s="30">
        <v>4</v>
      </c>
    </row>
    <row r="774" spans="1:38" x14ac:dyDescent="0.3">
      <c r="A774" s="30">
        <v>141</v>
      </c>
      <c r="B774" s="30">
        <v>17</v>
      </c>
      <c r="C774" s="30">
        <v>23</v>
      </c>
      <c r="D774" s="30">
        <v>21</v>
      </c>
      <c r="O774" s="30">
        <v>141</v>
      </c>
      <c r="P774" s="30">
        <v>1</v>
      </c>
      <c r="Q774" s="30">
        <v>5</v>
      </c>
      <c r="R774" s="30">
        <v>7</v>
      </c>
      <c r="AI774" s="30">
        <v>141</v>
      </c>
      <c r="AJ774" s="30">
        <v>5</v>
      </c>
      <c r="AK774" s="30">
        <v>1</v>
      </c>
      <c r="AL774" s="30">
        <v>3</v>
      </c>
    </row>
    <row r="775" spans="1:38" x14ac:dyDescent="0.3">
      <c r="A775" s="30">
        <v>142</v>
      </c>
      <c r="B775" s="30">
        <v>16</v>
      </c>
      <c r="C775" s="30">
        <v>22</v>
      </c>
      <c r="D775" s="30">
        <v>22</v>
      </c>
      <c r="O775" s="30">
        <v>142</v>
      </c>
      <c r="P775" s="30">
        <v>2</v>
      </c>
      <c r="Q775" s="30">
        <v>4</v>
      </c>
      <c r="R775" s="30">
        <v>6</v>
      </c>
      <c r="AI775" s="30">
        <v>142</v>
      </c>
      <c r="AJ775" s="30">
        <v>6</v>
      </c>
      <c r="AK775" s="30">
        <v>2</v>
      </c>
      <c r="AL775" s="30">
        <v>2</v>
      </c>
    </row>
    <row r="776" spans="1:38" x14ac:dyDescent="0.3">
      <c r="A776" s="30">
        <v>143</v>
      </c>
      <c r="B776" s="30">
        <v>17</v>
      </c>
      <c r="C776" s="30">
        <v>23</v>
      </c>
      <c r="D776" s="30">
        <v>21</v>
      </c>
      <c r="O776" s="30">
        <v>143</v>
      </c>
      <c r="P776" s="30">
        <v>3</v>
      </c>
      <c r="Q776" s="30">
        <v>3</v>
      </c>
      <c r="R776" s="30">
        <v>7</v>
      </c>
      <c r="AI776" s="30">
        <v>143</v>
      </c>
      <c r="AJ776" s="30">
        <v>7</v>
      </c>
      <c r="AK776" s="30">
        <v>1</v>
      </c>
      <c r="AL776" s="30">
        <v>1</v>
      </c>
    </row>
    <row r="777" spans="1:38" x14ac:dyDescent="0.3">
      <c r="A777" s="30">
        <v>144</v>
      </c>
      <c r="B777" s="30">
        <v>16</v>
      </c>
      <c r="C777" s="30">
        <v>24</v>
      </c>
      <c r="D777" s="30">
        <v>20</v>
      </c>
      <c r="O777" s="30">
        <v>144</v>
      </c>
      <c r="P777" s="30">
        <v>4</v>
      </c>
      <c r="Q777" s="30">
        <v>4</v>
      </c>
      <c r="R777" s="30">
        <v>6</v>
      </c>
      <c r="AI777" s="30">
        <v>144</v>
      </c>
      <c r="AJ777" s="30">
        <v>8</v>
      </c>
      <c r="AK777" s="30">
        <v>0</v>
      </c>
      <c r="AL777" s="30">
        <v>2</v>
      </c>
    </row>
    <row r="778" spans="1:38" x14ac:dyDescent="0.3">
      <c r="A778" s="30">
        <v>145</v>
      </c>
      <c r="B778" s="30">
        <v>17</v>
      </c>
      <c r="C778" s="30">
        <v>23</v>
      </c>
      <c r="D778" s="30">
        <v>21</v>
      </c>
      <c r="O778" s="30">
        <v>145</v>
      </c>
      <c r="P778" s="30">
        <v>3</v>
      </c>
      <c r="Q778" s="30">
        <v>5</v>
      </c>
      <c r="R778" s="30">
        <v>7</v>
      </c>
      <c r="AI778" s="30">
        <v>145</v>
      </c>
      <c r="AJ778" s="30">
        <v>9</v>
      </c>
      <c r="AK778" s="30">
        <v>1</v>
      </c>
      <c r="AL778" s="30">
        <v>3</v>
      </c>
    </row>
    <row r="779" spans="1:38" x14ac:dyDescent="0.3">
      <c r="A779" s="30">
        <v>146</v>
      </c>
      <c r="B779" s="30">
        <v>18</v>
      </c>
      <c r="C779" s="30">
        <v>22</v>
      </c>
      <c r="D779" s="30">
        <v>20</v>
      </c>
      <c r="O779" s="30">
        <v>146</v>
      </c>
      <c r="P779" s="30">
        <v>4</v>
      </c>
      <c r="Q779" s="30">
        <v>4</v>
      </c>
      <c r="R779" s="30">
        <v>8</v>
      </c>
      <c r="AI779" s="30">
        <v>146</v>
      </c>
      <c r="AJ779" s="30">
        <v>8</v>
      </c>
      <c r="AK779" s="30">
        <v>0</v>
      </c>
      <c r="AL779" s="30">
        <v>4</v>
      </c>
    </row>
    <row r="780" spans="1:38" x14ac:dyDescent="0.3">
      <c r="A780" s="30">
        <v>147</v>
      </c>
      <c r="B780" s="30">
        <v>19</v>
      </c>
      <c r="C780" s="30">
        <v>21</v>
      </c>
      <c r="D780" s="30">
        <v>21</v>
      </c>
      <c r="O780" s="30">
        <v>147</v>
      </c>
      <c r="P780" s="30">
        <v>5</v>
      </c>
      <c r="Q780" s="30">
        <v>3</v>
      </c>
      <c r="R780" s="30">
        <v>9</v>
      </c>
      <c r="AI780" s="30">
        <v>147</v>
      </c>
      <c r="AJ780" s="30">
        <v>7</v>
      </c>
      <c r="AK780" s="30">
        <v>1</v>
      </c>
      <c r="AL780" s="30">
        <v>3</v>
      </c>
    </row>
    <row r="781" spans="1:38" x14ac:dyDescent="0.3">
      <c r="A781" s="30">
        <v>148</v>
      </c>
      <c r="B781" s="30">
        <v>18</v>
      </c>
      <c r="C781" s="30">
        <v>22</v>
      </c>
      <c r="D781" s="30">
        <v>20</v>
      </c>
      <c r="O781" s="30">
        <v>148</v>
      </c>
      <c r="P781" s="30">
        <v>4</v>
      </c>
      <c r="Q781" s="30">
        <v>4</v>
      </c>
      <c r="R781" s="30">
        <v>8</v>
      </c>
      <c r="AI781" s="30">
        <v>148</v>
      </c>
      <c r="AJ781" s="30">
        <v>8</v>
      </c>
      <c r="AK781" s="30">
        <v>2</v>
      </c>
      <c r="AL781" s="30">
        <v>2</v>
      </c>
    </row>
    <row r="782" spans="1:38" x14ac:dyDescent="0.3">
      <c r="A782" s="30">
        <v>149</v>
      </c>
      <c r="B782" s="30">
        <v>17</v>
      </c>
      <c r="C782" s="30">
        <v>21</v>
      </c>
      <c r="D782" s="30">
        <v>19</v>
      </c>
      <c r="O782" s="30">
        <v>149</v>
      </c>
      <c r="P782" s="30">
        <v>3</v>
      </c>
      <c r="Q782" s="30">
        <v>5</v>
      </c>
      <c r="R782" s="30">
        <v>7</v>
      </c>
      <c r="AI782" s="30">
        <v>149</v>
      </c>
      <c r="AJ782" s="30">
        <v>7</v>
      </c>
      <c r="AK782" s="30">
        <v>1</v>
      </c>
      <c r="AL782" s="30">
        <v>1</v>
      </c>
    </row>
    <row r="783" spans="1:38" x14ac:dyDescent="0.3">
      <c r="A783" s="30">
        <v>150</v>
      </c>
      <c r="B783" s="30">
        <v>16</v>
      </c>
      <c r="C783" s="30">
        <v>20</v>
      </c>
      <c r="D783" s="30">
        <v>20</v>
      </c>
      <c r="O783" s="30">
        <v>150</v>
      </c>
      <c r="P783" s="30">
        <v>4</v>
      </c>
      <c r="Q783" s="30">
        <v>4</v>
      </c>
      <c r="R783" s="30">
        <v>6</v>
      </c>
      <c r="AI783" s="30">
        <v>150</v>
      </c>
      <c r="AJ783" s="30">
        <v>8</v>
      </c>
      <c r="AK783" s="30">
        <v>0</v>
      </c>
      <c r="AL783" s="30">
        <v>2</v>
      </c>
    </row>
    <row r="784" spans="1:38" x14ac:dyDescent="0.3">
      <c r="A784" s="30">
        <v>151</v>
      </c>
      <c r="B784" s="30">
        <v>17</v>
      </c>
      <c r="C784" s="30">
        <v>21</v>
      </c>
      <c r="D784" s="30">
        <v>21</v>
      </c>
      <c r="O784" s="30">
        <v>151</v>
      </c>
      <c r="P784" s="30">
        <v>5</v>
      </c>
      <c r="Q784" s="30">
        <v>5</v>
      </c>
      <c r="R784" s="30">
        <v>7</v>
      </c>
      <c r="AI784" s="30">
        <v>151</v>
      </c>
      <c r="AJ784" s="30">
        <v>7</v>
      </c>
      <c r="AK784" s="30">
        <v>1</v>
      </c>
      <c r="AL784" s="30">
        <v>3</v>
      </c>
    </row>
    <row r="785" spans="1:38" x14ac:dyDescent="0.3">
      <c r="A785" s="30">
        <v>152</v>
      </c>
      <c r="B785" s="30">
        <v>18</v>
      </c>
      <c r="C785" s="30">
        <v>22</v>
      </c>
      <c r="D785" s="30">
        <v>20</v>
      </c>
      <c r="O785" s="30">
        <v>152</v>
      </c>
      <c r="P785" s="30">
        <v>4</v>
      </c>
      <c r="Q785" s="30">
        <v>6</v>
      </c>
      <c r="R785" s="30">
        <v>6</v>
      </c>
      <c r="AI785" s="30">
        <v>152</v>
      </c>
      <c r="AJ785" s="30">
        <v>8</v>
      </c>
      <c r="AK785" s="30">
        <v>0</v>
      </c>
      <c r="AL785" s="30">
        <v>2</v>
      </c>
    </row>
    <row r="786" spans="1:38" x14ac:dyDescent="0.3">
      <c r="A786" s="30">
        <v>153</v>
      </c>
      <c r="B786" s="30">
        <v>17</v>
      </c>
      <c r="C786" s="30">
        <v>23</v>
      </c>
      <c r="D786" s="30">
        <v>19</v>
      </c>
      <c r="O786" s="30">
        <v>153</v>
      </c>
      <c r="P786" s="30">
        <v>5</v>
      </c>
      <c r="Q786" s="30">
        <v>5</v>
      </c>
      <c r="R786" s="30">
        <v>5</v>
      </c>
      <c r="AI786" s="30">
        <v>153</v>
      </c>
      <c r="AJ786" s="30">
        <v>9</v>
      </c>
      <c r="AK786" s="30">
        <v>1</v>
      </c>
      <c r="AL786" s="30">
        <v>3</v>
      </c>
    </row>
    <row r="787" spans="1:38" x14ac:dyDescent="0.3">
      <c r="A787" s="30">
        <v>154</v>
      </c>
      <c r="B787" s="30">
        <v>16</v>
      </c>
      <c r="C787" s="30">
        <v>22</v>
      </c>
      <c r="D787" s="30">
        <v>18</v>
      </c>
      <c r="O787" s="30">
        <v>154</v>
      </c>
      <c r="P787" s="30">
        <v>4</v>
      </c>
      <c r="Q787" s="30">
        <v>4</v>
      </c>
      <c r="R787" s="30">
        <v>6</v>
      </c>
      <c r="AI787" s="30">
        <v>154</v>
      </c>
      <c r="AJ787" s="30">
        <v>10</v>
      </c>
      <c r="AK787" s="30">
        <v>0</v>
      </c>
      <c r="AL787" s="30">
        <v>4</v>
      </c>
    </row>
    <row r="788" spans="1:38" x14ac:dyDescent="0.3">
      <c r="A788" s="30">
        <v>155</v>
      </c>
      <c r="B788" s="30">
        <v>17</v>
      </c>
      <c r="C788" s="30">
        <v>21</v>
      </c>
      <c r="D788" s="30">
        <v>19</v>
      </c>
      <c r="O788" s="30">
        <v>155</v>
      </c>
      <c r="P788" s="30">
        <v>5</v>
      </c>
      <c r="Q788" s="30">
        <v>5</v>
      </c>
      <c r="R788" s="30">
        <v>5</v>
      </c>
      <c r="AI788" s="30">
        <v>155</v>
      </c>
      <c r="AJ788" s="30">
        <v>9</v>
      </c>
      <c r="AK788" s="30">
        <v>1</v>
      </c>
      <c r="AL788" s="30">
        <v>3</v>
      </c>
    </row>
    <row r="789" spans="1:38" x14ac:dyDescent="0.3">
      <c r="A789" s="30">
        <v>156</v>
      </c>
      <c r="B789" s="30">
        <v>18</v>
      </c>
      <c r="C789" s="30">
        <v>20</v>
      </c>
      <c r="D789" s="30">
        <v>20</v>
      </c>
      <c r="O789" s="30">
        <v>156</v>
      </c>
      <c r="P789" s="30">
        <v>4</v>
      </c>
      <c r="Q789" s="30">
        <v>6</v>
      </c>
      <c r="R789" s="30">
        <v>4</v>
      </c>
      <c r="AI789" s="30">
        <v>156</v>
      </c>
      <c r="AJ789" s="30">
        <v>10</v>
      </c>
      <c r="AK789" s="30">
        <v>0</v>
      </c>
      <c r="AL789" s="30">
        <v>2</v>
      </c>
    </row>
    <row r="790" spans="1:38" x14ac:dyDescent="0.3">
      <c r="A790" s="30">
        <v>157</v>
      </c>
      <c r="B790" s="30">
        <v>19</v>
      </c>
      <c r="C790" s="30">
        <v>19</v>
      </c>
      <c r="D790" s="30">
        <v>21</v>
      </c>
      <c r="O790" s="30">
        <v>157</v>
      </c>
      <c r="P790" s="30">
        <v>5</v>
      </c>
      <c r="Q790" s="30">
        <v>7</v>
      </c>
      <c r="R790" s="30">
        <v>5</v>
      </c>
      <c r="AI790" s="30">
        <v>157</v>
      </c>
      <c r="AJ790" s="30">
        <v>11</v>
      </c>
      <c r="AK790" s="30">
        <v>1</v>
      </c>
      <c r="AL790" s="30">
        <v>1</v>
      </c>
    </row>
    <row r="791" spans="1:38" x14ac:dyDescent="0.3">
      <c r="A791" s="30">
        <v>158</v>
      </c>
      <c r="B791" s="30">
        <v>20</v>
      </c>
      <c r="C791" s="30">
        <v>20</v>
      </c>
      <c r="D791" s="30">
        <v>22</v>
      </c>
      <c r="O791" s="30">
        <v>158</v>
      </c>
      <c r="P791" s="30">
        <v>6</v>
      </c>
      <c r="Q791" s="30">
        <v>8</v>
      </c>
      <c r="R791" s="30">
        <v>6</v>
      </c>
      <c r="AI791" s="30">
        <v>158</v>
      </c>
      <c r="AJ791" s="30">
        <v>12</v>
      </c>
      <c r="AK791" s="30">
        <v>0</v>
      </c>
      <c r="AL791" s="30">
        <v>0</v>
      </c>
    </row>
    <row r="792" spans="1:38" x14ac:dyDescent="0.3">
      <c r="A792" s="30">
        <v>159</v>
      </c>
      <c r="B792" s="30">
        <v>21</v>
      </c>
      <c r="C792" s="30">
        <v>21</v>
      </c>
      <c r="D792" s="30">
        <v>23</v>
      </c>
      <c r="O792" s="30">
        <v>159</v>
      </c>
      <c r="P792" s="30">
        <v>7</v>
      </c>
      <c r="Q792" s="30">
        <v>9</v>
      </c>
      <c r="R792" s="30">
        <v>5</v>
      </c>
      <c r="AI792" s="30">
        <v>159</v>
      </c>
      <c r="AJ792" s="30">
        <v>13</v>
      </c>
      <c r="AK792" s="30">
        <v>1</v>
      </c>
      <c r="AL792" s="30">
        <v>1</v>
      </c>
    </row>
    <row r="793" spans="1:38" x14ac:dyDescent="0.3">
      <c r="A793" s="30">
        <v>160</v>
      </c>
      <c r="B793" s="30">
        <v>20</v>
      </c>
      <c r="C793" s="30">
        <v>22</v>
      </c>
      <c r="D793" s="30">
        <v>22</v>
      </c>
      <c r="O793" s="30">
        <v>160</v>
      </c>
      <c r="P793" s="30">
        <v>8</v>
      </c>
      <c r="Q793" s="30">
        <v>10</v>
      </c>
      <c r="R793" s="30">
        <v>4</v>
      </c>
      <c r="AI793" s="30">
        <v>160</v>
      </c>
      <c r="AJ793" s="30">
        <v>12</v>
      </c>
      <c r="AK793" s="30">
        <v>2</v>
      </c>
      <c r="AL793" s="30">
        <v>2</v>
      </c>
    </row>
    <row r="794" spans="1:38" x14ac:dyDescent="0.3">
      <c r="A794" s="30">
        <v>161</v>
      </c>
      <c r="B794" s="30">
        <v>19</v>
      </c>
      <c r="C794" s="30">
        <v>21</v>
      </c>
      <c r="D794" s="30">
        <v>23</v>
      </c>
      <c r="O794" s="30">
        <v>161</v>
      </c>
      <c r="P794" s="30">
        <v>7</v>
      </c>
      <c r="Q794" s="30">
        <v>11</v>
      </c>
      <c r="R794" s="30">
        <v>3</v>
      </c>
      <c r="AI794" s="30">
        <v>161</v>
      </c>
      <c r="AJ794" s="30">
        <v>11</v>
      </c>
      <c r="AK794" s="30">
        <v>1</v>
      </c>
      <c r="AL794" s="30">
        <v>1</v>
      </c>
    </row>
    <row r="795" spans="1:38" x14ac:dyDescent="0.3">
      <c r="A795" s="30">
        <v>162</v>
      </c>
      <c r="B795" s="30">
        <v>18</v>
      </c>
      <c r="C795" s="30">
        <v>22</v>
      </c>
      <c r="D795" s="30">
        <v>24</v>
      </c>
      <c r="O795" s="30">
        <v>162</v>
      </c>
      <c r="P795" s="30">
        <v>6</v>
      </c>
      <c r="Q795" s="30">
        <v>10</v>
      </c>
      <c r="R795" s="30">
        <v>4</v>
      </c>
      <c r="AI795" s="30">
        <v>162</v>
      </c>
      <c r="AJ795" s="30">
        <v>12</v>
      </c>
      <c r="AK795" s="30">
        <v>0</v>
      </c>
      <c r="AL795" s="30">
        <v>2</v>
      </c>
    </row>
    <row r="796" spans="1:38" x14ac:dyDescent="0.3">
      <c r="A796" s="30">
        <v>163</v>
      </c>
      <c r="B796" s="30">
        <v>19</v>
      </c>
      <c r="C796" s="30">
        <v>21</v>
      </c>
      <c r="D796" s="30">
        <v>25</v>
      </c>
      <c r="O796" s="30">
        <v>163</v>
      </c>
      <c r="P796" s="30">
        <v>7</v>
      </c>
      <c r="Q796" s="30">
        <v>9</v>
      </c>
      <c r="R796" s="30">
        <v>3</v>
      </c>
      <c r="AI796" s="30">
        <v>163</v>
      </c>
      <c r="AJ796" s="30">
        <v>13</v>
      </c>
      <c r="AK796" s="30">
        <v>1</v>
      </c>
      <c r="AL796" s="30">
        <v>1</v>
      </c>
    </row>
    <row r="797" spans="1:38" x14ac:dyDescent="0.3">
      <c r="A797" s="30">
        <v>164</v>
      </c>
      <c r="B797" s="30">
        <v>18</v>
      </c>
      <c r="C797" s="30">
        <v>20</v>
      </c>
      <c r="D797" s="30">
        <v>24</v>
      </c>
      <c r="O797" s="30">
        <v>164</v>
      </c>
      <c r="P797" s="30">
        <v>8</v>
      </c>
      <c r="Q797" s="30">
        <v>10</v>
      </c>
      <c r="R797" s="30">
        <v>4</v>
      </c>
      <c r="AI797" s="30">
        <v>164</v>
      </c>
      <c r="AJ797" s="30">
        <v>12</v>
      </c>
      <c r="AK797" s="30">
        <v>0</v>
      </c>
      <c r="AL797" s="30">
        <v>0</v>
      </c>
    </row>
    <row r="798" spans="1:38" x14ac:dyDescent="0.3">
      <c r="A798" s="30">
        <v>165</v>
      </c>
      <c r="B798" s="30">
        <v>17</v>
      </c>
      <c r="C798" s="30">
        <v>19</v>
      </c>
      <c r="D798" s="30">
        <v>25</v>
      </c>
      <c r="O798" s="30">
        <v>165</v>
      </c>
      <c r="P798" s="30">
        <v>9</v>
      </c>
      <c r="Q798" s="30">
        <v>9</v>
      </c>
      <c r="R798" s="30">
        <v>5</v>
      </c>
      <c r="AI798" s="30">
        <v>165</v>
      </c>
      <c r="AJ798" s="30">
        <v>13</v>
      </c>
      <c r="AK798" s="30">
        <v>1</v>
      </c>
      <c r="AL798" s="30">
        <v>1</v>
      </c>
    </row>
    <row r="799" spans="1:38" x14ac:dyDescent="0.3">
      <c r="A799" s="30">
        <v>166</v>
      </c>
      <c r="B799" s="30">
        <v>16</v>
      </c>
      <c r="C799" s="30">
        <v>18</v>
      </c>
      <c r="D799" s="30">
        <v>26</v>
      </c>
      <c r="O799" s="30">
        <v>166</v>
      </c>
      <c r="P799" s="30">
        <v>10</v>
      </c>
      <c r="Q799" s="30">
        <v>10</v>
      </c>
      <c r="R799" s="30">
        <v>4</v>
      </c>
      <c r="AI799" s="30">
        <v>166</v>
      </c>
      <c r="AJ799" s="30">
        <v>12</v>
      </c>
      <c r="AK799" s="30">
        <v>2</v>
      </c>
      <c r="AL799" s="30">
        <v>0</v>
      </c>
    </row>
    <row r="800" spans="1:38" x14ac:dyDescent="0.3">
      <c r="A800" s="30">
        <v>167</v>
      </c>
      <c r="B800" s="30">
        <v>17</v>
      </c>
      <c r="C800" s="30">
        <v>17</v>
      </c>
      <c r="D800" s="30">
        <v>25</v>
      </c>
      <c r="O800" s="30">
        <v>167</v>
      </c>
      <c r="P800" s="30">
        <v>9</v>
      </c>
      <c r="Q800" s="30">
        <v>11</v>
      </c>
      <c r="R800" s="30">
        <v>3</v>
      </c>
      <c r="AI800" s="30">
        <v>167</v>
      </c>
      <c r="AJ800" s="30">
        <v>13</v>
      </c>
      <c r="AK800" s="30">
        <v>1</v>
      </c>
      <c r="AL800" s="30">
        <v>1</v>
      </c>
    </row>
    <row r="801" spans="1:38" x14ac:dyDescent="0.3">
      <c r="A801" s="30">
        <v>168</v>
      </c>
      <c r="B801" s="30">
        <v>18</v>
      </c>
      <c r="C801" s="30">
        <v>18</v>
      </c>
      <c r="D801" s="30">
        <v>26</v>
      </c>
      <c r="O801" s="30">
        <v>168</v>
      </c>
      <c r="P801" s="30">
        <v>8</v>
      </c>
      <c r="Q801" s="30">
        <v>12</v>
      </c>
      <c r="R801" s="30">
        <v>2</v>
      </c>
      <c r="AI801" s="30">
        <v>168</v>
      </c>
      <c r="AJ801" s="30">
        <v>12</v>
      </c>
      <c r="AK801" s="30">
        <v>2</v>
      </c>
      <c r="AL801" s="30">
        <v>2</v>
      </c>
    </row>
    <row r="802" spans="1:38" x14ac:dyDescent="0.3">
      <c r="A802" s="30">
        <v>169</v>
      </c>
      <c r="B802" s="30">
        <v>19</v>
      </c>
      <c r="C802" s="30">
        <v>17</v>
      </c>
      <c r="D802" s="30">
        <v>25</v>
      </c>
      <c r="O802" s="30">
        <v>169</v>
      </c>
      <c r="P802" s="30">
        <v>9</v>
      </c>
      <c r="Q802" s="30">
        <v>13</v>
      </c>
      <c r="R802" s="30">
        <v>1</v>
      </c>
      <c r="AI802" s="30">
        <v>169</v>
      </c>
      <c r="AJ802" s="30">
        <v>13</v>
      </c>
      <c r="AK802" s="30">
        <v>1</v>
      </c>
      <c r="AL802" s="30">
        <v>3</v>
      </c>
    </row>
    <row r="803" spans="1:38" x14ac:dyDescent="0.3">
      <c r="A803" s="30">
        <v>170</v>
      </c>
      <c r="B803" s="30">
        <v>20</v>
      </c>
      <c r="C803" s="30">
        <v>16</v>
      </c>
      <c r="D803" s="30">
        <v>26</v>
      </c>
      <c r="O803" s="30">
        <v>170</v>
      </c>
      <c r="P803" s="30">
        <v>10</v>
      </c>
      <c r="Q803" s="30">
        <v>12</v>
      </c>
      <c r="R803" s="30">
        <v>2</v>
      </c>
      <c r="AI803" s="30">
        <v>170</v>
      </c>
      <c r="AJ803" s="30">
        <v>12</v>
      </c>
      <c r="AK803" s="30">
        <v>0</v>
      </c>
      <c r="AL803" s="30">
        <v>2</v>
      </c>
    </row>
    <row r="804" spans="1:38" x14ac:dyDescent="0.3">
      <c r="A804" s="30">
        <v>171</v>
      </c>
      <c r="B804" s="30">
        <v>19</v>
      </c>
      <c r="C804" s="30">
        <v>17</v>
      </c>
      <c r="D804" s="30">
        <v>25</v>
      </c>
      <c r="O804" s="30">
        <v>171</v>
      </c>
      <c r="P804" s="30">
        <v>9</v>
      </c>
      <c r="Q804" s="30">
        <v>13</v>
      </c>
      <c r="R804" s="30">
        <v>1</v>
      </c>
      <c r="AI804" s="30">
        <v>171</v>
      </c>
      <c r="AJ804" s="30">
        <v>13</v>
      </c>
      <c r="AK804" s="30">
        <v>1</v>
      </c>
      <c r="AL804" s="30">
        <v>3</v>
      </c>
    </row>
    <row r="805" spans="1:38" x14ac:dyDescent="0.3">
      <c r="A805" s="30">
        <v>172</v>
      </c>
      <c r="B805" s="30">
        <v>20</v>
      </c>
      <c r="C805" s="30">
        <v>18</v>
      </c>
      <c r="D805" s="30">
        <v>26</v>
      </c>
      <c r="O805" s="30">
        <v>172</v>
      </c>
      <c r="P805" s="30">
        <v>10</v>
      </c>
      <c r="Q805" s="30">
        <v>14</v>
      </c>
      <c r="R805" s="30">
        <v>2</v>
      </c>
      <c r="AI805" s="30">
        <v>172</v>
      </c>
      <c r="AJ805" s="30">
        <v>12</v>
      </c>
      <c r="AK805" s="30">
        <v>2</v>
      </c>
      <c r="AL805" s="30">
        <v>4</v>
      </c>
    </row>
    <row r="806" spans="1:38" x14ac:dyDescent="0.3">
      <c r="A806" s="30">
        <v>173</v>
      </c>
      <c r="B806" s="30">
        <v>19</v>
      </c>
      <c r="C806" s="30">
        <v>19</v>
      </c>
      <c r="D806" s="30">
        <v>27</v>
      </c>
      <c r="O806" s="30">
        <v>173</v>
      </c>
      <c r="P806" s="30">
        <v>11</v>
      </c>
      <c r="Q806" s="30">
        <v>15</v>
      </c>
      <c r="R806" s="30">
        <v>1</v>
      </c>
      <c r="AI806" s="30">
        <v>173</v>
      </c>
      <c r="AJ806" s="30">
        <v>11</v>
      </c>
      <c r="AK806" s="30">
        <v>3</v>
      </c>
      <c r="AL806" s="30">
        <v>5</v>
      </c>
    </row>
    <row r="807" spans="1:38" x14ac:dyDescent="0.3">
      <c r="A807" s="30">
        <v>174</v>
      </c>
      <c r="B807" s="30">
        <v>20</v>
      </c>
      <c r="C807" s="30">
        <v>20</v>
      </c>
      <c r="D807" s="30">
        <v>28</v>
      </c>
      <c r="O807" s="30">
        <v>174</v>
      </c>
      <c r="P807" s="30">
        <v>10</v>
      </c>
      <c r="Q807" s="30">
        <v>16</v>
      </c>
      <c r="R807" s="30">
        <v>2</v>
      </c>
      <c r="AI807" s="30">
        <v>174</v>
      </c>
      <c r="AJ807" s="30">
        <v>10</v>
      </c>
      <c r="AK807" s="30">
        <v>4</v>
      </c>
      <c r="AL807" s="30">
        <v>4</v>
      </c>
    </row>
    <row r="808" spans="1:38" x14ac:dyDescent="0.3">
      <c r="A808" s="30">
        <v>175</v>
      </c>
      <c r="B808" s="30">
        <v>19</v>
      </c>
      <c r="C808" s="30">
        <v>19</v>
      </c>
      <c r="D808" s="30">
        <v>27</v>
      </c>
      <c r="O808" s="30">
        <v>175</v>
      </c>
      <c r="P808" s="30">
        <v>9</v>
      </c>
      <c r="Q808" s="30">
        <v>15</v>
      </c>
      <c r="R808" s="30">
        <v>1</v>
      </c>
      <c r="AI808" s="30">
        <v>175</v>
      </c>
      <c r="AJ808" s="30">
        <v>11</v>
      </c>
      <c r="AK808" s="30">
        <v>3</v>
      </c>
      <c r="AL808" s="30">
        <v>3</v>
      </c>
    </row>
    <row r="809" spans="1:38" x14ac:dyDescent="0.3">
      <c r="A809" s="30">
        <v>176</v>
      </c>
      <c r="B809" s="30">
        <v>20</v>
      </c>
      <c r="C809" s="30">
        <v>18</v>
      </c>
      <c r="D809" s="30">
        <v>28</v>
      </c>
      <c r="O809" s="30">
        <v>176</v>
      </c>
      <c r="P809" s="30">
        <v>8</v>
      </c>
      <c r="Q809" s="30">
        <v>14</v>
      </c>
      <c r="R809" s="30">
        <v>0</v>
      </c>
      <c r="AI809" s="30">
        <v>176</v>
      </c>
      <c r="AJ809" s="30">
        <v>12</v>
      </c>
      <c r="AK809" s="30">
        <v>4</v>
      </c>
      <c r="AL809" s="30">
        <v>4</v>
      </c>
    </row>
    <row r="810" spans="1:38" x14ac:dyDescent="0.3">
      <c r="A810" s="30">
        <v>177</v>
      </c>
      <c r="B810" s="30">
        <v>21</v>
      </c>
      <c r="C810" s="30">
        <v>17</v>
      </c>
      <c r="D810" s="30">
        <v>27</v>
      </c>
      <c r="O810" s="30">
        <v>177</v>
      </c>
      <c r="P810" s="30">
        <v>7</v>
      </c>
      <c r="Q810" s="30">
        <v>13</v>
      </c>
      <c r="R810" s="30">
        <v>1</v>
      </c>
      <c r="AI810" s="30">
        <v>177</v>
      </c>
      <c r="AJ810" s="30">
        <v>11</v>
      </c>
      <c r="AK810" s="30">
        <v>5</v>
      </c>
      <c r="AL810" s="30">
        <v>5</v>
      </c>
    </row>
    <row r="811" spans="1:38" x14ac:dyDescent="0.3">
      <c r="A811" s="30">
        <v>178</v>
      </c>
      <c r="B811" s="30">
        <v>20</v>
      </c>
      <c r="C811" s="30">
        <v>16</v>
      </c>
      <c r="D811" s="30">
        <v>26</v>
      </c>
      <c r="O811" s="30">
        <v>178</v>
      </c>
      <c r="P811" s="30">
        <v>8</v>
      </c>
      <c r="Q811" s="30">
        <v>14</v>
      </c>
      <c r="R811" s="30">
        <v>2</v>
      </c>
      <c r="AI811" s="30">
        <v>178</v>
      </c>
      <c r="AJ811" s="30">
        <v>12</v>
      </c>
      <c r="AK811" s="30">
        <v>6</v>
      </c>
      <c r="AL811" s="30">
        <v>4</v>
      </c>
    </row>
    <row r="812" spans="1:38" x14ac:dyDescent="0.3">
      <c r="A812" s="30">
        <v>179</v>
      </c>
      <c r="B812" s="30">
        <v>19</v>
      </c>
      <c r="C812" s="30">
        <v>17</v>
      </c>
      <c r="D812" s="30">
        <v>25</v>
      </c>
      <c r="O812" s="30">
        <v>179</v>
      </c>
      <c r="P812" s="30">
        <v>9</v>
      </c>
      <c r="Q812" s="30">
        <v>15</v>
      </c>
      <c r="R812" s="30">
        <v>1</v>
      </c>
      <c r="AI812" s="30">
        <v>179</v>
      </c>
      <c r="AJ812" s="30">
        <v>11</v>
      </c>
      <c r="AK812" s="30">
        <v>7</v>
      </c>
      <c r="AL812" s="30">
        <v>3</v>
      </c>
    </row>
    <row r="813" spans="1:38" x14ac:dyDescent="0.3">
      <c r="A813" s="30">
        <v>180</v>
      </c>
      <c r="B813" s="30">
        <v>18</v>
      </c>
      <c r="C813" s="30">
        <v>18</v>
      </c>
      <c r="D813" s="30">
        <v>24</v>
      </c>
      <c r="O813" s="30">
        <v>180</v>
      </c>
      <c r="P813" s="30">
        <v>10</v>
      </c>
      <c r="Q813" s="30">
        <v>14</v>
      </c>
      <c r="R813" s="30">
        <v>0</v>
      </c>
      <c r="AI813" s="30">
        <v>180</v>
      </c>
      <c r="AJ813" s="30">
        <v>10</v>
      </c>
      <c r="AK813" s="30">
        <v>8</v>
      </c>
      <c r="AL813" s="30">
        <v>2</v>
      </c>
    </row>
    <row r="814" spans="1:38" x14ac:dyDescent="0.3">
      <c r="A814" s="30">
        <v>181</v>
      </c>
      <c r="B814" s="30">
        <v>19</v>
      </c>
      <c r="C814" s="30">
        <v>19</v>
      </c>
      <c r="D814" s="30">
        <v>25</v>
      </c>
      <c r="O814" s="30">
        <v>181</v>
      </c>
      <c r="P814" s="30">
        <v>11</v>
      </c>
      <c r="Q814" s="30">
        <v>13</v>
      </c>
      <c r="R814" s="30">
        <v>1</v>
      </c>
      <c r="AI814" s="30">
        <v>181</v>
      </c>
      <c r="AJ814" s="30">
        <v>9</v>
      </c>
      <c r="AK814" s="30">
        <v>7</v>
      </c>
      <c r="AL814" s="30">
        <v>3</v>
      </c>
    </row>
    <row r="815" spans="1:38" x14ac:dyDescent="0.3">
      <c r="A815" s="30">
        <v>182</v>
      </c>
      <c r="B815" s="30">
        <v>20</v>
      </c>
      <c r="C815" s="30">
        <v>18</v>
      </c>
      <c r="D815" s="30">
        <v>24</v>
      </c>
      <c r="O815" s="30">
        <v>182</v>
      </c>
      <c r="P815" s="30">
        <v>10</v>
      </c>
      <c r="Q815" s="30">
        <v>14</v>
      </c>
      <c r="R815" s="30">
        <v>0</v>
      </c>
      <c r="AI815" s="30">
        <v>182</v>
      </c>
      <c r="AJ815" s="30">
        <v>10</v>
      </c>
      <c r="AK815" s="30">
        <v>8</v>
      </c>
      <c r="AL815" s="30">
        <v>4</v>
      </c>
    </row>
    <row r="816" spans="1:38" x14ac:dyDescent="0.3">
      <c r="A816" s="30">
        <v>183</v>
      </c>
      <c r="B816" s="30">
        <v>19</v>
      </c>
      <c r="C816" s="30">
        <v>19</v>
      </c>
      <c r="D816" s="30">
        <v>25</v>
      </c>
      <c r="O816" s="30">
        <v>183</v>
      </c>
      <c r="P816" s="30">
        <v>9</v>
      </c>
      <c r="Q816" s="30">
        <v>13</v>
      </c>
      <c r="R816" s="30">
        <v>1</v>
      </c>
      <c r="AI816" s="30">
        <v>183</v>
      </c>
      <c r="AJ816" s="30">
        <v>9</v>
      </c>
      <c r="AK816" s="30">
        <v>9</v>
      </c>
      <c r="AL816" s="30">
        <v>5</v>
      </c>
    </row>
    <row r="817" spans="1:38" x14ac:dyDescent="0.3">
      <c r="A817" s="30">
        <v>184</v>
      </c>
      <c r="B817" s="30">
        <v>18</v>
      </c>
      <c r="C817" s="30">
        <v>18</v>
      </c>
      <c r="D817" s="30">
        <v>26</v>
      </c>
      <c r="O817" s="30">
        <v>184</v>
      </c>
      <c r="P817" s="30">
        <v>8</v>
      </c>
      <c r="Q817" s="30">
        <v>12</v>
      </c>
      <c r="R817" s="30">
        <v>0</v>
      </c>
      <c r="AI817" s="30">
        <v>184</v>
      </c>
      <c r="AJ817" s="30">
        <v>8</v>
      </c>
      <c r="AK817" s="30">
        <v>8</v>
      </c>
      <c r="AL817" s="30">
        <v>6</v>
      </c>
    </row>
    <row r="818" spans="1:38" x14ac:dyDescent="0.3">
      <c r="A818" s="30">
        <v>185</v>
      </c>
      <c r="B818" s="30">
        <v>19</v>
      </c>
      <c r="C818" s="30">
        <v>17</v>
      </c>
      <c r="D818" s="30">
        <v>27</v>
      </c>
      <c r="O818" s="30">
        <v>185</v>
      </c>
      <c r="P818" s="30">
        <v>9</v>
      </c>
      <c r="Q818" s="30">
        <v>13</v>
      </c>
      <c r="R818" s="30">
        <v>1</v>
      </c>
      <c r="AI818" s="30">
        <v>185</v>
      </c>
      <c r="AJ818" s="30">
        <v>9</v>
      </c>
      <c r="AK818" s="30">
        <v>7</v>
      </c>
      <c r="AL818" s="30">
        <v>7</v>
      </c>
    </row>
    <row r="819" spans="1:38" x14ac:dyDescent="0.3">
      <c r="A819" s="30">
        <v>186</v>
      </c>
      <c r="B819" s="30">
        <v>18</v>
      </c>
      <c r="C819" s="30">
        <v>16</v>
      </c>
      <c r="D819" s="30">
        <v>26</v>
      </c>
      <c r="O819" s="30">
        <v>186</v>
      </c>
      <c r="P819" s="30">
        <v>8</v>
      </c>
      <c r="Q819" s="30">
        <v>14</v>
      </c>
      <c r="R819" s="30">
        <v>0</v>
      </c>
      <c r="AI819" s="30">
        <v>186</v>
      </c>
      <c r="AJ819" s="30">
        <v>8</v>
      </c>
      <c r="AK819" s="30">
        <v>6</v>
      </c>
      <c r="AL819" s="30">
        <v>6</v>
      </c>
    </row>
    <row r="820" spans="1:38" x14ac:dyDescent="0.3">
      <c r="A820" s="30">
        <v>187</v>
      </c>
      <c r="B820" s="30">
        <v>19</v>
      </c>
      <c r="C820" s="30">
        <v>17</v>
      </c>
      <c r="D820" s="30">
        <v>27</v>
      </c>
      <c r="O820" s="30">
        <v>187</v>
      </c>
      <c r="P820" s="30">
        <v>9</v>
      </c>
      <c r="Q820" s="30">
        <v>15</v>
      </c>
      <c r="R820" s="30">
        <v>1</v>
      </c>
      <c r="AI820" s="30">
        <v>187</v>
      </c>
      <c r="AJ820" s="30">
        <v>9</v>
      </c>
      <c r="AK820" s="30">
        <v>5</v>
      </c>
      <c r="AL820" s="30">
        <v>7</v>
      </c>
    </row>
    <row r="821" spans="1:38" x14ac:dyDescent="0.3">
      <c r="A821" s="30">
        <v>188</v>
      </c>
      <c r="B821" s="30">
        <v>18</v>
      </c>
      <c r="C821" s="30">
        <v>18</v>
      </c>
      <c r="D821" s="30">
        <v>28</v>
      </c>
      <c r="O821" s="30">
        <v>188</v>
      </c>
      <c r="P821" s="30">
        <v>8</v>
      </c>
      <c r="Q821" s="30">
        <v>14</v>
      </c>
      <c r="R821" s="30">
        <v>0</v>
      </c>
      <c r="AI821" s="30">
        <v>188</v>
      </c>
      <c r="AJ821" s="30">
        <v>10</v>
      </c>
      <c r="AK821" s="30">
        <v>4</v>
      </c>
      <c r="AL821" s="30">
        <v>6</v>
      </c>
    </row>
    <row r="822" spans="1:38" x14ac:dyDescent="0.3">
      <c r="A822" s="30">
        <v>189</v>
      </c>
      <c r="B822" s="30">
        <v>17</v>
      </c>
      <c r="C822" s="30">
        <v>17</v>
      </c>
      <c r="D822" s="30">
        <v>27</v>
      </c>
      <c r="O822" s="30">
        <v>189</v>
      </c>
      <c r="P822" s="30">
        <v>7</v>
      </c>
      <c r="Q822" s="30">
        <v>13</v>
      </c>
      <c r="R822" s="30">
        <v>1</v>
      </c>
      <c r="AI822" s="30">
        <v>189</v>
      </c>
      <c r="AJ822" s="30">
        <v>9</v>
      </c>
      <c r="AK822" s="30">
        <v>5</v>
      </c>
      <c r="AL822" s="30">
        <v>5</v>
      </c>
    </row>
    <row r="823" spans="1:38" x14ac:dyDescent="0.3">
      <c r="A823" s="30">
        <v>190</v>
      </c>
      <c r="B823" s="30">
        <v>16</v>
      </c>
      <c r="C823" s="30">
        <v>16</v>
      </c>
      <c r="D823" s="30">
        <v>26</v>
      </c>
      <c r="O823" s="30">
        <v>190</v>
      </c>
      <c r="P823" s="30">
        <v>6</v>
      </c>
      <c r="Q823" s="30">
        <v>14</v>
      </c>
      <c r="R823" s="30">
        <v>2</v>
      </c>
      <c r="AI823" s="30">
        <v>190</v>
      </c>
      <c r="AJ823" s="30">
        <v>8</v>
      </c>
      <c r="AK823" s="30">
        <v>6</v>
      </c>
      <c r="AL823" s="30">
        <v>4</v>
      </c>
    </row>
    <row r="824" spans="1:38" x14ac:dyDescent="0.3">
      <c r="A824" s="30">
        <v>191</v>
      </c>
      <c r="B824" s="30">
        <v>17</v>
      </c>
      <c r="C824" s="30">
        <v>17</v>
      </c>
      <c r="D824" s="30">
        <v>25</v>
      </c>
      <c r="O824" s="30">
        <v>191</v>
      </c>
      <c r="P824" s="30">
        <v>7</v>
      </c>
      <c r="Q824" s="30">
        <v>15</v>
      </c>
      <c r="R824" s="30">
        <v>3</v>
      </c>
      <c r="AI824" s="30">
        <v>191</v>
      </c>
      <c r="AJ824" s="30">
        <v>9</v>
      </c>
      <c r="AK824" s="30">
        <v>7</v>
      </c>
      <c r="AL824" s="30">
        <v>3</v>
      </c>
    </row>
    <row r="825" spans="1:38" x14ac:dyDescent="0.3">
      <c r="A825" s="30">
        <v>192</v>
      </c>
      <c r="B825" s="30">
        <v>16</v>
      </c>
      <c r="C825" s="30">
        <v>16</v>
      </c>
      <c r="D825" s="30">
        <v>24</v>
      </c>
      <c r="O825" s="30">
        <v>192</v>
      </c>
      <c r="P825" s="30">
        <v>6</v>
      </c>
      <c r="Q825" s="30">
        <v>16</v>
      </c>
      <c r="R825" s="30">
        <v>4</v>
      </c>
      <c r="AI825" s="30">
        <v>192</v>
      </c>
      <c r="AJ825" s="30">
        <v>10</v>
      </c>
      <c r="AK825" s="30">
        <v>6</v>
      </c>
      <c r="AL825" s="30">
        <v>2</v>
      </c>
    </row>
    <row r="826" spans="1:38" x14ac:dyDescent="0.3">
      <c r="A826" s="30">
        <v>193</v>
      </c>
      <c r="B826" s="30">
        <v>15</v>
      </c>
      <c r="C826" s="30">
        <v>17</v>
      </c>
      <c r="D826" s="30">
        <v>25</v>
      </c>
      <c r="O826" s="30">
        <v>193</v>
      </c>
      <c r="P826" s="30">
        <v>7</v>
      </c>
      <c r="Q826" s="30">
        <v>15</v>
      </c>
      <c r="R826" s="30">
        <v>3</v>
      </c>
      <c r="AI826" s="30">
        <v>193</v>
      </c>
      <c r="AJ826" s="30">
        <v>11</v>
      </c>
      <c r="AK826" s="30">
        <v>7</v>
      </c>
      <c r="AL826" s="30">
        <v>1</v>
      </c>
    </row>
    <row r="827" spans="1:38" x14ac:dyDescent="0.3">
      <c r="A827" s="30">
        <v>194</v>
      </c>
      <c r="B827" s="30">
        <v>14</v>
      </c>
      <c r="C827" s="30">
        <v>16</v>
      </c>
      <c r="D827" s="30">
        <v>26</v>
      </c>
      <c r="O827" s="30">
        <v>194</v>
      </c>
      <c r="P827" s="30">
        <v>8</v>
      </c>
      <c r="Q827" s="30">
        <v>14</v>
      </c>
      <c r="R827" s="30">
        <v>2</v>
      </c>
      <c r="AI827" s="30">
        <v>194</v>
      </c>
      <c r="AJ827" s="30">
        <v>10</v>
      </c>
      <c r="AK827" s="30">
        <v>8</v>
      </c>
      <c r="AL827" s="30">
        <v>2</v>
      </c>
    </row>
    <row r="828" spans="1:38" x14ac:dyDescent="0.3">
      <c r="A828" s="30">
        <v>195</v>
      </c>
      <c r="B828" s="30">
        <v>13</v>
      </c>
      <c r="C828" s="30">
        <v>15</v>
      </c>
      <c r="D828" s="30">
        <v>25</v>
      </c>
      <c r="O828" s="30">
        <v>195</v>
      </c>
      <c r="P828" s="30">
        <v>9</v>
      </c>
      <c r="Q828" s="30">
        <v>13</v>
      </c>
      <c r="R828" s="30">
        <v>1</v>
      </c>
      <c r="AI828" s="30">
        <v>195</v>
      </c>
      <c r="AJ828" s="30">
        <v>9</v>
      </c>
      <c r="AK828" s="30">
        <v>9</v>
      </c>
      <c r="AL828" s="30">
        <v>3</v>
      </c>
    </row>
    <row r="829" spans="1:38" x14ac:dyDescent="0.3">
      <c r="A829" s="30">
        <v>196</v>
      </c>
      <c r="B829" s="30">
        <v>14</v>
      </c>
      <c r="C829" s="30">
        <v>16</v>
      </c>
      <c r="D829" s="30">
        <v>26</v>
      </c>
      <c r="O829" s="30">
        <v>196</v>
      </c>
      <c r="P829" s="30">
        <v>8</v>
      </c>
      <c r="Q829" s="30">
        <v>14</v>
      </c>
      <c r="R829" s="30">
        <v>0</v>
      </c>
      <c r="AI829" s="30">
        <v>196</v>
      </c>
      <c r="AJ829" s="30">
        <v>8</v>
      </c>
      <c r="AK829" s="30">
        <v>8</v>
      </c>
      <c r="AL829" s="30">
        <v>2</v>
      </c>
    </row>
    <row r="830" spans="1:38" x14ac:dyDescent="0.3">
      <c r="A830" s="30">
        <v>197</v>
      </c>
      <c r="B830" s="30">
        <v>15</v>
      </c>
      <c r="C830" s="30">
        <v>17</v>
      </c>
      <c r="D830" s="30">
        <v>27</v>
      </c>
      <c r="O830" s="30">
        <v>197</v>
      </c>
      <c r="P830" s="30">
        <v>7</v>
      </c>
      <c r="Q830" s="30">
        <v>13</v>
      </c>
      <c r="R830" s="30">
        <v>1</v>
      </c>
      <c r="AI830" s="30">
        <v>197</v>
      </c>
      <c r="AJ830" s="30">
        <v>9</v>
      </c>
      <c r="AK830" s="30">
        <v>9</v>
      </c>
      <c r="AL830" s="30">
        <v>1</v>
      </c>
    </row>
    <row r="831" spans="1:38" x14ac:dyDescent="0.3">
      <c r="A831" s="30">
        <v>198</v>
      </c>
      <c r="B831" s="30">
        <v>14</v>
      </c>
      <c r="C831" s="30">
        <v>16</v>
      </c>
      <c r="D831" s="30">
        <v>26</v>
      </c>
      <c r="O831" s="30">
        <v>198</v>
      </c>
      <c r="P831" s="30">
        <v>6</v>
      </c>
      <c r="Q831" s="30">
        <v>14</v>
      </c>
      <c r="R831" s="30">
        <v>2</v>
      </c>
      <c r="AI831" s="30">
        <v>198</v>
      </c>
      <c r="AJ831" s="30">
        <v>8</v>
      </c>
      <c r="AK831" s="30">
        <v>8</v>
      </c>
      <c r="AL831" s="30">
        <v>0</v>
      </c>
    </row>
    <row r="832" spans="1:38" x14ac:dyDescent="0.3">
      <c r="A832" s="30">
        <v>199</v>
      </c>
      <c r="B832" s="30">
        <v>13</v>
      </c>
      <c r="C832" s="30">
        <v>15</v>
      </c>
      <c r="D832" s="30">
        <v>27</v>
      </c>
      <c r="O832" s="30">
        <v>199</v>
      </c>
      <c r="P832" s="30">
        <v>7</v>
      </c>
      <c r="Q832" s="30">
        <v>13</v>
      </c>
      <c r="R832" s="30">
        <v>1</v>
      </c>
      <c r="AI832" s="30">
        <v>199</v>
      </c>
      <c r="AJ832" s="30">
        <v>9</v>
      </c>
      <c r="AK832" s="30">
        <v>9</v>
      </c>
      <c r="AL832" s="30">
        <v>1</v>
      </c>
    </row>
    <row r="833" spans="1:38" x14ac:dyDescent="0.3">
      <c r="A833" s="30">
        <v>200</v>
      </c>
      <c r="B833" s="30">
        <v>12</v>
      </c>
      <c r="C833" s="30">
        <v>16</v>
      </c>
      <c r="D833" s="30">
        <v>26</v>
      </c>
      <c r="O833" s="30">
        <v>200</v>
      </c>
      <c r="P833" s="30">
        <v>6</v>
      </c>
      <c r="Q833" s="30">
        <v>12</v>
      </c>
      <c r="R833" s="30">
        <v>0</v>
      </c>
      <c r="AI833" s="30">
        <v>200</v>
      </c>
      <c r="AJ833" s="30">
        <v>10</v>
      </c>
      <c r="AK833" s="30">
        <v>10</v>
      </c>
      <c r="AL833" s="30">
        <v>2</v>
      </c>
    </row>
    <row r="834" spans="1:38" x14ac:dyDescent="0.3">
      <c r="A834" s="30">
        <v>201</v>
      </c>
      <c r="B834" s="30">
        <v>13</v>
      </c>
      <c r="C834" s="30">
        <v>17</v>
      </c>
      <c r="D834" s="30">
        <v>25</v>
      </c>
      <c r="O834" s="30">
        <v>201</v>
      </c>
      <c r="P834" s="30">
        <v>7</v>
      </c>
      <c r="Q834" s="30">
        <v>11</v>
      </c>
      <c r="R834" s="30">
        <v>1</v>
      </c>
      <c r="AI834" s="30">
        <v>201</v>
      </c>
      <c r="AJ834" s="30">
        <v>9</v>
      </c>
      <c r="AK834" s="30">
        <v>9</v>
      </c>
      <c r="AL834" s="30">
        <v>1</v>
      </c>
    </row>
    <row r="835" spans="1:38" x14ac:dyDescent="0.3">
      <c r="A835" s="30">
        <v>202</v>
      </c>
      <c r="B835" s="30">
        <v>14</v>
      </c>
      <c r="C835" s="30">
        <v>18</v>
      </c>
      <c r="D835" s="30">
        <v>26</v>
      </c>
      <c r="O835" s="30">
        <v>202</v>
      </c>
      <c r="P835" s="30">
        <v>8</v>
      </c>
      <c r="Q835" s="30">
        <v>10</v>
      </c>
      <c r="R835" s="30">
        <v>2</v>
      </c>
      <c r="AI835" s="30">
        <v>202</v>
      </c>
      <c r="AJ835" s="30">
        <v>10</v>
      </c>
      <c r="AK835" s="30">
        <v>8</v>
      </c>
      <c r="AL835" s="30">
        <v>0</v>
      </c>
    </row>
    <row r="836" spans="1:38" x14ac:dyDescent="0.3">
      <c r="A836" s="30">
        <v>203</v>
      </c>
      <c r="B836" s="30">
        <v>15</v>
      </c>
      <c r="C836" s="30">
        <v>19</v>
      </c>
      <c r="D836" s="30">
        <v>27</v>
      </c>
      <c r="O836" s="30">
        <v>203</v>
      </c>
      <c r="P836" s="30">
        <v>7</v>
      </c>
      <c r="Q836" s="30">
        <v>9</v>
      </c>
      <c r="R836" s="30">
        <v>3</v>
      </c>
      <c r="AI836" s="30">
        <v>203</v>
      </c>
      <c r="AJ836" s="30">
        <v>9</v>
      </c>
      <c r="AK836" s="30">
        <v>7</v>
      </c>
      <c r="AL836" s="30">
        <v>1</v>
      </c>
    </row>
    <row r="837" spans="1:38" x14ac:dyDescent="0.3">
      <c r="A837" s="30">
        <v>204</v>
      </c>
      <c r="B837" s="30">
        <v>14</v>
      </c>
      <c r="C837" s="30">
        <v>20</v>
      </c>
      <c r="D837" s="30">
        <v>28</v>
      </c>
      <c r="O837" s="30">
        <v>204</v>
      </c>
      <c r="P837" s="30">
        <v>8</v>
      </c>
      <c r="Q837" s="30">
        <v>10</v>
      </c>
      <c r="R837" s="30">
        <v>4</v>
      </c>
      <c r="AI837" s="30">
        <v>204</v>
      </c>
      <c r="AJ837" s="30">
        <v>8</v>
      </c>
      <c r="AK837" s="30">
        <v>8</v>
      </c>
      <c r="AL837" s="30">
        <v>2</v>
      </c>
    </row>
    <row r="838" spans="1:38" x14ac:dyDescent="0.3">
      <c r="A838" s="30">
        <v>205</v>
      </c>
      <c r="B838" s="30">
        <v>15</v>
      </c>
      <c r="C838" s="30">
        <v>19</v>
      </c>
      <c r="D838" s="30">
        <v>27</v>
      </c>
      <c r="O838" s="30">
        <v>205</v>
      </c>
      <c r="P838" s="30">
        <v>7</v>
      </c>
      <c r="Q838" s="30">
        <v>9</v>
      </c>
      <c r="R838" s="30">
        <v>5</v>
      </c>
      <c r="AI838" s="30">
        <v>205</v>
      </c>
      <c r="AJ838" s="30">
        <v>9</v>
      </c>
      <c r="AK838" s="30">
        <v>9</v>
      </c>
      <c r="AL838" s="30">
        <v>1</v>
      </c>
    </row>
    <row r="839" spans="1:38" x14ac:dyDescent="0.3">
      <c r="A839" s="30">
        <v>206</v>
      </c>
      <c r="B839" s="30">
        <v>16</v>
      </c>
      <c r="C839" s="30">
        <v>18</v>
      </c>
      <c r="D839" s="30">
        <v>26</v>
      </c>
      <c r="O839" s="30">
        <v>206</v>
      </c>
      <c r="P839" s="30">
        <v>6</v>
      </c>
      <c r="Q839" s="30">
        <v>8</v>
      </c>
      <c r="R839" s="30">
        <v>6</v>
      </c>
      <c r="AI839" s="30">
        <v>206</v>
      </c>
      <c r="AJ839" s="30">
        <v>8</v>
      </c>
      <c r="AK839" s="30">
        <v>10</v>
      </c>
      <c r="AL839" s="30">
        <v>2</v>
      </c>
    </row>
    <row r="840" spans="1:38" x14ac:dyDescent="0.3">
      <c r="A840" s="30">
        <v>207</v>
      </c>
      <c r="B840" s="30">
        <v>15</v>
      </c>
      <c r="C840" s="30">
        <v>19</v>
      </c>
      <c r="D840" s="30">
        <v>27</v>
      </c>
      <c r="O840" s="30">
        <v>207</v>
      </c>
      <c r="P840" s="30">
        <v>7</v>
      </c>
      <c r="Q840" s="30">
        <v>9</v>
      </c>
      <c r="R840" s="30">
        <v>5</v>
      </c>
      <c r="AI840" s="30">
        <v>207</v>
      </c>
      <c r="AJ840" s="30">
        <v>7</v>
      </c>
      <c r="AK840" s="30">
        <v>11</v>
      </c>
      <c r="AL840" s="30">
        <v>1</v>
      </c>
    </row>
    <row r="841" spans="1:38" x14ac:dyDescent="0.3">
      <c r="A841" s="30">
        <v>208</v>
      </c>
      <c r="B841" s="30">
        <v>16</v>
      </c>
      <c r="C841" s="30">
        <v>18</v>
      </c>
      <c r="D841" s="30">
        <v>28</v>
      </c>
      <c r="O841" s="30">
        <v>208</v>
      </c>
      <c r="P841" s="30">
        <v>6</v>
      </c>
      <c r="Q841" s="30">
        <v>10</v>
      </c>
      <c r="R841" s="30">
        <v>6</v>
      </c>
      <c r="AI841" s="30">
        <v>208</v>
      </c>
      <c r="AJ841" s="30">
        <v>8</v>
      </c>
      <c r="AK841" s="30">
        <v>10</v>
      </c>
      <c r="AL841" s="30">
        <v>0</v>
      </c>
    </row>
    <row r="842" spans="1:38" x14ac:dyDescent="0.3">
      <c r="A842" s="30">
        <v>209</v>
      </c>
      <c r="B842" s="30">
        <v>15</v>
      </c>
      <c r="C842" s="30">
        <v>19</v>
      </c>
      <c r="D842" s="30">
        <v>27</v>
      </c>
      <c r="O842" s="30">
        <v>209</v>
      </c>
      <c r="P842" s="30">
        <v>5</v>
      </c>
      <c r="Q842" s="30">
        <v>11</v>
      </c>
      <c r="R842" s="30">
        <v>7</v>
      </c>
      <c r="AI842" s="30">
        <v>209</v>
      </c>
      <c r="AJ842" s="30">
        <v>9</v>
      </c>
      <c r="AK842" s="30">
        <v>11</v>
      </c>
      <c r="AL842" s="30">
        <v>1</v>
      </c>
    </row>
    <row r="843" spans="1:38" x14ac:dyDescent="0.3">
      <c r="A843" s="30">
        <v>210</v>
      </c>
      <c r="B843" s="30">
        <v>14</v>
      </c>
      <c r="C843" s="30">
        <v>18</v>
      </c>
      <c r="D843" s="30">
        <v>26</v>
      </c>
      <c r="O843" s="30">
        <v>210</v>
      </c>
      <c r="P843" s="30">
        <v>4</v>
      </c>
      <c r="Q843" s="30">
        <v>12</v>
      </c>
      <c r="R843" s="30">
        <v>8</v>
      </c>
      <c r="AI843" s="30">
        <v>210</v>
      </c>
      <c r="AJ843" s="30">
        <v>10</v>
      </c>
      <c r="AK843" s="30">
        <v>12</v>
      </c>
      <c r="AL843" s="30">
        <v>2</v>
      </c>
    </row>
    <row r="844" spans="1:38" x14ac:dyDescent="0.3">
      <c r="A844" s="30">
        <v>211</v>
      </c>
      <c r="B844" s="30">
        <v>15</v>
      </c>
      <c r="C844" s="30">
        <v>17</v>
      </c>
      <c r="D844" s="30">
        <v>25</v>
      </c>
      <c r="O844" s="30">
        <v>211</v>
      </c>
      <c r="P844" s="30">
        <v>3</v>
      </c>
      <c r="Q844" s="30">
        <v>11</v>
      </c>
      <c r="R844" s="30">
        <v>7</v>
      </c>
      <c r="AI844" s="30">
        <v>211</v>
      </c>
      <c r="AJ844" s="30">
        <v>11</v>
      </c>
      <c r="AK844" s="30">
        <v>13</v>
      </c>
      <c r="AL844" s="30">
        <v>1</v>
      </c>
    </row>
    <row r="845" spans="1:38" x14ac:dyDescent="0.3">
      <c r="A845" s="30">
        <v>212</v>
      </c>
      <c r="B845" s="30">
        <v>16</v>
      </c>
      <c r="C845" s="30">
        <v>16</v>
      </c>
      <c r="D845" s="30">
        <v>26</v>
      </c>
      <c r="O845" s="30">
        <v>212</v>
      </c>
      <c r="P845" s="30">
        <v>4</v>
      </c>
      <c r="Q845" s="30">
        <v>12</v>
      </c>
      <c r="R845" s="30">
        <v>8</v>
      </c>
      <c r="AI845" s="30">
        <v>212</v>
      </c>
      <c r="AJ845" s="30">
        <v>12</v>
      </c>
      <c r="AK845" s="30">
        <v>12</v>
      </c>
      <c r="AL845" s="30">
        <v>0</v>
      </c>
    </row>
    <row r="846" spans="1:38" x14ac:dyDescent="0.3">
      <c r="A846" s="30">
        <v>213</v>
      </c>
      <c r="B846" s="30">
        <v>15</v>
      </c>
      <c r="C846" s="30">
        <v>17</v>
      </c>
      <c r="D846" s="30">
        <v>25</v>
      </c>
      <c r="O846" s="30">
        <v>213</v>
      </c>
      <c r="P846" s="30">
        <v>5</v>
      </c>
      <c r="Q846" s="30">
        <v>11</v>
      </c>
      <c r="R846" s="30">
        <v>7</v>
      </c>
      <c r="AI846" s="30">
        <v>213</v>
      </c>
      <c r="AJ846" s="30">
        <v>13</v>
      </c>
      <c r="AK846" s="30">
        <v>11</v>
      </c>
      <c r="AL846" s="30">
        <v>1</v>
      </c>
    </row>
    <row r="847" spans="1:38" x14ac:dyDescent="0.3">
      <c r="A847" s="30">
        <v>214</v>
      </c>
      <c r="B847" s="30">
        <v>16</v>
      </c>
      <c r="C847" s="30">
        <v>16</v>
      </c>
      <c r="D847" s="30">
        <v>26</v>
      </c>
      <c r="O847" s="30">
        <v>214</v>
      </c>
      <c r="P847" s="30">
        <v>6</v>
      </c>
      <c r="Q847" s="30">
        <v>12</v>
      </c>
      <c r="R847" s="30">
        <v>6</v>
      </c>
      <c r="AI847" s="30">
        <v>214</v>
      </c>
      <c r="AJ847" s="30">
        <v>12</v>
      </c>
      <c r="AK847" s="30">
        <v>10</v>
      </c>
      <c r="AL847" s="30">
        <v>0</v>
      </c>
    </row>
    <row r="848" spans="1:38" x14ac:dyDescent="0.3">
      <c r="A848" s="30">
        <v>215</v>
      </c>
      <c r="B848" s="30">
        <v>17</v>
      </c>
      <c r="C848" s="30">
        <v>15</v>
      </c>
      <c r="D848" s="30">
        <v>25</v>
      </c>
      <c r="O848" s="30">
        <v>215</v>
      </c>
      <c r="P848" s="30">
        <v>7</v>
      </c>
      <c r="Q848" s="30">
        <v>11</v>
      </c>
      <c r="R848" s="30">
        <v>5</v>
      </c>
      <c r="AI848" s="30">
        <v>215</v>
      </c>
      <c r="AJ848" s="30">
        <v>11</v>
      </c>
      <c r="AK848" s="30">
        <v>9</v>
      </c>
      <c r="AL848" s="30">
        <v>1</v>
      </c>
    </row>
    <row r="849" spans="1:38" x14ac:dyDescent="0.3">
      <c r="A849" s="30">
        <v>216</v>
      </c>
      <c r="B849" s="30">
        <v>16</v>
      </c>
      <c r="C849" s="30">
        <v>14</v>
      </c>
      <c r="D849" s="30">
        <v>26</v>
      </c>
      <c r="O849" s="30">
        <v>216</v>
      </c>
      <c r="P849" s="30">
        <v>8</v>
      </c>
      <c r="Q849" s="30">
        <v>10</v>
      </c>
      <c r="R849" s="30">
        <v>4</v>
      </c>
      <c r="AI849" s="30">
        <v>216</v>
      </c>
      <c r="AJ849" s="30">
        <v>10</v>
      </c>
      <c r="AK849" s="30">
        <v>8</v>
      </c>
      <c r="AL849" s="30">
        <v>0</v>
      </c>
    </row>
    <row r="850" spans="1:38" x14ac:dyDescent="0.3">
      <c r="A850" s="30">
        <v>217</v>
      </c>
      <c r="B850" s="30">
        <v>15</v>
      </c>
      <c r="C850" s="30">
        <v>15</v>
      </c>
      <c r="D850" s="30">
        <v>27</v>
      </c>
      <c r="O850" s="30">
        <v>217</v>
      </c>
      <c r="P850" s="30">
        <v>9</v>
      </c>
      <c r="Q850" s="30">
        <v>11</v>
      </c>
      <c r="R850" s="30">
        <v>3</v>
      </c>
      <c r="AI850" s="30">
        <v>217</v>
      </c>
      <c r="AJ850" s="30">
        <v>9</v>
      </c>
      <c r="AK850" s="30">
        <v>7</v>
      </c>
      <c r="AL850" s="30">
        <v>1</v>
      </c>
    </row>
    <row r="851" spans="1:38" x14ac:dyDescent="0.3">
      <c r="A851" s="30">
        <v>218</v>
      </c>
      <c r="B851" s="30">
        <v>14</v>
      </c>
      <c r="C851" s="30">
        <v>16</v>
      </c>
      <c r="D851" s="30">
        <v>28</v>
      </c>
      <c r="O851" s="30">
        <v>218</v>
      </c>
      <c r="P851" s="30">
        <v>10</v>
      </c>
      <c r="Q851" s="30">
        <v>12</v>
      </c>
      <c r="R851" s="30">
        <v>4</v>
      </c>
      <c r="AI851" s="30">
        <v>218</v>
      </c>
      <c r="AJ851" s="30">
        <v>8</v>
      </c>
      <c r="AK851" s="30">
        <v>6</v>
      </c>
      <c r="AL851" s="30">
        <v>0</v>
      </c>
    </row>
    <row r="852" spans="1:38" x14ac:dyDescent="0.3">
      <c r="A852" s="30">
        <v>219</v>
      </c>
      <c r="B852" s="30">
        <v>13</v>
      </c>
      <c r="C852" s="30">
        <v>15</v>
      </c>
      <c r="D852" s="30">
        <v>29</v>
      </c>
      <c r="O852" s="30">
        <v>219</v>
      </c>
      <c r="P852" s="30">
        <v>11</v>
      </c>
      <c r="Q852" s="30">
        <v>11</v>
      </c>
      <c r="R852" s="30">
        <v>5</v>
      </c>
      <c r="AI852" s="30">
        <v>219</v>
      </c>
      <c r="AJ852" s="30">
        <v>9</v>
      </c>
      <c r="AK852" s="30">
        <v>5</v>
      </c>
      <c r="AL852" s="30">
        <v>1</v>
      </c>
    </row>
    <row r="853" spans="1:38" x14ac:dyDescent="0.3">
      <c r="A853" s="30">
        <v>220</v>
      </c>
      <c r="B853" s="30">
        <v>14</v>
      </c>
      <c r="C853" s="30">
        <v>16</v>
      </c>
      <c r="D853" s="30">
        <v>28</v>
      </c>
      <c r="O853" s="30">
        <v>220</v>
      </c>
      <c r="P853" s="30">
        <v>10</v>
      </c>
      <c r="Q853" s="30">
        <v>12</v>
      </c>
      <c r="R853" s="30">
        <v>4</v>
      </c>
      <c r="AI853" s="30">
        <v>220</v>
      </c>
      <c r="AJ853" s="30">
        <v>8</v>
      </c>
      <c r="AK853" s="30">
        <v>4</v>
      </c>
      <c r="AL853" s="30">
        <v>0</v>
      </c>
    </row>
    <row r="854" spans="1:38" x14ac:dyDescent="0.3">
      <c r="A854" s="30">
        <v>221</v>
      </c>
      <c r="B854" s="30">
        <v>13</v>
      </c>
      <c r="C854" s="30">
        <v>17</v>
      </c>
      <c r="D854" s="30">
        <v>29</v>
      </c>
      <c r="O854" s="30">
        <v>221</v>
      </c>
      <c r="P854" s="30">
        <v>9</v>
      </c>
      <c r="Q854" s="30">
        <v>11</v>
      </c>
      <c r="R854" s="30">
        <v>3</v>
      </c>
      <c r="AI854" s="30">
        <v>221</v>
      </c>
      <c r="AJ854" s="30">
        <v>9</v>
      </c>
      <c r="AK854" s="30">
        <v>3</v>
      </c>
      <c r="AL854" s="30">
        <v>1</v>
      </c>
    </row>
    <row r="855" spans="1:38" x14ac:dyDescent="0.3">
      <c r="A855" s="30">
        <v>222</v>
      </c>
      <c r="B855" s="30">
        <v>14</v>
      </c>
      <c r="C855" s="30">
        <v>18</v>
      </c>
      <c r="D855" s="30">
        <v>30</v>
      </c>
      <c r="O855" s="30">
        <v>222</v>
      </c>
      <c r="P855" s="30">
        <v>8</v>
      </c>
      <c r="Q855" s="30">
        <v>10</v>
      </c>
      <c r="R855" s="30">
        <v>4</v>
      </c>
      <c r="AI855" s="30">
        <v>222</v>
      </c>
      <c r="AJ855" s="30">
        <v>8</v>
      </c>
      <c r="AK855" s="30">
        <v>4</v>
      </c>
      <c r="AL855" s="30">
        <v>2</v>
      </c>
    </row>
    <row r="856" spans="1:38" x14ac:dyDescent="0.3">
      <c r="A856" s="30">
        <v>223</v>
      </c>
      <c r="B856" s="30">
        <v>13</v>
      </c>
      <c r="C856" s="30">
        <v>17</v>
      </c>
      <c r="D856" s="30">
        <v>31</v>
      </c>
      <c r="O856" s="30">
        <v>223</v>
      </c>
      <c r="P856" s="30">
        <v>7</v>
      </c>
      <c r="Q856" s="30">
        <v>11</v>
      </c>
      <c r="R856" s="30">
        <v>3</v>
      </c>
      <c r="AI856" s="30">
        <v>223</v>
      </c>
      <c r="AJ856" s="30">
        <v>9</v>
      </c>
      <c r="AK856" s="30">
        <v>3</v>
      </c>
      <c r="AL856" s="30">
        <v>1</v>
      </c>
    </row>
    <row r="857" spans="1:38" x14ac:dyDescent="0.3">
      <c r="A857" s="30">
        <v>224</v>
      </c>
      <c r="B857" s="30">
        <v>12</v>
      </c>
      <c r="C857" s="30">
        <v>18</v>
      </c>
      <c r="D857" s="30">
        <v>32</v>
      </c>
      <c r="O857" s="30">
        <v>224</v>
      </c>
      <c r="P857" s="30">
        <v>6</v>
      </c>
      <c r="Q857" s="30">
        <v>10</v>
      </c>
      <c r="R857" s="30">
        <v>2</v>
      </c>
      <c r="AI857" s="30">
        <v>224</v>
      </c>
      <c r="AJ857" s="30">
        <v>10</v>
      </c>
      <c r="AK857" s="30">
        <v>4</v>
      </c>
      <c r="AL857" s="30">
        <v>2</v>
      </c>
    </row>
    <row r="858" spans="1:38" x14ac:dyDescent="0.3">
      <c r="A858" s="30">
        <v>225</v>
      </c>
      <c r="B858" s="30">
        <v>13</v>
      </c>
      <c r="C858" s="30">
        <v>19</v>
      </c>
      <c r="D858" s="30">
        <v>33</v>
      </c>
      <c r="O858" s="30">
        <v>225</v>
      </c>
      <c r="P858" s="30">
        <v>7</v>
      </c>
      <c r="Q858" s="30">
        <v>11</v>
      </c>
      <c r="R858" s="30">
        <v>3</v>
      </c>
      <c r="AI858" s="30">
        <v>225</v>
      </c>
      <c r="AJ858" s="30">
        <v>11</v>
      </c>
      <c r="AK858" s="30">
        <v>5</v>
      </c>
      <c r="AL858" s="30">
        <v>3</v>
      </c>
    </row>
    <row r="859" spans="1:38" x14ac:dyDescent="0.3">
      <c r="A859" s="30">
        <v>226</v>
      </c>
      <c r="B859" s="30">
        <v>12</v>
      </c>
      <c r="C859" s="30">
        <v>18</v>
      </c>
      <c r="D859" s="30">
        <v>34</v>
      </c>
      <c r="O859" s="30">
        <v>226</v>
      </c>
      <c r="P859" s="30">
        <v>6</v>
      </c>
      <c r="Q859" s="30">
        <v>10</v>
      </c>
      <c r="R859" s="30">
        <v>2</v>
      </c>
      <c r="AI859" s="30">
        <v>226</v>
      </c>
      <c r="AJ859" s="30">
        <v>12</v>
      </c>
      <c r="AK859" s="30">
        <v>6</v>
      </c>
      <c r="AL859" s="30">
        <v>2</v>
      </c>
    </row>
    <row r="860" spans="1:38" x14ac:dyDescent="0.3">
      <c r="A860" s="30">
        <v>227</v>
      </c>
      <c r="B860" s="30">
        <v>11</v>
      </c>
      <c r="C860" s="30">
        <v>17</v>
      </c>
      <c r="D860" s="30">
        <v>35</v>
      </c>
      <c r="O860" s="30">
        <v>227</v>
      </c>
      <c r="P860" s="30">
        <v>7</v>
      </c>
      <c r="Q860" s="30">
        <v>11</v>
      </c>
      <c r="R860" s="30">
        <v>1</v>
      </c>
      <c r="AI860" s="30">
        <v>227</v>
      </c>
      <c r="AJ860" s="30">
        <v>13</v>
      </c>
      <c r="AK860" s="30">
        <v>7</v>
      </c>
      <c r="AL860" s="30">
        <v>1</v>
      </c>
    </row>
    <row r="861" spans="1:38" x14ac:dyDescent="0.3">
      <c r="A861" s="30">
        <v>228</v>
      </c>
      <c r="B861" s="30">
        <v>12</v>
      </c>
      <c r="C861" s="30">
        <v>18</v>
      </c>
      <c r="D861" s="30">
        <v>34</v>
      </c>
      <c r="O861" s="30">
        <v>228</v>
      </c>
      <c r="P861" s="30">
        <v>6</v>
      </c>
      <c r="Q861" s="30">
        <v>10</v>
      </c>
      <c r="R861" s="30">
        <v>0</v>
      </c>
      <c r="AI861" s="30">
        <v>228</v>
      </c>
      <c r="AJ861" s="30">
        <v>14</v>
      </c>
      <c r="AK861" s="30">
        <v>6</v>
      </c>
      <c r="AL861" s="30">
        <v>0</v>
      </c>
    </row>
    <row r="862" spans="1:38" x14ac:dyDescent="0.3">
      <c r="A862" s="30">
        <v>229</v>
      </c>
      <c r="B862" s="30">
        <v>11</v>
      </c>
      <c r="C862" s="30">
        <v>19</v>
      </c>
      <c r="D862" s="30">
        <v>35</v>
      </c>
      <c r="O862" s="30">
        <v>229</v>
      </c>
      <c r="P862" s="30">
        <v>5</v>
      </c>
      <c r="Q862" s="30">
        <v>11</v>
      </c>
      <c r="R862" s="30">
        <v>1</v>
      </c>
      <c r="AI862" s="30">
        <v>229</v>
      </c>
      <c r="AJ862" s="30">
        <v>13</v>
      </c>
      <c r="AK862" s="30">
        <v>5</v>
      </c>
      <c r="AL862" s="30">
        <v>1</v>
      </c>
    </row>
    <row r="863" spans="1:38" x14ac:dyDescent="0.3">
      <c r="A863" s="30">
        <v>230</v>
      </c>
      <c r="B863" s="30">
        <v>12</v>
      </c>
      <c r="C863" s="30">
        <v>20</v>
      </c>
      <c r="D863" s="30">
        <v>34</v>
      </c>
      <c r="O863" s="30">
        <v>230</v>
      </c>
      <c r="P863" s="30">
        <v>6</v>
      </c>
      <c r="Q863" s="30">
        <v>12</v>
      </c>
      <c r="R863" s="30">
        <v>2</v>
      </c>
      <c r="AI863" s="30">
        <v>230</v>
      </c>
      <c r="AJ863" s="30">
        <v>14</v>
      </c>
      <c r="AK863" s="30">
        <v>4</v>
      </c>
      <c r="AL863" s="30">
        <v>0</v>
      </c>
    </row>
    <row r="864" spans="1:38" x14ac:dyDescent="0.3">
      <c r="A864" s="30">
        <v>231</v>
      </c>
      <c r="B864" s="30">
        <v>11</v>
      </c>
      <c r="C864" s="30">
        <v>19</v>
      </c>
      <c r="D864" s="30">
        <v>33</v>
      </c>
      <c r="O864" s="30">
        <v>231</v>
      </c>
      <c r="P864" s="30">
        <v>5</v>
      </c>
      <c r="Q864" s="30">
        <v>13</v>
      </c>
      <c r="R864" s="30">
        <v>3</v>
      </c>
      <c r="AI864" s="30">
        <v>231</v>
      </c>
      <c r="AJ864" s="30">
        <v>13</v>
      </c>
      <c r="AK864" s="30">
        <v>3</v>
      </c>
      <c r="AL864" s="30">
        <v>1</v>
      </c>
    </row>
    <row r="865" spans="1:38" x14ac:dyDescent="0.3">
      <c r="A865" s="30">
        <v>232</v>
      </c>
      <c r="B865" s="30">
        <v>10</v>
      </c>
      <c r="C865" s="30">
        <v>18</v>
      </c>
      <c r="D865" s="30">
        <v>32</v>
      </c>
      <c r="O865" s="30">
        <v>232</v>
      </c>
      <c r="P865" s="30">
        <v>6</v>
      </c>
      <c r="Q865" s="30">
        <v>12</v>
      </c>
      <c r="R865" s="30">
        <v>2</v>
      </c>
      <c r="AI865" s="30">
        <v>232</v>
      </c>
      <c r="AJ865" s="30">
        <v>12</v>
      </c>
      <c r="AK865" s="30">
        <v>2</v>
      </c>
      <c r="AL865" s="30">
        <v>2</v>
      </c>
    </row>
    <row r="866" spans="1:38" x14ac:dyDescent="0.3">
      <c r="A866" s="30">
        <v>233</v>
      </c>
      <c r="B866" s="30">
        <v>11</v>
      </c>
      <c r="C866" s="30">
        <v>19</v>
      </c>
      <c r="D866" s="30">
        <v>31</v>
      </c>
      <c r="O866" s="30">
        <v>233</v>
      </c>
      <c r="P866" s="30">
        <v>7</v>
      </c>
      <c r="Q866" s="30">
        <v>13</v>
      </c>
      <c r="R866" s="30">
        <v>1</v>
      </c>
      <c r="AI866" s="30">
        <v>233</v>
      </c>
      <c r="AJ866" s="30">
        <v>13</v>
      </c>
      <c r="AK866" s="30">
        <v>1</v>
      </c>
      <c r="AL866" s="30">
        <v>1</v>
      </c>
    </row>
    <row r="867" spans="1:38" x14ac:dyDescent="0.3">
      <c r="A867" s="30">
        <v>234</v>
      </c>
      <c r="B867" s="30">
        <v>10</v>
      </c>
      <c r="C867" s="30">
        <v>18</v>
      </c>
      <c r="D867" s="30">
        <v>30</v>
      </c>
      <c r="O867" s="30">
        <v>234</v>
      </c>
      <c r="P867" s="30">
        <v>6</v>
      </c>
      <c r="Q867" s="30">
        <v>12</v>
      </c>
      <c r="R867" s="30">
        <v>0</v>
      </c>
      <c r="AI867" s="30">
        <v>234</v>
      </c>
      <c r="AJ867" s="30">
        <v>14</v>
      </c>
      <c r="AK867" s="30">
        <v>2</v>
      </c>
      <c r="AL867" s="30">
        <v>0</v>
      </c>
    </row>
    <row r="868" spans="1:38" x14ac:dyDescent="0.3">
      <c r="A868" s="30">
        <v>235</v>
      </c>
      <c r="B868" s="30">
        <v>11</v>
      </c>
      <c r="C868" s="30">
        <v>17</v>
      </c>
      <c r="D868" s="30">
        <v>31</v>
      </c>
      <c r="O868" s="30">
        <v>235</v>
      </c>
      <c r="P868" s="30">
        <v>7</v>
      </c>
      <c r="Q868" s="30">
        <v>11</v>
      </c>
      <c r="R868" s="30">
        <v>1</v>
      </c>
      <c r="AI868" s="30">
        <v>235</v>
      </c>
      <c r="AJ868" s="30">
        <v>13</v>
      </c>
      <c r="AK868" s="30">
        <v>1</v>
      </c>
      <c r="AL868" s="30">
        <v>1</v>
      </c>
    </row>
    <row r="869" spans="1:38" x14ac:dyDescent="0.3">
      <c r="A869" s="30">
        <v>236</v>
      </c>
      <c r="B869" s="30">
        <v>10</v>
      </c>
      <c r="C869" s="30">
        <v>18</v>
      </c>
      <c r="D869" s="30">
        <v>32</v>
      </c>
      <c r="O869" s="30">
        <v>236</v>
      </c>
      <c r="P869" s="30">
        <v>6</v>
      </c>
      <c r="Q869" s="30">
        <v>10</v>
      </c>
      <c r="R869" s="30">
        <v>0</v>
      </c>
      <c r="AI869" s="30">
        <v>236</v>
      </c>
      <c r="AJ869" s="30">
        <v>12</v>
      </c>
      <c r="AK869" s="30">
        <v>2</v>
      </c>
      <c r="AL869" s="30">
        <v>2</v>
      </c>
    </row>
    <row r="870" spans="1:38" x14ac:dyDescent="0.3">
      <c r="A870" s="30">
        <v>237</v>
      </c>
      <c r="B870" s="30">
        <v>11</v>
      </c>
      <c r="C870" s="30">
        <v>19</v>
      </c>
      <c r="D870" s="30">
        <v>31</v>
      </c>
      <c r="O870" s="30">
        <v>237</v>
      </c>
      <c r="P870" s="30">
        <v>7</v>
      </c>
      <c r="Q870" s="30">
        <v>9</v>
      </c>
      <c r="R870" s="30">
        <v>1</v>
      </c>
      <c r="AI870" s="30">
        <v>237</v>
      </c>
      <c r="AJ870" s="30">
        <v>13</v>
      </c>
      <c r="AK870" s="30">
        <v>3</v>
      </c>
      <c r="AL870" s="30">
        <v>3</v>
      </c>
    </row>
    <row r="871" spans="1:38" x14ac:dyDescent="0.3">
      <c r="A871" s="30">
        <v>238</v>
      </c>
      <c r="B871" s="30">
        <v>12</v>
      </c>
      <c r="C871" s="30">
        <v>18</v>
      </c>
      <c r="D871" s="30">
        <v>30</v>
      </c>
      <c r="O871" s="30">
        <v>238</v>
      </c>
      <c r="P871" s="30">
        <v>8</v>
      </c>
      <c r="Q871" s="30">
        <v>8</v>
      </c>
      <c r="R871" s="30">
        <v>0</v>
      </c>
      <c r="AI871" s="30">
        <v>238</v>
      </c>
      <c r="AJ871" s="30">
        <v>12</v>
      </c>
      <c r="AK871" s="30">
        <v>2</v>
      </c>
      <c r="AL871" s="30">
        <v>2</v>
      </c>
    </row>
    <row r="872" spans="1:38" x14ac:dyDescent="0.3">
      <c r="A872" s="30">
        <v>239</v>
      </c>
      <c r="B872" s="30">
        <v>13</v>
      </c>
      <c r="C872" s="30">
        <v>17</v>
      </c>
      <c r="D872" s="30">
        <v>31</v>
      </c>
      <c r="O872" s="30">
        <v>239</v>
      </c>
      <c r="P872" s="30">
        <v>9</v>
      </c>
      <c r="Q872" s="30">
        <v>9</v>
      </c>
      <c r="R872" s="30">
        <v>1</v>
      </c>
      <c r="AI872" s="30">
        <v>239</v>
      </c>
      <c r="AJ872" s="30">
        <v>13</v>
      </c>
      <c r="AK872" s="30">
        <v>1</v>
      </c>
      <c r="AL872" s="30">
        <v>1</v>
      </c>
    </row>
    <row r="873" spans="1:38" x14ac:dyDescent="0.3">
      <c r="A873" s="30">
        <v>240</v>
      </c>
      <c r="B873" s="30">
        <v>12</v>
      </c>
      <c r="C873" s="30">
        <v>16</v>
      </c>
      <c r="D873" s="30">
        <v>32</v>
      </c>
      <c r="O873" s="30">
        <v>240</v>
      </c>
      <c r="P873" s="30">
        <v>8</v>
      </c>
      <c r="Q873" s="30">
        <v>10</v>
      </c>
      <c r="R873" s="30">
        <v>0</v>
      </c>
      <c r="AI873" s="30">
        <v>240</v>
      </c>
      <c r="AJ873" s="30">
        <v>12</v>
      </c>
      <c r="AK873" s="30">
        <v>0</v>
      </c>
      <c r="AL873" s="30">
        <v>2</v>
      </c>
    </row>
    <row r="874" spans="1:38" x14ac:dyDescent="0.3">
      <c r="A874" s="30">
        <v>241</v>
      </c>
      <c r="B874" s="30">
        <v>11</v>
      </c>
      <c r="C874" s="30">
        <v>17</v>
      </c>
      <c r="D874" s="30">
        <v>31</v>
      </c>
      <c r="O874" s="30">
        <v>241</v>
      </c>
      <c r="P874" s="30">
        <v>9</v>
      </c>
      <c r="Q874" s="30">
        <v>9</v>
      </c>
      <c r="R874" s="30">
        <v>1</v>
      </c>
      <c r="AI874" s="30">
        <v>241</v>
      </c>
      <c r="AJ874" s="30">
        <v>11</v>
      </c>
      <c r="AK874" s="30">
        <v>1</v>
      </c>
      <c r="AL874" s="30">
        <v>1</v>
      </c>
    </row>
    <row r="875" spans="1:38" x14ac:dyDescent="0.3">
      <c r="A875" s="30">
        <v>242</v>
      </c>
      <c r="B875" s="30">
        <v>12</v>
      </c>
      <c r="C875" s="30">
        <v>16</v>
      </c>
      <c r="D875" s="30">
        <v>30</v>
      </c>
      <c r="O875" s="30">
        <v>242</v>
      </c>
      <c r="P875" s="30">
        <v>8</v>
      </c>
      <c r="Q875" s="30">
        <v>10</v>
      </c>
      <c r="R875" s="30">
        <v>0</v>
      </c>
      <c r="AI875" s="30">
        <v>242</v>
      </c>
      <c r="AJ875" s="30">
        <v>10</v>
      </c>
      <c r="AK875" s="30">
        <v>2</v>
      </c>
      <c r="AL875" s="30">
        <v>2</v>
      </c>
    </row>
    <row r="876" spans="1:38" x14ac:dyDescent="0.3">
      <c r="A876" s="30">
        <v>243</v>
      </c>
      <c r="B876" s="30">
        <v>13</v>
      </c>
      <c r="C876" s="30">
        <v>17</v>
      </c>
      <c r="D876" s="30">
        <v>31</v>
      </c>
      <c r="O876" s="30">
        <v>243</v>
      </c>
      <c r="P876" s="30">
        <v>9</v>
      </c>
      <c r="Q876" s="30">
        <v>11</v>
      </c>
      <c r="R876" s="30">
        <v>1</v>
      </c>
      <c r="AI876" s="30">
        <v>243</v>
      </c>
      <c r="AJ876" s="30">
        <v>11</v>
      </c>
      <c r="AK876" s="30">
        <v>1</v>
      </c>
      <c r="AL876" s="30">
        <v>1</v>
      </c>
    </row>
    <row r="877" spans="1:38" x14ac:dyDescent="0.3">
      <c r="A877" s="30">
        <v>244</v>
      </c>
      <c r="B877" s="30">
        <v>14</v>
      </c>
      <c r="C877" s="30">
        <v>18</v>
      </c>
      <c r="D877" s="30">
        <v>32</v>
      </c>
      <c r="O877" s="30">
        <v>244</v>
      </c>
      <c r="P877" s="30">
        <v>10</v>
      </c>
      <c r="Q877" s="30">
        <v>10</v>
      </c>
      <c r="R877" s="30">
        <v>0</v>
      </c>
      <c r="AI877" s="30">
        <v>244</v>
      </c>
      <c r="AJ877" s="30">
        <v>10</v>
      </c>
      <c r="AK877" s="30">
        <v>0</v>
      </c>
      <c r="AL877" s="30">
        <v>0</v>
      </c>
    </row>
    <row r="878" spans="1:38" x14ac:dyDescent="0.3">
      <c r="A878" s="30">
        <v>245</v>
      </c>
      <c r="B878" s="30">
        <v>13</v>
      </c>
      <c r="C878" s="30">
        <v>17</v>
      </c>
      <c r="D878" s="30">
        <v>31</v>
      </c>
      <c r="O878" s="30">
        <v>245</v>
      </c>
      <c r="P878" s="30">
        <v>11</v>
      </c>
      <c r="Q878" s="30">
        <v>11</v>
      </c>
      <c r="R878" s="30">
        <v>1</v>
      </c>
      <c r="AI878" s="30">
        <v>245</v>
      </c>
      <c r="AJ878" s="30">
        <v>11</v>
      </c>
      <c r="AK878" s="30">
        <v>1</v>
      </c>
      <c r="AL878" s="30">
        <v>1</v>
      </c>
    </row>
    <row r="879" spans="1:38" x14ac:dyDescent="0.3">
      <c r="A879" s="30">
        <v>246</v>
      </c>
      <c r="B879" s="30">
        <v>14</v>
      </c>
      <c r="C879" s="30">
        <v>18</v>
      </c>
      <c r="D879" s="30">
        <v>30</v>
      </c>
      <c r="O879" s="30">
        <v>246</v>
      </c>
      <c r="P879" s="30">
        <v>12</v>
      </c>
      <c r="Q879" s="30">
        <v>10</v>
      </c>
      <c r="R879" s="30">
        <v>2</v>
      </c>
      <c r="AI879" s="30">
        <v>246</v>
      </c>
      <c r="AJ879" s="30">
        <v>12</v>
      </c>
      <c r="AK879" s="30">
        <v>0</v>
      </c>
      <c r="AL879" s="30">
        <v>0</v>
      </c>
    </row>
    <row r="880" spans="1:38" x14ac:dyDescent="0.3">
      <c r="A880" s="30">
        <v>247</v>
      </c>
      <c r="B880" s="30">
        <v>15</v>
      </c>
      <c r="C880" s="30">
        <v>17</v>
      </c>
      <c r="D880" s="30">
        <v>31</v>
      </c>
      <c r="O880" s="30">
        <v>247</v>
      </c>
      <c r="P880" s="30">
        <v>11</v>
      </c>
      <c r="Q880" s="30">
        <v>11</v>
      </c>
      <c r="R880" s="30">
        <v>3</v>
      </c>
      <c r="AI880" s="30">
        <v>247</v>
      </c>
      <c r="AJ880" s="30">
        <v>13</v>
      </c>
      <c r="AK880" s="30">
        <v>1</v>
      </c>
      <c r="AL880" s="30">
        <v>1</v>
      </c>
    </row>
    <row r="881" spans="1:38" x14ac:dyDescent="0.3">
      <c r="A881" s="30">
        <v>248</v>
      </c>
      <c r="B881" s="30">
        <v>16</v>
      </c>
      <c r="C881" s="30">
        <v>16</v>
      </c>
      <c r="D881" s="30">
        <v>30</v>
      </c>
      <c r="O881" s="30">
        <v>248</v>
      </c>
      <c r="P881" s="30">
        <v>10</v>
      </c>
      <c r="Q881" s="30">
        <v>12</v>
      </c>
      <c r="R881" s="30">
        <v>2</v>
      </c>
      <c r="AI881" s="30">
        <v>248</v>
      </c>
      <c r="AJ881" s="30">
        <v>12</v>
      </c>
      <c r="AK881" s="30">
        <v>2</v>
      </c>
      <c r="AL881" s="30">
        <v>0</v>
      </c>
    </row>
    <row r="882" spans="1:38" x14ac:dyDescent="0.3">
      <c r="A882" s="30">
        <v>249</v>
      </c>
      <c r="B882" s="30">
        <v>17</v>
      </c>
      <c r="C882" s="30">
        <v>15</v>
      </c>
      <c r="D882" s="30">
        <v>31</v>
      </c>
      <c r="O882" s="30">
        <v>249</v>
      </c>
      <c r="P882" s="30">
        <v>9</v>
      </c>
      <c r="Q882" s="30">
        <v>11</v>
      </c>
      <c r="R882" s="30">
        <v>3</v>
      </c>
      <c r="AI882" s="30">
        <v>249</v>
      </c>
      <c r="AJ882" s="30">
        <v>13</v>
      </c>
      <c r="AK882" s="30">
        <v>1</v>
      </c>
      <c r="AL882" s="30">
        <v>1</v>
      </c>
    </row>
    <row r="883" spans="1:38" x14ac:dyDescent="0.3">
      <c r="A883" s="30">
        <v>250</v>
      </c>
      <c r="B883" s="30">
        <v>16</v>
      </c>
      <c r="C883" s="30">
        <v>16</v>
      </c>
      <c r="D883" s="30">
        <v>30</v>
      </c>
      <c r="O883" s="30">
        <v>250</v>
      </c>
      <c r="P883" s="30">
        <v>8</v>
      </c>
      <c r="Q883" s="30">
        <v>10</v>
      </c>
      <c r="R883" s="30">
        <v>2</v>
      </c>
      <c r="AI883" s="30">
        <v>250</v>
      </c>
      <c r="AJ883" s="30">
        <v>12</v>
      </c>
      <c r="AK883" s="30">
        <v>2</v>
      </c>
      <c r="AL883" s="30">
        <v>2</v>
      </c>
    </row>
    <row r="884" spans="1:38" x14ac:dyDescent="0.3">
      <c r="A884" s="30">
        <v>251</v>
      </c>
      <c r="B884" s="30">
        <v>17</v>
      </c>
      <c r="C884" s="30">
        <v>15</v>
      </c>
      <c r="D884" s="30">
        <v>29</v>
      </c>
      <c r="O884" s="30">
        <v>251</v>
      </c>
      <c r="P884" s="30">
        <v>9</v>
      </c>
      <c r="Q884" s="30">
        <v>9</v>
      </c>
      <c r="R884" s="30">
        <v>1</v>
      </c>
      <c r="AI884" s="30">
        <v>251</v>
      </c>
      <c r="AJ884" s="30">
        <v>13</v>
      </c>
      <c r="AK884" s="30">
        <v>1</v>
      </c>
      <c r="AL884" s="30">
        <v>1</v>
      </c>
    </row>
    <row r="885" spans="1:38" x14ac:dyDescent="0.3">
      <c r="A885" s="30">
        <v>252</v>
      </c>
      <c r="B885" s="30">
        <v>18</v>
      </c>
      <c r="C885" s="30">
        <v>16</v>
      </c>
      <c r="D885" s="30">
        <v>30</v>
      </c>
      <c r="O885" s="30">
        <v>252</v>
      </c>
      <c r="P885" s="30">
        <v>10</v>
      </c>
      <c r="Q885" s="30">
        <v>10</v>
      </c>
      <c r="R885" s="30">
        <v>2</v>
      </c>
      <c r="AI885" s="30">
        <v>252</v>
      </c>
      <c r="AJ885" s="30">
        <v>14</v>
      </c>
      <c r="AK885" s="30">
        <v>0</v>
      </c>
      <c r="AL885" s="30">
        <v>0</v>
      </c>
    </row>
    <row r="886" spans="1:38" x14ac:dyDescent="0.3">
      <c r="A886" s="30">
        <v>253</v>
      </c>
      <c r="B886" s="30">
        <v>17</v>
      </c>
      <c r="C886" s="30">
        <v>17</v>
      </c>
      <c r="D886" s="30">
        <v>31</v>
      </c>
      <c r="O886" s="30">
        <v>253</v>
      </c>
      <c r="P886" s="30">
        <v>9</v>
      </c>
      <c r="Q886" s="30">
        <v>11</v>
      </c>
      <c r="R886" s="30">
        <v>3</v>
      </c>
      <c r="AI886" s="30">
        <v>253</v>
      </c>
      <c r="AJ886" s="30">
        <v>13</v>
      </c>
      <c r="AK886" s="30">
        <v>1</v>
      </c>
      <c r="AL886" s="30">
        <v>1</v>
      </c>
    </row>
    <row r="887" spans="1:38" x14ac:dyDescent="0.3">
      <c r="A887" s="30">
        <v>254</v>
      </c>
      <c r="B887" s="30">
        <v>16</v>
      </c>
      <c r="C887" s="30">
        <v>18</v>
      </c>
      <c r="D887" s="30">
        <v>32</v>
      </c>
      <c r="O887" s="30">
        <v>254</v>
      </c>
      <c r="P887" s="30">
        <v>8</v>
      </c>
      <c r="Q887" s="30">
        <v>10</v>
      </c>
      <c r="R887" s="30">
        <v>4</v>
      </c>
      <c r="AI887" s="30">
        <v>254</v>
      </c>
      <c r="AJ887" s="30">
        <v>14</v>
      </c>
      <c r="AK887" s="30">
        <v>2</v>
      </c>
      <c r="AL887" s="30">
        <v>2</v>
      </c>
    </row>
    <row r="888" spans="1:38" x14ac:dyDescent="0.3">
      <c r="A888" s="30">
        <v>255</v>
      </c>
      <c r="B888" s="30">
        <v>15</v>
      </c>
      <c r="C888" s="30">
        <v>17</v>
      </c>
      <c r="D888" s="30">
        <v>33</v>
      </c>
      <c r="O888" s="30">
        <v>255</v>
      </c>
      <c r="P888" s="30">
        <v>9</v>
      </c>
      <c r="Q888" s="30">
        <v>11</v>
      </c>
      <c r="R888" s="30">
        <v>5</v>
      </c>
      <c r="AI888" s="30">
        <v>255</v>
      </c>
      <c r="AJ888" s="30">
        <v>13</v>
      </c>
      <c r="AK888" s="30">
        <v>1</v>
      </c>
      <c r="AL888" s="30">
        <v>1</v>
      </c>
    </row>
    <row r="889" spans="1:38" x14ac:dyDescent="0.3">
      <c r="A889" s="30">
        <v>256</v>
      </c>
      <c r="B889" s="30">
        <v>16</v>
      </c>
      <c r="C889" s="30">
        <v>18</v>
      </c>
      <c r="D889" s="30">
        <v>34</v>
      </c>
      <c r="O889" s="30">
        <v>256</v>
      </c>
      <c r="P889" s="30">
        <v>8</v>
      </c>
      <c r="Q889" s="30">
        <v>12</v>
      </c>
      <c r="R889" s="30">
        <v>4</v>
      </c>
      <c r="AI889" s="30">
        <v>256</v>
      </c>
      <c r="AJ889" s="30">
        <v>14</v>
      </c>
      <c r="AK889" s="30">
        <v>2</v>
      </c>
      <c r="AL889" s="30">
        <v>0</v>
      </c>
    </row>
    <row r="890" spans="1:38" x14ac:dyDescent="0.3">
      <c r="A890" s="30">
        <v>257</v>
      </c>
      <c r="B890" s="30">
        <v>17</v>
      </c>
      <c r="C890" s="30">
        <v>19</v>
      </c>
      <c r="D890" s="30">
        <v>35</v>
      </c>
      <c r="O890" s="30">
        <v>257</v>
      </c>
      <c r="P890" s="30">
        <v>7</v>
      </c>
      <c r="Q890" s="30">
        <v>11</v>
      </c>
      <c r="R890" s="30">
        <v>3</v>
      </c>
      <c r="AI890" s="30">
        <v>257</v>
      </c>
      <c r="AJ890" s="30">
        <v>15</v>
      </c>
      <c r="AK890" s="30">
        <v>1</v>
      </c>
      <c r="AL890" s="30">
        <v>1</v>
      </c>
    </row>
    <row r="891" spans="1:38" x14ac:dyDescent="0.3">
      <c r="A891" s="30">
        <v>258</v>
      </c>
      <c r="B891" s="30">
        <v>16</v>
      </c>
      <c r="C891" s="30">
        <v>18</v>
      </c>
      <c r="D891" s="30">
        <v>34</v>
      </c>
      <c r="O891" s="30">
        <v>258</v>
      </c>
      <c r="P891" s="30">
        <v>6</v>
      </c>
      <c r="Q891" s="30">
        <v>10</v>
      </c>
      <c r="R891" s="30">
        <v>4</v>
      </c>
      <c r="AI891" s="30">
        <v>258</v>
      </c>
      <c r="AJ891" s="30">
        <v>14</v>
      </c>
      <c r="AK891" s="30">
        <v>0</v>
      </c>
      <c r="AL891" s="30">
        <v>2</v>
      </c>
    </row>
    <row r="892" spans="1:38" x14ac:dyDescent="0.3">
      <c r="A892" s="30">
        <v>259</v>
      </c>
      <c r="B892" s="30">
        <v>15</v>
      </c>
      <c r="C892" s="30">
        <v>17</v>
      </c>
      <c r="D892" s="30">
        <v>35</v>
      </c>
      <c r="O892" s="30">
        <v>259</v>
      </c>
      <c r="P892" s="30">
        <v>5</v>
      </c>
      <c r="Q892" s="30">
        <v>9</v>
      </c>
      <c r="R892" s="30">
        <v>3</v>
      </c>
      <c r="AI892" s="30">
        <v>259</v>
      </c>
      <c r="AJ892" s="30">
        <v>13</v>
      </c>
      <c r="AK892" s="30">
        <v>1</v>
      </c>
      <c r="AL892" s="30">
        <v>1</v>
      </c>
    </row>
    <row r="893" spans="1:38" x14ac:dyDescent="0.3">
      <c r="A893" s="30">
        <v>260</v>
      </c>
      <c r="B893" s="30">
        <v>14</v>
      </c>
      <c r="C893" s="30">
        <v>16</v>
      </c>
      <c r="D893" s="30">
        <v>36</v>
      </c>
      <c r="O893" s="30">
        <v>260</v>
      </c>
      <c r="P893" s="30">
        <v>4</v>
      </c>
      <c r="Q893" s="30">
        <v>10</v>
      </c>
      <c r="R893" s="30">
        <v>2</v>
      </c>
      <c r="AI893" s="30">
        <v>260</v>
      </c>
      <c r="AJ893" s="30">
        <v>14</v>
      </c>
      <c r="AK893" s="30">
        <v>0</v>
      </c>
      <c r="AL893" s="30">
        <v>2</v>
      </c>
    </row>
    <row r="894" spans="1:38" x14ac:dyDescent="0.3">
      <c r="A894" s="30">
        <v>261</v>
      </c>
      <c r="B894" s="30">
        <v>15</v>
      </c>
      <c r="C894" s="30">
        <v>15</v>
      </c>
      <c r="D894" s="30">
        <v>37</v>
      </c>
      <c r="O894" s="30">
        <v>261</v>
      </c>
      <c r="P894" s="30">
        <v>5</v>
      </c>
      <c r="Q894" s="30">
        <v>11</v>
      </c>
      <c r="R894" s="30">
        <v>1</v>
      </c>
      <c r="AI894" s="30">
        <v>261</v>
      </c>
      <c r="AJ894" s="30">
        <v>15</v>
      </c>
      <c r="AK894" s="30">
        <v>1</v>
      </c>
      <c r="AL894" s="30">
        <v>3</v>
      </c>
    </row>
    <row r="895" spans="1:38" x14ac:dyDescent="0.3">
      <c r="A895" s="30">
        <v>262</v>
      </c>
      <c r="B895" s="30">
        <v>16</v>
      </c>
      <c r="C895" s="30">
        <v>16</v>
      </c>
      <c r="D895" s="30">
        <v>36</v>
      </c>
      <c r="O895" s="30">
        <v>262</v>
      </c>
      <c r="P895" s="30">
        <v>6</v>
      </c>
      <c r="Q895" s="30">
        <v>12</v>
      </c>
      <c r="R895" s="30">
        <v>0</v>
      </c>
      <c r="AI895" s="30">
        <v>262</v>
      </c>
      <c r="AJ895" s="30">
        <v>16</v>
      </c>
      <c r="AK895" s="30">
        <v>0</v>
      </c>
      <c r="AL895" s="30">
        <v>2</v>
      </c>
    </row>
    <row r="896" spans="1:38" x14ac:dyDescent="0.3">
      <c r="A896" s="30">
        <v>263</v>
      </c>
      <c r="B896" s="30">
        <v>15</v>
      </c>
      <c r="C896" s="30">
        <v>17</v>
      </c>
      <c r="D896" s="30">
        <v>37</v>
      </c>
      <c r="O896" s="30">
        <v>263</v>
      </c>
      <c r="P896" s="30">
        <v>5</v>
      </c>
      <c r="Q896" s="30">
        <v>11</v>
      </c>
      <c r="R896" s="30">
        <v>1</v>
      </c>
      <c r="AI896" s="30">
        <v>263</v>
      </c>
      <c r="AJ896" s="30">
        <v>15</v>
      </c>
      <c r="AK896" s="30">
        <v>1</v>
      </c>
      <c r="AL896" s="30">
        <v>1</v>
      </c>
    </row>
    <row r="897" spans="1:38" x14ac:dyDescent="0.3">
      <c r="A897" s="30">
        <v>264</v>
      </c>
      <c r="B897" s="30">
        <v>16</v>
      </c>
      <c r="C897" s="30">
        <v>16</v>
      </c>
      <c r="D897" s="30">
        <v>36</v>
      </c>
      <c r="O897" s="30">
        <v>264</v>
      </c>
      <c r="P897" s="30">
        <v>4</v>
      </c>
      <c r="Q897" s="30">
        <v>12</v>
      </c>
      <c r="R897" s="30">
        <v>0</v>
      </c>
      <c r="AI897" s="30">
        <v>264</v>
      </c>
      <c r="AJ897" s="30">
        <v>14</v>
      </c>
      <c r="AK897" s="30">
        <v>2</v>
      </c>
      <c r="AL897" s="30">
        <v>0</v>
      </c>
    </row>
    <row r="898" spans="1:38" x14ac:dyDescent="0.3">
      <c r="A898" s="30">
        <v>265</v>
      </c>
      <c r="B898" s="30">
        <v>17</v>
      </c>
      <c r="C898" s="30">
        <v>17</v>
      </c>
      <c r="D898" s="30">
        <v>35</v>
      </c>
      <c r="O898" s="30">
        <v>265</v>
      </c>
      <c r="P898" s="30">
        <v>3</v>
      </c>
      <c r="Q898" s="30">
        <v>11</v>
      </c>
      <c r="R898" s="30">
        <v>1</v>
      </c>
      <c r="AI898" s="30">
        <v>265</v>
      </c>
      <c r="AJ898" s="30">
        <v>15</v>
      </c>
      <c r="AK898" s="30">
        <v>3</v>
      </c>
      <c r="AL898" s="30">
        <v>1</v>
      </c>
    </row>
    <row r="899" spans="1:38" x14ac:dyDescent="0.3">
      <c r="A899" s="30">
        <v>266</v>
      </c>
      <c r="B899" s="30">
        <v>18</v>
      </c>
      <c r="C899" s="30">
        <v>16</v>
      </c>
      <c r="D899" s="30">
        <v>36</v>
      </c>
      <c r="O899" s="30">
        <v>266</v>
      </c>
      <c r="P899" s="30">
        <v>4</v>
      </c>
      <c r="Q899" s="30">
        <v>10</v>
      </c>
      <c r="R899" s="30">
        <v>0</v>
      </c>
      <c r="AI899" s="30">
        <v>266</v>
      </c>
      <c r="AJ899" s="30">
        <v>16</v>
      </c>
      <c r="AK899" s="30">
        <v>4</v>
      </c>
      <c r="AL899" s="30">
        <v>2</v>
      </c>
    </row>
    <row r="900" spans="1:38" x14ac:dyDescent="0.3">
      <c r="A900" s="30">
        <v>267</v>
      </c>
      <c r="B900" s="30">
        <v>17</v>
      </c>
      <c r="C900" s="30">
        <v>15</v>
      </c>
      <c r="D900" s="30">
        <v>35</v>
      </c>
      <c r="O900" s="30">
        <v>267</v>
      </c>
      <c r="P900" s="30">
        <v>3</v>
      </c>
      <c r="Q900" s="30">
        <v>9</v>
      </c>
      <c r="R900" s="30">
        <v>1</v>
      </c>
      <c r="AI900" s="30">
        <v>267</v>
      </c>
      <c r="AJ900" s="30">
        <v>17</v>
      </c>
      <c r="AK900" s="30">
        <v>3</v>
      </c>
      <c r="AL900" s="30">
        <v>3</v>
      </c>
    </row>
    <row r="901" spans="1:38" x14ac:dyDescent="0.3">
      <c r="A901" s="30">
        <v>268</v>
      </c>
      <c r="B901" s="30">
        <v>18</v>
      </c>
      <c r="C901" s="30">
        <v>14</v>
      </c>
      <c r="D901" s="30">
        <v>36</v>
      </c>
      <c r="O901" s="30">
        <v>268</v>
      </c>
      <c r="P901" s="30">
        <v>2</v>
      </c>
      <c r="Q901" s="30">
        <v>8</v>
      </c>
      <c r="R901" s="30">
        <v>0</v>
      </c>
      <c r="AI901" s="30">
        <v>268</v>
      </c>
      <c r="AJ901" s="30">
        <v>16</v>
      </c>
      <c r="AK901" s="30">
        <v>2</v>
      </c>
      <c r="AL901" s="30">
        <v>4</v>
      </c>
    </row>
    <row r="902" spans="1:38" x14ac:dyDescent="0.3">
      <c r="A902" s="30">
        <v>269</v>
      </c>
      <c r="B902" s="30">
        <v>17</v>
      </c>
      <c r="C902" s="30">
        <v>15</v>
      </c>
      <c r="D902" s="30">
        <v>35</v>
      </c>
      <c r="O902" s="30">
        <v>269</v>
      </c>
      <c r="P902" s="30">
        <v>1</v>
      </c>
      <c r="Q902" s="30">
        <v>7</v>
      </c>
      <c r="R902" s="30">
        <v>1</v>
      </c>
      <c r="AI902" s="30">
        <v>269</v>
      </c>
      <c r="AJ902" s="30">
        <v>15</v>
      </c>
      <c r="AK902" s="30">
        <v>3</v>
      </c>
      <c r="AL902" s="30">
        <v>5</v>
      </c>
    </row>
    <row r="903" spans="1:38" x14ac:dyDescent="0.3">
      <c r="A903" s="30">
        <v>270</v>
      </c>
      <c r="B903" s="30">
        <v>16</v>
      </c>
      <c r="C903" s="30">
        <v>16</v>
      </c>
      <c r="D903" s="30">
        <v>36</v>
      </c>
      <c r="O903" s="30">
        <v>270</v>
      </c>
      <c r="P903" s="30">
        <v>0</v>
      </c>
      <c r="Q903" s="30">
        <v>8</v>
      </c>
      <c r="R903" s="30">
        <v>2</v>
      </c>
      <c r="AI903" s="30">
        <v>270</v>
      </c>
      <c r="AJ903" s="30">
        <v>14</v>
      </c>
      <c r="AK903" s="30">
        <v>4</v>
      </c>
      <c r="AL903" s="30">
        <v>4</v>
      </c>
    </row>
    <row r="904" spans="1:38" x14ac:dyDescent="0.3">
      <c r="A904" s="30">
        <v>271</v>
      </c>
      <c r="B904" s="30">
        <v>17</v>
      </c>
      <c r="C904" s="30">
        <v>15</v>
      </c>
      <c r="D904" s="30">
        <v>35</v>
      </c>
      <c r="O904" s="30">
        <v>271</v>
      </c>
      <c r="P904" s="30">
        <v>1</v>
      </c>
      <c r="Q904" s="30">
        <v>9</v>
      </c>
      <c r="R904" s="30">
        <v>1</v>
      </c>
      <c r="AI904" s="30">
        <v>271</v>
      </c>
      <c r="AJ904" s="30">
        <v>13</v>
      </c>
      <c r="AK904" s="30">
        <v>3</v>
      </c>
      <c r="AL904" s="30">
        <v>3</v>
      </c>
    </row>
    <row r="905" spans="1:38" x14ac:dyDescent="0.3">
      <c r="A905" s="30">
        <v>272</v>
      </c>
      <c r="B905" s="30">
        <v>18</v>
      </c>
      <c r="C905" s="30">
        <v>14</v>
      </c>
      <c r="D905" s="30">
        <v>36</v>
      </c>
      <c r="O905" s="30">
        <v>272</v>
      </c>
      <c r="P905" s="30">
        <v>2</v>
      </c>
      <c r="Q905" s="30">
        <v>8</v>
      </c>
      <c r="R905" s="30">
        <v>2</v>
      </c>
      <c r="AI905" s="30">
        <v>272</v>
      </c>
      <c r="AJ905" s="30">
        <v>12</v>
      </c>
      <c r="AK905" s="30">
        <v>4</v>
      </c>
      <c r="AL905" s="30">
        <v>4</v>
      </c>
    </row>
    <row r="906" spans="1:38" x14ac:dyDescent="0.3">
      <c r="A906" s="30">
        <v>273</v>
      </c>
      <c r="B906" s="30">
        <v>19</v>
      </c>
      <c r="C906" s="30">
        <v>13</v>
      </c>
      <c r="D906" s="30">
        <v>35</v>
      </c>
      <c r="O906" s="30">
        <v>273</v>
      </c>
      <c r="P906" s="30">
        <v>1</v>
      </c>
      <c r="Q906" s="30">
        <v>9</v>
      </c>
      <c r="R906" s="30">
        <v>1</v>
      </c>
      <c r="AI906" s="30">
        <v>273</v>
      </c>
      <c r="AJ906" s="30">
        <v>11</v>
      </c>
      <c r="AK906" s="30">
        <v>5</v>
      </c>
      <c r="AL906" s="30">
        <v>5</v>
      </c>
    </row>
    <row r="907" spans="1:38" x14ac:dyDescent="0.3">
      <c r="A907" s="30">
        <v>274</v>
      </c>
      <c r="B907" s="30">
        <v>20</v>
      </c>
      <c r="C907" s="30">
        <v>12</v>
      </c>
      <c r="D907" s="30">
        <v>34</v>
      </c>
      <c r="O907" s="30">
        <v>274</v>
      </c>
      <c r="P907" s="30">
        <v>0</v>
      </c>
      <c r="Q907" s="30">
        <v>8</v>
      </c>
      <c r="R907" s="30">
        <v>2</v>
      </c>
      <c r="AI907" s="30">
        <v>274</v>
      </c>
      <c r="AJ907" s="30">
        <v>10</v>
      </c>
      <c r="AK907" s="30">
        <v>4</v>
      </c>
      <c r="AL907" s="30">
        <v>6</v>
      </c>
    </row>
    <row r="908" spans="1:38" x14ac:dyDescent="0.3">
      <c r="A908" s="30">
        <v>275</v>
      </c>
      <c r="B908" s="30">
        <v>21</v>
      </c>
      <c r="C908" s="30">
        <v>13</v>
      </c>
      <c r="D908" s="30">
        <v>35</v>
      </c>
      <c r="O908" s="30">
        <v>275</v>
      </c>
      <c r="P908" s="30">
        <v>1</v>
      </c>
      <c r="Q908" s="30">
        <v>7</v>
      </c>
      <c r="R908" s="30">
        <v>3</v>
      </c>
      <c r="AI908" s="30">
        <v>275</v>
      </c>
      <c r="AJ908" s="30">
        <v>11</v>
      </c>
      <c r="AK908" s="30">
        <v>5</v>
      </c>
      <c r="AL908" s="30">
        <v>7</v>
      </c>
    </row>
    <row r="909" spans="1:38" x14ac:dyDescent="0.3">
      <c r="A909" s="30">
        <v>276</v>
      </c>
      <c r="B909" s="30">
        <v>20</v>
      </c>
      <c r="C909" s="30">
        <v>14</v>
      </c>
      <c r="D909" s="30">
        <v>36</v>
      </c>
      <c r="O909" s="30">
        <v>276</v>
      </c>
      <c r="P909" s="30">
        <v>0</v>
      </c>
      <c r="Q909" s="30">
        <v>8</v>
      </c>
      <c r="R909" s="30">
        <v>4</v>
      </c>
      <c r="AI909" s="30">
        <v>276</v>
      </c>
      <c r="AJ909" s="30">
        <v>10</v>
      </c>
      <c r="AK909" s="30">
        <v>6</v>
      </c>
      <c r="AL909" s="30">
        <v>6</v>
      </c>
    </row>
    <row r="910" spans="1:38" x14ac:dyDescent="0.3">
      <c r="A910" s="30">
        <v>277</v>
      </c>
      <c r="B910" s="30">
        <v>21</v>
      </c>
      <c r="C910" s="30">
        <v>13</v>
      </c>
      <c r="D910" s="30">
        <v>35</v>
      </c>
      <c r="O910" s="30">
        <v>277</v>
      </c>
      <c r="P910" s="30">
        <v>1</v>
      </c>
      <c r="Q910" s="30">
        <v>9</v>
      </c>
      <c r="R910" s="30">
        <v>3</v>
      </c>
      <c r="AI910" s="30">
        <v>277</v>
      </c>
      <c r="AJ910" s="30">
        <v>11</v>
      </c>
      <c r="AK910" s="30">
        <v>5</v>
      </c>
      <c r="AL910" s="30">
        <v>5</v>
      </c>
    </row>
    <row r="911" spans="1:38" x14ac:dyDescent="0.3">
      <c r="A911" s="30">
        <v>278</v>
      </c>
      <c r="B911" s="30">
        <v>22</v>
      </c>
      <c r="C911" s="30">
        <v>14</v>
      </c>
      <c r="D911" s="30">
        <v>36</v>
      </c>
      <c r="O911" s="30">
        <v>278</v>
      </c>
      <c r="P911" s="30">
        <v>0</v>
      </c>
      <c r="Q911" s="30">
        <v>10</v>
      </c>
      <c r="R911" s="30">
        <v>4</v>
      </c>
      <c r="AI911" s="30">
        <v>278</v>
      </c>
      <c r="AJ911" s="30">
        <v>10</v>
      </c>
      <c r="AK911" s="30">
        <v>4</v>
      </c>
      <c r="AL911" s="30">
        <v>4</v>
      </c>
    </row>
    <row r="912" spans="1:38" x14ac:dyDescent="0.3">
      <c r="A912" s="30">
        <v>279</v>
      </c>
      <c r="B912" s="30">
        <v>23</v>
      </c>
      <c r="C912" s="30">
        <v>13</v>
      </c>
      <c r="D912" s="30">
        <v>35</v>
      </c>
      <c r="O912" s="30">
        <v>279</v>
      </c>
      <c r="P912" s="30">
        <v>1</v>
      </c>
      <c r="Q912" s="30">
        <v>11</v>
      </c>
      <c r="R912" s="30">
        <v>3</v>
      </c>
      <c r="AI912" s="30">
        <v>279</v>
      </c>
      <c r="AJ912" s="30">
        <v>11</v>
      </c>
      <c r="AK912" s="30">
        <v>5</v>
      </c>
      <c r="AL912" s="30">
        <v>3</v>
      </c>
    </row>
    <row r="913" spans="1:38" x14ac:dyDescent="0.3">
      <c r="A913" s="30">
        <v>280</v>
      </c>
      <c r="B913" s="30">
        <v>24</v>
      </c>
      <c r="C913" s="30">
        <v>12</v>
      </c>
      <c r="D913" s="30">
        <v>36</v>
      </c>
      <c r="O913" s="30">
        <v>280</v>
      </c>
      <c r="P913" s="30">
        <v>0</v>
      </c>
      <c r="Q913" s="30">
        <v>10</v>
      </c>
      <c r="R913" s="30">
        <v>2</v>
      </c>
      <c r="AI913" s="30">
        <v>280</v>
      </c>
      <c r="AJ913" s="30">
        <v>10</v>
      </c>
      <c r="AK913" s="30">
        <v>4</v>
      </c>
      <c r="AL913" s="30">
        <v>2</v>
      </c>
    </row>
    <row r="914" spans="1:38" x14ac:dyDescent="0.3">
      <c r="A914" s="30">
        <v>281</v>
      </c>
      <c r="B914" s="30">
        <v>23</v>
      </c>
      <c r="C914" s="30">
        <v>13</v>
      </c>
      <c r="D914" s="30">
        <v>37</v>
      </c>
      <c r="O914" s="30">
        <v>281</v>
      </c>
      <c r="P914" s="30">
        <v>1</v>
      </c>
      <c r="Q914" s="30">
        <v>9</v>
      </c>
      <c r="R914" s="30">
        <v>1</v>
      </c>
      <c r="AI914" s="30">
        <v>281</v>
      </c>
      <c r="AJ914" s="30">
        <v>11</v>
      </c>
      <c r="AK914" s="30">
        <v>3</v>
      </c>
      <c r="AL914" s="30">
        <v>1</v>
      </c>
    </row>
    <row r="915" spans="1:38" x14ac:dyDescent="0.3">
      <c r="A915" s="30">
        <v>282</v>
      </c>
      <c r="B915" s="30">
        <v>24</v>
      </c>
      <c r="C915" s="30">
        <v>12</v>
      </c>
      <c r="D915" s="30">
        <v>38</v>
      </c>
      <c r="O915" s="30">
        <v>282</v>
      </c>
      <c r="P915" s="30">
        <v>2</v>
      </c>
      <c r="Q915" s="30">
        <v>10</v>
      </c>
      <c r="R915" s="30">
        <v>0</v>
      </c>
      <c r="AI915" s="30">
        <v>282</v>
      </c>
      <c r="AJ915" s="30">
        <v>12</v>
      </c>
      <c r="AK915" s="30">
        <v>4</v>
      </c>
      <c r="AL915" s="30">
        <v>0</v>
      </c>
    </row>
    <row r="916" spans="1:38" x14ac:dyDescent="0.3">
      <c r="A916" s="30">
        <v>283</v>
      </c>
      <c r="B916" s="30">
        <v>25</v>
      </c>
      <c r="C916" s="30">
        <v>11</v>
      </c>
      <c r="D916" s="30">
        <v>39</v>
      </c>
      <c r="O916" s="30">
        <v>283</v>
      </c>
      <c r="P916" s="30">
        <v>1</v>
      </c>
      <c r="Q916" s="30">
        <v>9</v>
      </c>
      <c r="R916" s="30">
        <v>1</v>
      </c>
      <c r="AI916" s="30">
        <v>283</v>
      </c>
      <c r="AJ916" s="30">
        <v>11</v>
      </c>
      <c r="AK916" s="30">
        <v>3</v>
      </c>
      <c r="AL916" s="30">
        <v>1</v>
      </c>
    </row>
    <row r="917" spans="1:38" x14ac:dyDescent="0.3">
      <c r="A917" s="30">
        <v>284</v>
      </c>
      <c r="B917" s="30">
        <v>26</v>
      </c>
      <c r="C917" s="30">
        <v>10</v>
      </c>
      <c r="D917" s="30">
        <v>38</v>
      </c>
      <c r="O917" s="30">
        <v>284</v>
      </c>
      <c r="P917" s="30">
        <v>0</v>
      </c>
      <c r="Q917" s="30">
        <v>10</v>
      </c>
      <c r="R917" s="30">
        <v>2</v>
      </c>
      <c r="AI917" s="30">
        <v>284</v>
      </c>
      <c r="AJ917" s="30">
        <v>12</v>
      </c>
      <c r="AK917" s="30">
        <v>2</v>
      </c>
      <c r="AL917" s="30">
        <v>0</v>
      </c>
    </row>
    <row r="918" spans="1:38" x14ac:dyDescent="0.3">
      <c r="A918" s="30">
        <v>285</v>
      </c>
      <c r="B918" s="30">
        <v>27</v>
      </c>
      <c r="C918" s="30">
        <v>9</v>
      </c>
      <c r="D918" s="30">
        <v>37</v>
      </c>
      <c r="O918" s="30">
        <v>285</v>
      </c>
      <c r="P918" s="30">
        <v>1</v>
      </c>
      <c r="Q918" s="30">
        <v>11</v>
      </c>
      <c r="R918" s="30">
        <v>1</v>
      </c>
      <c r="AI918" s="30">
        <v>285</v>
      </c>
      <c r="AJ918" s="30">
        <v>13</v>
      </c>
      <c r="AK918" s="30">
        <v>3</v>
      </c>
      <c r="AL918" s="30">
        <v>1</v>
      </c>
    </row>
    <row r="919" spans="1:38" x14ac:dyDescent="0.3">
      <c r="A919" s="30">
        <v>286</v>
      </c>
      <c r="B919" s="30">
        <v>28</v>
      </c>
      <c r="C919" s="30">
        <v>10</v>
      </c>
      <c r="D919" s="30">
        <v>36</v>
      </c>
      <c r="O919" s="30">
        <v>286</v>
      </c>
      <c r="P919" s="30">
        <v>0</v>
      </c>
      <c r="Q919" s="30">
        <v>12</v>
      </c>
      <c r="R919" s="30">
        <v>2</v>
      </c>
      <c r="AI919" s="30">
        <v>286</v>
      </c>
      <c r="AJ919" s="30">
        <v>12</v>
      </c>
      <c r="AK919" s="30">
        <v>2</v>
      </c>
      <c r="AL919" s="30">
        <v>0</v>
      </c>
    </row>
    <row r="920" spans="1:38" x14ac:dyDescent="0.3">
      <c r="A920" s="30">
        <v>287</v>
      </c>
      <c r="B920" s="30">
        <v>27</v>
      </c>
      <c r="C920" s="30">
        <v>11</v>
      </c>
      <c r="D920" s="30">
        <v>37</v>
      </c>
      <c r="O920" s="30">
        <v>287</v>
      </c>
      <c r="P920" s="30">
        <v>1</v>
      </c>
      <c r="Q920" s="30">
        <v>11</v>
      </c>
      <c r="R920" s="30">
        <v>3</v>
      </c>
      <c r="AI920" s="30">
        <v>287</v>
      </c>
      <c r="AJ920" s="30">
        <v>13</v>
      </c>
      <c r="AK920" s="30">
        <v>1</v>
      </c>
      <c r="AL920" s="30">
        <v>1</v>
      </c>
    </row>
    <row r="921" spans="1:38" x14ac:dyDescent="0.3">
      <c r="A921" s="30">
        <v>288</v>
      </c>
      <c r="B921" s="30">
        <v>28</v>
      </c>
      <c r="C921" s="30">
        <v>10</v>
      </c>
      <c r="D921" s="30">
        <v>36</v>
      </c>
      <c r="O921" s="30">
        <v>288</v>
      </c>
      <c r="P921" s="30">
        <v>0</v>
      </c>
      <c r="Q921" s="30">
        <v>12</v>
      </c>
      <c r="R921" s="30">
        <v>2</v>
      </c>
      <c r="AI921" s="30">
        <v>288</v>
      </c>
      <c r="AJ921" s="30">
        <v>12</v>
      </c>
      <c r="AK921" s="30">
        <v>2</v>
      </c>
      <c r="AL921" s="30">
        <v>0</v>
      </c>
    </row>
    <row r="922" spans="1:38" x14ac:dyDescent="0.3">
      <c r="A922" s="30">
        <v>289</v>
      </c>
      <c r="B922" s="30">
        <v>29</v>
      </c>
      <c r="C922" s="30">
        <v>9</v>
      </c>
      <c r="D922" s="30">
        <v>35</v>
      </c>
      <c r="O922" s="30">
        <v>289</v>
      </c>
      <c r="P922" s="30">
        <v>1</v>
      </c>
      <c r="Q922" s="30">
        <v>11</v>
      </c>
      <c r="R922" s="30">
        <v>3</v>
      </c>
      <c r="AI922" s="30">
        <v>289</v>
      </c>
      <c r="AJ922" s="30">
        <v>13</v>
      </c>
      <c r="AK922" s="30">
        <v>1</v>
      </c>
      <c r="AL922" s="30">
        <v>1</v>
      </c>
    </row>
    <row r="923" spans="1:38" x14ac:dyDescent="0.3">
      <c r="A923" s="30">
        <v>290</v>
      </c>
      <c r="B923" s="30">
        <v>30</v>
      </c>
      <c r="C923" s="30">
        <v>10</v>
      </c>
      <c r="D923" s="30">
        <v>34</v>
      </c>
      <c r="O923" s="30">
        <v>290</v>
      </c>
      <c r="P923" s="30">
        <v>0</v>
      </c>
      <c r="Q923" s="30">
        <v>10</v>
      </c>
      <c r="R923" s="30">
        <v>4</v>
      </c>
      <c r="AI923" s="30">
        <v>290</v>
      </c>
      <c r="AJ923" s="30">
        <v>12</v>
      </c>
      <c r="AK923" s="30">
        <v>0</v>
      </c>
      <c r="AL923" s="30">
        <v>0</v>
      </c>
    </row>
    <row r="924" spans="1:38" x14ac:dyDescent="0.3">
      <c r="A924" s="30">
        <v>291</v>
      </c>
      <c r="B924" s="30">
        <v>31</v>
      </c>
      <c r="C924" s="30">
        <v>11</v>
      </c>
      <c r="D924" s="30">
        <v>35</v>
      </c>
      <c r="O924" s="30">
        <v>291</v>
      </c>
      <c r="P924" s="30">
        <v>1</v>
      </c>
      <c r="Q924" s="30">
        <v>11</v>
      </c>
      <c r="R924" s="30">
        <v>5</v>
      </c>
      <c r="AI924" s="30">
        <v>291</v>
      </c>
      <c r="AJ924" s="30">
        <v>11</v>
      </c>
      <c r="AK924" s="30">
        <v>1</v>
      </c>
      <c r="AL924" s="30">
        <v>1</v>
      </c>
    </row>
    <row r="925" spans="1:38" x14ac:dyDescent="0.3">
      <c r="A925" s="30">
        <v>292</v>
      </c>
      <c r="B925" s="30">
        <v>32</v>
      </c>
      <c r="C925" s="30">
        <v>12</v>
      </c>
      <c r="D925" s="30">
        <v>36</v>
      </c>
      <c r="O925" s="30">
        <v>292</v>
      </c>
      <c r="P925" s="30">
        <v>2</v>
      </c>
      <c r="Q925" s="30">
        <v>12</v>
      </c>
      <c r="R925" s="30">
        <v>4</v>
      </c>
      <c r="AI925" s="30">
        <v>292</v>
      </c>
      <c r="AJ925" s="30">
        <v>12</v>
      </c>
      <c r="AK925" s="30">
        <v>0</v>
      </c>
      <c r="AL925" s="30">
        <v>0</v>
      </c>
    </row>
    <row r="926" spans="1:38" x14ac:dyDescent="0.3">
      <c r="A926" s="30">
        <v>293</v>
      </c>
      <c r="B926" s="30">
        <v>33</v>
      </c>
      <c r="C926" s="30">
        <v>13</v>
      </c>
      <c r="D926" s="30">
        <v>37</v>
      </c>
      <c r="O926" s="30">
        <v>293</v>
      </c>
      <c r="P926" s="30">
        <v>3</v>
      </c>
      <c r="Q926" s="30">
        <v>13</v>
      </c>
      <c r="R926" s="30">
        <v>3</v>
      </c>
      <c r="AI926" s="30">
        <v>293</v>
      </c>
      <c r="AJ926" s="30">
        <v>11</v>
      </c>
      <c r="AK926" s="30">
        <v>1</v>
      </c>
      <c r="AL926" s="30">
        <v>1</v>
      </c>
    </row>
    <row r="927" spans="1:38" x14ac:dyDescent="0.3">
      <c r="A927" s="30">
        <v>294</v>
      </c>
      <c r="B927" s="30">
        <v>34</v>
      </c>
      <c r="C927" s="30">
        <v>14</v>
      </c>
      <c r="D927" s="30">
        <v>36</v>
      </c>
      <c r="O927" s="30">
        <v>294</v>
      </c>
      <c r="P927" s="30">
        <v>4</v>
      </c>
      <c r="Q927" s="30">
        <v>12</v>
      </c>
      <c r="R927" s="30">
        <v>2</v>
      </c>
      <c r="AI927" s="30">
        <v>294</v>
      </c>
      <c r="AJ927" s="30">
        <v>12</v>
      </c>
      <c r="AK927" s="30">
        <v>2</v>
      </c>
      <c r="AL927" s="30">
        <v>0</v>
      </c>
    </row>
    <row r="928" spans="1:38" x14ac:dyDescent="0.3">
      <c r="A928" s="30">
        <v>295</v>
      </c>
      <c r="B928" s="30">
        <v>33</v>
      </c>
      <c r="C928" s="30">
        <v>15</v>
      </c>
      <c r="D928" s="30">
        <v>37</v>
      </c>
      <c r="O928" s="30">
        <v>295</v>
      </c>
      <c r="P928" s="30">
        <v>5</v>
      </c>
      <c r="Q928" s="30">
        <v>13</v>
      </c>
      <c r="R928" s="30">
        <v>1</v>
      </c>
      <c r="AI928" s="30">
        <v>295</v>
      </c>
      <c r="AJ928" s="30">
        <v>13</v>
      </c>
      <c r="AK928" s="30">
        <v>1</v>
      </c>
      <c r="AL928" s="30">
        <v>1</v>
      </c>
    </row>
    <row r="929" spans="1:38" x14ac:dyDescent="0.3">
      <c r="A929" s="30">
        <v>296</v>
      </c>
      <c r="B929" s="30">
        <v>32</v>
      </c>
      <c r="C929" s="30">
        <v>16</v>
      </c>
      <c r="D929" s="30">
        <v>36</v>
      </c>
      <c r="O929" s="30">
        <v>296</v>
      </c>
      <c r="P929" s="30">
        <v>4</v>
      </c>
      <c r="Q929" s="30">
        <v>14</v>
      </c>
      <c r="R929" s="30">
        <v>0</v>
      </c>
      <c r="AI929" s="30">
        <v>296</v>
      </c>
      <c r="AJ929" s="30">
        <v>12</v>
      </c>
      <c r="AK929" s="30">
        <v>2</v>
      </c>
      <c r="AL929" s="30">
        <v>0</v>
      </c>
    </row>
    <row r="930" spans="1:38" x14ac:dyDescent="0.3">
      <c r="A930" s="30">
        <v>297</v>
      </c>
      <c r="B930" s="30">
        <v>31</v>
      </c>
      <c r="C930" s="30">
        <v>15</v>
      </c>
      <c r="D930" s="30">
        <v>37</v>
      </c>
      <c r="O930" s="30">
        <v>297</v>
      </c>
      <c r="P930" s="30">
        <v>3</v>
      </c>
      <c r="Q930" s="30">
        <v>13</v>
      </c>
      <c r="R930" s="30">
        <v>1</v>
      </c>
      <c r="AI930" s="30">
        <v>297</v>
      </c>
      <c r="AJ930" s="30">
        <v>13</v>
      </c>
      <c r="AK930" s="30">
        <v>1</v>
      </c>
      <c r="AL930" s="30">
        <v>1</v>
      </c>
    </row>
    <row r="931" spans="1:38" x14ac:dyDescent="0.3">
      <c r="A931" s="30">
        <v>298</v>
      </c>
      <c r="B931" s="30">
        <v>32</v>
      </c>
      <c r="C931" s="30">
        <v>16</v>
      </c>
      <c r="D931" s="30">
        <v>38</v>
      </c>
      <c r="O931" s="30">
        <v>298</v>
      </c>
      <c r="P931" s="30">
        <v>4</v>
      </c>
      <c r="Q931" s="30">
        <v>14</v>
      </c>
      <c r="R931" s="30">
        <v>2</v>
      </c>
      <c r="AI931" s="30">
        <v>298</v>
      </c>
      <c r="AJ931" s="30">
        <v>14</v>
      </c>
      <c r="AK931" s="30">
        <v>0</v>
      </c>
      <c r="AL931" s="30">
        <v>0</v>
      </c>
    </row>
    <row r="932" spans="1:38" x14ac:dyDescent="0.3">
      <c r="A932" s="30">
        <v>299</v>
      </c>
      <c r="B932" s="30">
        <v>33</v>
      </c>
      <c r="C932" s="30">
        <v>17</v>
      </c>
      <c r="D932" s="30">
        <v>37</v>
      </c>
      <c r="O932" s="30">
        <v>299</v>
      </c>
      <c r="P932" s="30">
        <v>5</v>
      </c>
      <c r="Q932" s="30">
        <v>15</v>
      </c>
      <c r="R932" s="30">
        <v>3</v>
      </c>
      <c r="AI932" s="30">
        <v>299</v>
      </c>
      <c r="AJ932" s="30">
        <v>15</v>
      </c>
      <c r="AK932" s="30">
        <v>1</v>
      </c>
      <c r="AL932" s="30">
        <v>1</v>
      </c>
    </row>
    <row r="933" spans="1:38" x14ac:dyDescent="0.3">
      <c r="A933" s="30">
        <v>300</v>
      </c>
      <c r="B933" s="30">
        <v>34</v>
      </c>
      <c r="C933" s="30">
        <v>18</v>
      </c>
      <c r="D933" s="30">
        <v>36</v>
      </c>
      <c r="O933" s="30">
        <v>300</v>
      </c>
      <c r="P933" s="30">
        <v>6</v>
      </c>
      <c r="Q933" s="30">
        <v>16</v>
      </c>
      <c r="R933" s="30">
        <v>2</v>
      </c>
      <c r="AI933" s="30">
        <v>300</v>
      </c>
      <c r="AJ933" s="30">
        <v>14</v>
      </c>
      <c r="AK933" s="30">
        <v>0</v>
      </c>
      <c r="AL933" s="30">
        <v>0</v>
      </c>
    </row>
    <row r="934" spans="1:38" x14ac:dyDescent="0.3">
      <c r="A934" s="30">
        <v>301</v>
      </c>
      <c r="B934" s="30">
        <v>33</v>
      </c>
      <c r="C934" s="30">
        <v>19</v>
      </c>
      <c r="D934" s="30">
        <v>37</v>
      </c>
      <c r="O934" s="30">
        <v>301</v>
      </c>
      <c r="P934" s="30">
        <v>7</v>
      </c>
      <c r="Q934" s="30">
        <v>17</v>
      </c>
      <c r="R934" s="30">
        <v>3</v>
      </c>
      <c r="AI934" s="30">
        <v>301</v>
      </c>
      <c r="AJ934" s="30">
        <v>13</v>
      </c>
      <c r="AK934" s="30">
        <v>1</v>
      </c>
      <c r="AL934" s="30">
        <v>1</v>
      </c>
    </row>
    <row r="935" spans="1:38" x14ac:dyDescent="0.3">
      <c r="A935" s="30">
        <v>302</v>
      </c>
      <c r="B935" s="30">
        <v>34</v>
      </c>
      <c r="C935" s="30">
        <v>20</v>
      </c>
      <c r="D935" s="30">
        <v>38</v>
      </c>
      <c r="O935" s="30">
        <v>302</v>
      </c>
      <c r="P935" s="30">
        <v>6</v>
      </c>
      <c r="Q935" s="30">
        <v>16</v>
      </c>
      <c r="R935" s="30">
        <v>4</v>
      </c>
      <c r="AI935" s="30">
        <v>302</v>
      </c>
      <c r="AJ935" s="30">
        <v>12</v>
      </c>
      <c r="AK935" s="30">
        <v>0</v>
      </c>
      <c r="AL935" s="30">
        <v>2</v>
      </c>
    </row>
    <row r="936" spans="1:38" x14ac:dyDescent="0.3">
      <c r="A936" s="30">
        <v>303</v>
      </c>
      <c r="B936" s="30">
        <v>33</v>
      </c>
      <c r="C936" s="30">
        <v>19</v>
      </c>
      <c r="D936" s="30">
        <v>39</v>
      </c>
      <c r="O936" s="30">
        <v>303</v>
      </c>
      <c r="P936" s="30">
        <v>5</v>
      </c>
      <c r="Q936" s="30">
        <v>15</v>
      </c>
      <c r="R936" s="30">
        <v>5</v>
      </c>
      <c r="AI936" s="30">
        <v>303</v>
      </c>
      <c r="AJ936" s="30">
        <v>11</v>
      </c>
      <c r="AK936" s="30">
        <v>1</v>
      </c>
      <c r="AL936" s="30">
        <v>1</v>
      </c>
    </row>
    <row r="937" spans="1:38" x14ac:dyDescent="0.3">
      <c r="A937" s="30">
        <v>304</v>
      </c>
      <c r="B937" s="30">
        <v>34</v>
      </c>
      <c r="C937" s="30">
        <v>18</v>
      </c>
      <c r="D937" s="30">
        <v>38</v>
      </c>
      <c r="O937" s="30">
        <v>304</v>
      </c>
      <c r="P937" s="30">
        <v>4</v>
      </c>
      <c r="Q937" s="30">
        <v>16</v>
      </c>
      <c r="R937" s="30">
        <v>4</v>
      </c>
      <c r="AI937" s="30">
        <v>304</v>
      </c>
      <c r="AJ937" s="30">
        <v>10</v>
      </c>
      <c r="AK937" s="30">
        <v>0</v>
      </c>
      <c r="AL937" s="30">
        <v>0</v>
      </c>
    </row>
    <row r="938" spans="1:38" x14ac:dyDescent="0.3">
      <c r="A938" s="30">
        <v>305</v>
      </c>
      <c r="B938" s="30">
        <v>35</v>
      </c>
      <c r="C938" s="30">
        <v>17</v>
      </c>
      <c r="D938" s="30">
        <v>39</v>
      </c>
      <c r="O938" s="30">
        <v>305</v>
      </c>
      <c r="P938" s="30">
        <v>3</v>
      </c>
      <c r="Q938" s="30">
        <v>15</v>
      </c>
      <c r="R938" s="30">
        <v>3</v>
      </c>
      <c r="AI938" s="30">
        <v>305</v>
      </c>
      <c r="AJ938" s="30">
        <v>11</v>
      </c>
      <c r="AK938" s="30">
        <v>1</v>
      </c>
      <c r="AL938" s="30">
        <v>1</v>
      </c>
    </row>
    <row r="939" spans="1:38" x14ac:dyDescent="0.3">
      <c r="A939" s="30">
        <v>306</v>
      </c>
      <c r="B939" s="30">
        <v>36</v>
      </c>
      <c r="C939" s="30">
        <v>16</v>
      </c>
      <c r="D939" s="30">
        <v>38</v>
      </c>
      <c r="O939" s="30">
        <v>306</v>
      </c>
      <c r="P939" s="30">
        <v>2</v>
      </c>
      <c r="Q939" s="30">
        <v>14</v>
      </c>
      <c r="R939" s="30">
        <v>4</v>
      </c>
      <c r="AI939" s="30">
        <v>306</v>
      </c>
      <c r="AJ939" s="30">
        <v>10</v>
      </c>
      <c r="AK939" s="30">
        <v>2</v>
      </c>
      <c r="AL939" s="30">
        <v>0</v>
      </c>
    </row>
    <row r="940" spans="1:38" x14ac:dyDescent="0.3">
      <c r="A940" s="30">
        <v>307</v>
      </c>
      <c r="B940" s="30">
        <v>37</v>
      </c>
      <c r="C940" s="30">
        <v>15</v>
      </c>
      <c r="D940" s="30">
        <v>39</v>
      </c>
      <c r="O940" s="30">
        <v>307</v>
      </c>
      <c r="P940" s="30">
        <v>3</v>
      </c>
      <c r="Q940" s="30">
        <v>13</v>
      </c>
      <c r="R940" s="30">
        <v>3</v>
      </c>
      <c r="AI940" s="30">
        <v>307</v>
      </c>
      <c r="AJ940" s="30">
        <v>9</v>
      </c>
      <c r="AK940" s="30">
        <v>1</v>
      </c>
      <c r="AL940" s="30">
        <v>1</v>
      </c>
    </row>
    <row r="941" spans="1:38" x14ac:dyDescent="0.3">
      <c r="A941" s="30">
        <v>308</v>
      </c>
      <c r="B941" s="30">
        <v>38</v>
      </c>
      <c r="C941" s="30">
        <v>16</v>
      </c>
      <c r="D941" s="30">
        <v>40</v>
      </c>
      <c r="O941" s="30">
        <v>308</v>
      </c>
      <c r="P941" s="30">
        <v>2</v>
      </c>
      <c r="Q941" s="30">
        <v>12</v>
      </c>
      <c r="R941" s="30">
        <v>4</v>
      </c>
      <c r="AI941" s="30">
        <v>308</v>
      </c>
      <c r="AJ941" s="30">
        <v>8</v>
      </c>
      <c r="AK941" s="30">
        <v>2</v>
      </c>
      <c r="AL941" s="30">
        <v>2</v>
      </c>
    </row>
    <row r="942" spans="1:38" x14ac:dyDescent="0.3">
      <c r="A942" s="30">
        <v>309</v>
      </c>
      <c r="B942" s="30">
        <v>37</v>
      </c>
      <c r="C942" s="30">
        <v>17</v>
      </c>
      <c r="D942" s="30">
        <v>41</v>
      </c>
      <c r="O942" s="30">
        <v>309</v>
      </c>
      <c r="P942" s="30">
        <v>1</v>
      </c>
      <c r="Q942" s="30">
        <v>13</v>
      </c>
      <c r="R942" s="30">
        <v>3</v>
      </c>
      <c r="AI942" s="30">
        <v>309</v>
      </c>
      <c r="AJ942" s="30">
        <v>7</v>
      </c>
      <c r="AK942" s="30">
        <v>3</v>
      </c>
      <c r="AL942" s="30">
        <v>1</v>
      </c>
    </row>
    <row r="943" spans="1:38" x14ac:dyDescent="0.3">
      <c r="A943" s="30">
        <v>310</v>
      </c>
      <c r="B943" s="30">
        <v>38</v>
      </c>
      <c r="C943" s="30">
        <v>16</v>
      </c>
      <c r="D943" s="30">
        <v>40</v>
      </c>
      <c r="O943" s="30">
        <v>310</v>
      </c>
      <c r="P943" s="30">
        <v>2</v>
      </c>
      <c r="Q943" s="30">
        <v>14</v>
      </c>
      <c r="R943" s="30">
        <v>2</v>
      </c>
      <c r="AI943" s="30">
        <v>310</v>
      </c>
      <c r="AJ943" s="30">
        <v>6</v>
      </c>
      <c r="AK943" s="30">
        <v>4</v>
      </c>
      <c r="AL943" s="30">
        <v>0</v>
      </c>
    </row>
    <row r="944" spans="1:38" x14ac:dyDescent="0.3">
      <c r="A944" s="30">
        <v>311</v>
      </c>
      <c r="B944" s="30">
        <v>37</v>
      </c>
      <c r="C944" s="30">
        <v>17</v>
      </c>
      <c r="D944" s="30">
        <v>41</v>
      </c>
      <c r="O944" s="30">
        <v>311</v>
      </c>
      <c r="P944" s="30">
        <v>1</v>
      </c>
      <c r="Q944" s="30">
        <v>13</v>
      </c>
      <c r="R944" s="30">
        <v>1</v>
      </c>
      <c r="AI944" s="30">
        <v>311</v>
      </c>
      <c r="AJ944" s="30">
        <v>7</v>
      </c>
      <c r="AK944" s="30">
        <v>3</v>
      </c>
      <c r="AL944" s="30">
        <v>1</v>
      </c>
    </row>
    <row r="945" spans="1:38" x14ac:dyDescent="0.3">
      <c r="A945" s="30">
        <v>312</v>
      </c>
      <c r="B945" s="30">
        <v>38</v>
      </c>
      <c r="C945" s="30">
        <v>18</v>
      </c>
      <c r="D945" s="30">
        <v>42</v>
      </c>
      <c r="O945" s="30">
        <v>312</v>
      </c>
      <c r="P945" s="30">
        <v>2</v>
      </c>
      <c r="Q945" s="30">
        <v>12</v>
      </c>
      <c r="R945" s="30">
        <v>2</v>
      </c>
      <c r="AI945" s="30">
        <v>312</v>
      </c>
      <c r="AJ945" s="30">
        <v>8</v>
      </c>
      <c r="AK945" s="30">
        <v>2</v>
      </c>
      <c r="AL945" s="30">
        <v>0</v>
      </c>
    </row>
    <row r="946" spans="1:38" x14ac:dyDescent="0.3">
      <c r="A946" s="30">
        <v>313</v>
      </c>
      <c r="B946" s="30">
        <v>39</v>
      </c>
      <c r="C946" s="30">
        <v>17</v>
      </c>
      <c r="D946" s="30">
        <v>41</v>
      </c>
      <c r="O946" s="30">
        <v>313</v>
      </c>
      <c r="P946" s="30">
        <v>1</v>
      </c>
      <c r="Q946" s="30">
        <v>13</v>
      </c>
      <c r="R946" s="30">
        <v>1</v>
      </c>
      <c r="AI946" s="30">
        <v>313</v>
      </c>
      <c r="AJ946" s="30">
        <v>9</v>
      </c>
      <c r="AK946" s="30">
        <v>1</v>
      </c>
      <c r="AL946" s="30">
        <v>1</v>
      </c>
    </row>
    <row r="947" spans="1:38" x14ac:dyDescent="0.3">
      <c r="A947" s="30">
        <v>314</v>
      </c>
      <c r="B947" s="30">
        <v>38</v>
      </c>
      <c r="C947" s="30">
        <v>18</v>
      </c>
      <c r="D947" s="30">
        <v>40</v>
      </c>
      <c r="O947" s="30">
        <v>314</v>
      </c>
      <c r="P947" s="30">
        <v>2</v>
      </c>
      <c r="Q947" s="30">
        <v>12</v>
      </c>
      <c r="R947" s="30">
        <v>0</v>
      </c>
      <c r="AI947" s="30">
        <v>314</v>
      </c>
      <c r="AJ947" s="30">
        <v>8</v>
      </c>
      <c r="AK947" s="30">
        <v>2</v>
      </c>
      <c r="AL947" s="30">
        <v>0</v>
      </c>
    </row>
    <row r="948" spans="1:38" x14ac:dyDescent="0.3">
      <c r="A948" s="30">
        <v>315</v>
      </c>
      <c r="B948" s="30">
        <v>39</v>
      </c>
      <c r="C948" s="30">
        <v>19</v>
      </c>
      <c r="D948" s="30">
        <v>41</v>
      </c>
      <c r="O948" s="30">
        <v>315</v>
      </c>
      <c r="P948" s="30">
        <v>3</v>
      </c>
      <c r="Q948" s="30">
        <v>13</v>
      </c>
      <c r="R948" s="30">
        <v>1</v>
      </c>
      <c r="AI948" s="30">
        <v>315</v>
      </c>
      <c r="AJ948" s="30">
        <v>7</v>
      </c>
      <c r="AK948" s="30">
        <v>1</v>
      </c>
      <c r="AL948" s="30">
        <v>1</v>
      </c>
    </row>
    <row r="949" spans="1:38" x14ac:dyDescent="0.3">
      <c r="A949" s="30">
        <v>316</v>
      </c>
      <c r="B949" s="30">
        <v>38</v>
      </c>
      <c r="C949" s="30">
        <v>18</v>
      </c>
      <c r="D949" s="30">
        <v>42</v>
      </c>
      <c r="O949" s="30">
        <v>316</v>
      </c>
      <c r="P949" s="30">
        <v>4</v>
      </c>
      <c r="Q949" s="30">
        <v>12</v>
      </c>
      <c r="R949" s="30">
        <v>0</v>
      </c>
      <c r="AI949" s="30">
        <v>316</v>
      </c>
      <c r="AJ949" s="30">
        <v>6</v>
      </c>
      <c r="AK949" s="30">
        <v>2</v>
      </c>
      <c r="AL949" s="30">
        <v>2</v>
      </c>
    </row>
    <row r="950" spans="1:38" x14ac:dyDescent="0.3">
      <c r="A950" s="30">
        <v>317</v>
      </c>
      <c r="B950" s="30">
        <v>39</v>
      </c>
      <c r="C950" s="30">
        <v>17</v>
      </c>
      <c r="D950" s="30">
        <v>41</v>
      </c>
      <c r="O950" s="30">
        <v>317</v>
      </c>
      <c r="P950" s="30">
        <v>5</v>
      </c>
      <c r="Q950" s="30">
        <v>13</v>
      </c>
      <c r="R950" s="30">
        <v>1</v>
      </c>
      <c r="AI950" s="30">
        <v>317</v>
      </c>
      <c r="AJ950" s="30">
        <v>7</v>
      </c>
      <c r="AK950" s="30">
        <v>3</v>
      </c>
      <c r="AL950" s="30">
        <v>1</v>
      </c>
    </row>
    <row r="951" spans="1:38" x14ac:dyDescent="0.3">
      <c r="A951" s="30">
        <v>318</v>
      </c>
      <c r="B951" s="30">
        <v>38</v>
      </c>
      <c r="C951" s="30">
        <v>16</v>
      </c>
      <c r="D951" s="30">
        <v>42</v>
      </c>
      <c r="O951" s="30">
        <v>318</v>
      </c>
      <c r="P951" s="30">
        <v>4</v>
      </c>
      <c r="Q951" s="30">
        <v>12</v>
      </c>
      <c r="R951" s="30">
        <v>0</v>
      </c>
      <c r="AI951" s="30">
        <v>318</v>
      </c>
      <c r="AJ951" s="30">
        <v>6</v>
      </c>
      <c r="AK951" s="30">
        <v>4</v>
      </c>
      <c r="AL951" s="30">
        <v>2</v>
      </c>
    </row>
    <row r="952" spans="1:38" x14ac:dyDescent="0.3">
      <c r="A952" s="30">
        <v>319</v>
      </c>
      <c r="B952" s="30">
        <v>39</v>
      </c>
      <c r="C952" s="30">
        <v>17</v>
      </c>
      <c r="D952" s="30">
        <v>43</v>
      </c>
      <c r="O952" s="30">
        <v>319</v>
      </c>
      <c r="P952" s="30">
        <v>5</v>
      </c>
      <c r="Q952" s="30">
        <v>13</v>
      </c>
      <c r="R952" s="30">
        <v>1</v>
      </c>
      <c r="AI952" s="30">
        <v>319</v>
      </c>
      <c r="AJ952" s="30">
        <v>5</v>
      </c>
      <c r="AK952" s="30">
        <v>5</v>
      </c>
      <c r="AL952" s="30">
        <v>1</v>
      </c>
    </row>
    <row r="953" spans="1:38" x14ac:dyDescent="0.3">
      <c r="A953" s="30">
        <v>320</v>
      </c>
      <c r="B953" s="30">
        <v>40</v>
      </c>
      <c r="C953" s="30">
        <v>18</v>
      </c>
      <c r="D953" s="30">
        <v>42</v>
      </c>
      <c r="O953" s="30">
        <v>320</v>
      </c>
      <c r="P953" s="30">
        <v>6</v>
      </c>
      <c r="Q953" s="30">
        <v>12</v>
      </c>
      <c r="R953" s="30">
        <v>2</v>
      </c>
      <c r="AI953" s="30">
        <v>320</v>
      </c>
      <c r="AJ953" s="30">
        <v>6</v>
      </c>
      <c r="AK953" s="30">
        <v>4</v>
      </c>
      <c r="AL953" s="30">
        <v>0</v>
      </c>
    </row>
    <row r="954" spans="1:38" x14ac:dyDescent="0.3">
      <c r="A954" s="30">
        <v>321</v>
      </c>
      <c r="B954" s="30">
        <v>39</v>
      </c>
      <c r="C954" s="30">
        <v>17</v>
      </c>
      <c r="D954" s="30">
        <v>41</v>
      </c>
      <c r="O954" s="30">
        <v>321</v>
      </c>
      <c r="P954" s="30">
        <v>7</v>
      </c>
      <c r="Q954" s="30">
        <v>13</v>
      </c>
      <c r="R954" s="30">
        <v>1</v>
      </c>
      <c r="AI954" s="30">
        <v>321</v>
      </c>
      <c r="AJ954" s="30">
        <v>5</v>
      </c>
      <c r="AK954" s="30">
        <v>5</v>
      </c>
      <c r="AL954" s="30">
        <v>1</v>
      </c>
    </row>
    <row r="955" spans="1:38" x14ac:dyDescent="0.3">
      <c r="A955" s="30">
        <v>322</v>
      </c>
      <c r="B955" s="30">
        <v>40</v>
      </c>
      <c r="C955" s="30">
        <v>18</v>
      </c>
      <c r="D955" s="30">
        <v>42</v>
      </c>
      <c r="O955" s="30">
        <v>322</v>
      </c>
      <c r="P955" s="30">
        <v>8</v>
      </c>
      <c r="Q955" s="30">
        <v>14</v>
      </c>
      <c r="R955" s="30">
        <v>0</v>
      </c>
      <c r="AI955" s="30">
        <v>322</v>
      </c>
      <c r="AJ955" s="30">
        <v>6</v>
      </c>
      <c r="AK955" s="30">
        <v>6</v>
      </c>
      <c r="AL955" s="30">
        <v>2</v>
      </c>
    </row>
    <row r="956" spans="1:38" x14ac:dyDescent="0.3">
      <c r="A956" s="30">
        <v>323</v>
      </c>
      <c r="B956" s="30">
        <v>39</v>
      </c>
      <c r="C956" s="30">
        <v>17</v>
      </c>
      <c r="D956" s="30">
        <v>41</v>
      </c>
      <c r="O956" s="30">
        <v>323</v>
      </c>
      <c r="P956" s="30">
        <v>7</v>
      </c>
      <c r="Q956" s="30">
        <v>15</v>
      </c>
      <c r="R956" s="30">
        <v>1</v>
      </c>
      <c r="AI956" s="30">
        <v>323</v>
      </c>
      <c r="AJ956" s="30">
        <v>7</v>
      </c>
      <c r="AK956" s="30">
        <v>7</v>
      </c>
      <c r="AL956" s="30">
        <v>1</v>
      </c>
    </row>
    <row r="957" spans="1:38" x14ac:dyDescent="0.3">
      <c r="A957" s="30">
        <v>324</v>
      </c>
      <c r="B957" s="30">
        <v>40</v>
      </c>
      <c r="C957" s="30">
        <v>18</v>
      </c>
      <c r="D957" s="30">
        <v>40</v>
      </c>
      <c r="O957" s="30">
        <v>324</v>
      </c>
      <c r="P957" s="30">
        <v>6</v>
      </c>
      <c r="Q957" s="30">
        <v>14</v>
      </c>
      <c r="R957" s="30">
        <v>2</v>
      </c>
      <c r="AI957" s="30">
        <v>324</v>
      </c>
      <c r="AJ957" s="30">
        <v>6</v>
      </c>
      <c r="AK957" s="30">
        <v>6</v>
      </c>
      <c r="AL957" s="30">
        <v>2</v>
      </c>
    </row>
    <row r="958" spans="1:38" x14ac:dyDescent="0.3">
      <c r="A958" s="30">
        <v>325</v>
      </c>
      <c r="B958" s="30">
        <v>39</v>
      </c>
      <c r="C958" s="30">
        <v>17</v>
      </c>
      <c r="D958" s="30">
        <v>41</v>
      </c>
      <c r="O958" s="30">
        <v>325</v>
      </c>
      <c r="P958" s="30">
        <v>5</v>
      </c>
      <c r="Q958" s="30">
        <v>13</v>
      </c>
      <c r="R958" s="30">
        <v>3</v>
      </c>
      <c r="AI958" s="30">
        <v>325</v>
      </c>
      <c r="AJ958" s="30">
        <v>7</v>
      </c>
      <c r="AK958" s="30">
        <v>7</v>
      </c>
      <c r="AL958" s="30">
        <v>3</v>
      </c>
    </row>
    <row r="959" spans="1:38" x14ac:dyDescent="0.3">
      <c r="A959" s="30">
        <v>326</v>
      </c>
      <c r="B959" s="30">
        <v>38</v>
      </c>
      <c r="C959" s="30">
        <v>16</v>
      </c>
      <c r="D959" s="30">
        <v>40</v>
      </c>
      <c r="O959" s="30">
        <v>326</v>
      </c>
      <c r="P959" s="30">
        <v>6</v>
      </c>
      <c r="Q959" s="30">
        <v>14</v>
      </c>
      <c r="R959" s="30">
        <v>4</v>
      </c>
      <c r="AI959" s="30">
        <v>326</v>
      </c>
      <c r="AJ959" s="30">
        <v>8</v>
      </c>
      <c r="AK959" s="30">
        <v>8</v>
      </c>
      <c r="AL959" s="30">
        <v>4</v>
      </c>
    </row>
    <row r="960" spans="1:38" x14ac:dyDescent="0.3">
      <c r="A960" s="30">
        <v>327</v>
      </c>
      <c r="B960" s="30">
        <v>37</v>
      </c>
      <c r="C960" s="30">
        <v>15</v>
      </c>
      <c r="D960" s="30">
        <v>39</v>
      </c>
      <c r="O960" s="30">
        <v>327</v>
      </c>
      <c r="P960" s="30">
        <v>5</v>
      </c>
      <c r="Q960" s="30">
        <v>15</v>
      </c>
      <c r="R960" s="30">
        <v>3</v>
      </c>
      <c r="AI960" s="30">
        <v>327</v>
      </c>
      <c r="AJ960" s="30">
        <v>9</v>
      </c>
      <c r="AK960" s="30">
        <v>9</v>
      </c>
      <c r="AL960" s="30">
        <v>5</v>
      </c>
    </row>
    <row r="961" spans="1:38" x14ac:dyDescent="0.3">
      <c r="A961" s="30">
        <v>328</v>
      </c>
      <c r="B961" s="30">
        <v>38</v>
      </c>
      <c r="C961" s="30">
        <v>14</v>
      </c>
      <c r="D961" s="30">
        <v>38</v>
      </c>
      <c r="O961" s="30">
        <v>328</v>
      </c>
      <c r="P961" s="30">
        <v>6</v>
      </c>
      <c r="Q961" s="30">
        <v>14</v>
      </c>
      <c r="R961" s="30">
        <v>4</v>
      </c>
      <c r="AI961" s="30">
        <v>328</v>
      </c>
      <c r="AJ961" s="30">
        <v>10</v>
      </c>
      <c r="AK961" s="30">
        <v>10</v>
      </c>
      <c r="AL961" s="30">
        <v>6</v>
      </c>
    </row>
    <row r="962" spans="1:38" x14ac:dyDescent="0.3">
      <c r="A962" s="30">
        <v>329</v>
      </c>
      <c r="B962" s="30">
        <v>37</v>
      </c>
      <c r="C962" s="30">
        <v>15</v>
      </c>
      <c r="D962" s="30">
        <v>37</v>
      </c>
      <c r="O962" s="30">
        <v>329</v>
      </c>
      <c r="P962" s="30">
        <v>5</v>
      </c>
      <c r="Q962" s="30">
        <v>15</v>
      </c>
      <c r="R962" s="30">
        <v>5</v>
      </c>
      <c r="AI962" s="30">
        <v>329</v>
      </c>
      <c r="AJ962" s="30">
        <v>11</v>
      </c>
      <c r="AK962" s="30">
        <v>9</v>
      </c>
      <c r="AL962" s="30">
        <v>7</v>
      </c>
    </row>
    <row r="963" spans="1:38" x14ac:dyDescent="0.3">
      <c r="A963" s="30">
        <v>330</v>
      </c>
      <c r="B963" s="30">
        <v>38</v>
      </c>
      <c r="C963" s="30">
        <v>14</v>
      </c>
      <c r="D963" s="30">
        <v>38</v>
      </c>
      <c r="O963" s="30">
        <v>330</v>
      </c>
      <c r="P963" s="30">
        <v>4</v>
      </c>
      <c r="Q963" s="30">
        <v>14</v>
      </c>
      <c r="R963" s="30">
        <v>6</v>
      </c>
      <c r="AI963" s="30">
        <v>330</v>
      </c>
      <c r="AJ963" s="30">
        <v>10</v>
      </c>
      <c r="AK963" s="30">
        <v>10</v>
      </c>
      <c r="AL963" s="30">
        <v>8</v>
      </c>
    </row>
    <row r="964" spans="1:38" x14ac:dyDescent="0.3">
      <c r="A964" s="30">
        <v>331</v>
      </c>
      <c r="B964" s="30">
        <v>39</v>
      </c>
      <c r="C964" s="30">
        <v>15</v>
      </c>
      <c r="D964" s="30">
        <v>37</v>
      </c>
      <c r="O964" s="30">
        <v>331</v>
      </c>
      <c r="P964" s="30">
        <v>5</v>
      </c>
      <c r="Q964" s="30">
        <v>13</v>
      </c>
      <c r="R964" s="30">
        <v>7</v>
      </c>
      <c r="AI964" s="30">
        <v>331</v>
      </c>
      <c r="AJ964" s="30">
        <v>11</v>
      </c>
      <c r="AK964" s="30">
        <v>9</v>
      </c>
      <c r="AL964" s="30">
        <v>7</v>
      </c>
    </row>
    <row r="965" spans="1:38" x14ac:dyDescent="0.3">
      <c r="A965" s="30">
        <v>332</v>
      </c>
      <c r="B965" s="30">
        <v>38</v>
      </c>
      <c r="C965" s="30">
        <v>14</v>
      </c>
      <c r="D965" s="30">
        <v>36</v>
      </c>
      <c r="O965" s="30">
        <v>332</v>
      </c>
      <c r="P965" s="30">
        <v>4</v>
      </c>
      <c r="Q965" s="30">
        <v>14</v>
      </c>
      <c r="R965" s="30">
        <v>6</v>
      </c>
      <c r="AI965" s="30">
        <v>332</v>
      </c>
      <c r="AJ965" s="30">
        <v>12</v>
      </c>
      <c r="AK965" s="30">
        <v>10</v>
      </c>
      <c r="AL965" s="30">
        <v>6</v>
      </c>
    </row>
    <row r="966" spans="1:38" x14ac:dyDescent="0.3">
      <c r="A966" s="30">
        <v>333</v>
      </c>
      <c r="B966" s="30">
        <v>37</v>
      </c>
      <c r="C966" s="30">
        <v>15</v>
      </c>
      <c r="D966" s="30">
        <v>35</v>
      </c>
      <c r="O966" s="30">
        <v>333</v>
      </c>
      <c r="P966" s="30">
        <v>3</v>
      </c>
      <c r="Q966" s="30">
        <v>13</v>
      </c>
      <c r="R966" s="30">
        <v>5</v>
      </c>
      <c r="AI966" s="30">
        <v>333</v>
      </c>
      <c r="AJ966" s="30">
        <v>11</v>
      </c>
      <c r="AK966" s="30">
        <v>9</v>
      </c>
      <c r="AL966" s="30">
        <v>7</v>
      </c>
    </row>
    <row r="967" spans="1:38" x14ac:dyDescent="0.3">
      <c r="A967" s="30">
        <v>334</v>
      </c>
      <c r="B967" s="30">
        <v>38</v>
      </c>
      <c r="C967" s="30">
        <v>16</v>
      </c>
      <c r="D967" s="30">
        <v>34</v>
      </c>
      <c r="O967" s="30">
        <v>334</v>
      </c>
      <c r="P967" s="30">
        <v>4</v>
      </c>
      <c r="Q967" s="30">
        <v>14</v>
      </c>
      <c r="R967" s="30">
        <v>4</v>
      </c>
      <c r="AI967" s="30">
        <v>334</v>
      </c>
      <c r="AJ967" s="30">
        <v>10</v>
      </c>
      <c r="AK967" s="30">
        <v>8</v>
      </c>
      <c r="AL967" s="30">
        <v>8</v>
      </c>
    </row>
    <row r="968" spans="1:38" x14ac:dyDescent="0.3">
      <c r="A968" s="30">
        <v>335</v>
      </c>
      <c r="B968" s="30">
        <v>37</v>
      </c>
      <c r="C968" s="30">
        <v>15</v>
      </c>
      <c r="D968" s="30">
        <v>33</v>
      </c>
      <c r="O968" s="30">
        <v>335</v>
      </c>
      <c r="P968" s="30">
        <v>3</v>
      </c>
      <c r="Q968" s="30">
        <v>15</v>
      </c>
      <c r="R968" s="30">
        <v>3</v>
      </c>
      <c r="AI968" s="30">
        <v>335</v>
      </c>
      <c r="AJ968" s="30">
        <v>9</v>
      </c>
      <c r="AK968" s="30">
        <v>7</v>
      </c>
      <c r="AL968" s="30">
        <v>9</v>
      </c>
    </row>
    <row r="969" spans="1:38" x14ac:dyDescent="0.3">
      <c r="A969" s="30">
        <v>336</v>
      </c>
      <c r="B969" s="30">
        <v>38</v>
      </c>
      <c r="C969" s="30">
        <v>16</v>
      </c>
      <c r="D969" s="30">
        <v>32</v>
      </c>
      <c r="O969" s="30">
        <v>336</v>
      </c>
      <c r="P969" s="30">
        <v>4</v>
      </c>
      <c r="Q969" s="30">
        <v>16</v>
      </c>
      <c r="R969" s="30">
        <v>2</v>
      </c>
      <c r="AI969" s="30">
        <v>336</v>
      </c>
      <c r="AJ969" s="30">
        <v>8</v>
      </c>
      <c r="AK969" s="30">
        <v>6</v>
      </c>
      <c r="AL969" s="30">
        <v>10</v>
      </c>
    </row>
    <row r="970" spans="1:38" x14ac:dyDescent="0.3">
      <c r="A970" s="30">
        <v>337</v>
      </c>
      <c r="B970" s="30">
        <v>39</v>
      </c>
      <c r="C970" s="30">
        <v>17</v>
      </c>
      <c r="D970" s="30">
        <v>33</v>
      </c>
      <c r="O970" s="30">
        <v>337</v>
      </c>
      <c r="P970" s="30">
        <v>5</v>
      </c>
      <c r="Q970" s="30">
        <v>17</v>
      </c>
      <c r="R970" s="30">
        <v>3</v>
      </c>
      <c r="AI970" s="30">
        <v>337</v>
      </c>
      <c r="AJ970" s="30">
        <v>7</v>
      </c>
      <c r="AK970" s="30">
        <v>7</v>
      </c>
      <c r="AL970" s="30">
        <v>9</v>
      </c>
    </row>
    <row r="971" spans="1:38" x14ac:dyDescent="0.3">
      <c r="A971" s="30">
        <v>338</v>
      </c>
      <c r="B971" s="30">
        <v>40</v>
      </c>
      <c r="C971" s="30">
        <v>18</v>
      </c>
      <c r="D971" s="30">
        <v>32</v>
      </c>
      <c r="O971" s="30">
        <v>338</v>
      </c>
      <c r="P971" s="30">
        <v>6</v>
      </c>
      <c r="Q971" s="30">
        <v>16</v>
      </c>
      <c r="R971" s="30">
        <v>2</v>
      </c>
      <c r="AI971" s="30">
        <v>338</v>
      </c>
      <c r="AJ971" s="30">
        <v>6</v>
      </c>
      <c r="AK971" s="30">
        <v>6</v>
      </c>
      <c r="AL971" s="30">
        <v>8</v>
      </c>
    </row>
    <row r="972" spans="1:38" x14ac:dyDescent="0.3">
      <c r="A972" s="30">
        <v>339</v>
      </c>
      <c r="B972" s="30">
        <v>41</v>
      </c>
      <c r="C972" s="30">
        <v>17</v>
      </c>
      <c r="D972" s="30">
        <v>33</v>
      </c>
      <c r="O972" s="30">
        <v>339</v>
      </c>
      <c r="P972" s="30">
        <v>7</v>
      </c>
      <c r="Q972" s="30">
        <v>17</v>
      </c>
      <c r="R972" s="30">
        <v>3</v>
      </c>
      <c r="AI972" s="30">
        <v>339</v>
      </c>
      <c r="AJ972" s="30">
        <v>5</v>
      </c>
      <c r="AK972" s="30">
        <v>5</v>
      </c>
      <c r="AL972" s="30">
        <v>9</v>
      </c>
    </row>
    <row r="973" spans="1:38" x14ac:dyDescent="0.3">
      <c r="A973" s="30">
        <v>340</v>
      </c>
      <c r="B973" s="30">
        <v>42</v>
      </c>
      <c r="C973" s="30">
        <v>18</v>
      </c>
      <c r="D973" s="30">
        <v>32</v>
      </c>
      <c r="O973" s="30">
        <v>340</v>
      </c>
      <c r="P973" s="30">
        <v>6</v>
      </c>
      <c r="Q973" s="30">
        <v>16</v>
      </c>
      <c r="R973" s="30">
        <v>4</v>
      </c>
      <c r="AI973" s="30">
        <v>340</v>
      </c>
      <c r="AJ973" s="30">
        <v>4</v>
      </c>
      <c r="AK973" s="30">
        <v>4</v>
      </c>
      <c r="AL973" s="30">
        <v>10</v>
      </c>
    </row>
    <row r="974" spans="1:38" x14ac:dyDescent="0.3">
      <c r="A974" s="30">
        <v>341</v>
      </c>
      <c r="B974" s="30">
        <v>41</v>
      </c>
      <c r="C974" s="30">
        <v>19</v>
      </c>
      <c r="D974" s="30">
        <v>33</v>
      </c>
      <c r="O974" s="30">
        <v>341</v>
      </c>
      <c r="P974" s="30">
        <v>5</v>
      </c>
      <c r="Q974" s="30">
        <v>17</v>
      </c>
      <c r="R974" s="30">
        <v>5</v>
      </c>
      <c r="AI974" s="30">
        <v>341</v>
      </c>
      <c r="AJ974" s="30">
        <v>3</v>
      </c>
      <c r="AK974" s="30">
        <v>5</v>
      </c>
      <c r="AL974" s="30">
        <v>11</v>
      </c>
    </row>
    <row r="975" spans="1:38" x14ac:dyDescent="0.3">
      <c r="A975" s="30">
        <v>342</v>
      </c>
      <c r="B975" s="30">
        <v>42</v>
      </c>
      <c r="C975" s="30">
        <v>20</v>
      </c>
      <c r="D975" s="30">
        <v>34</v>
      </c>
      <c r="O975" s="30">
        <v>342</v>
      </c>
      <c r="P975" s="30">
        <v>4</v>
      </c>
      <c r="Q975" s="30">
        <v>18</v>
      </c>
      <c r="R975" s="30">
        <v>4</v>
      </c>
      <c r="AI975" s="30">
        <v>342</v>
      </c>
      <c r="AJ975" s="30">
        <v>4</v>
      </c>
      <c r="AK975" s="30">
        <v>6</v>
      </c>
      <c r="AL975" s="30">
        <v>12</v>
      </c>
    </row>
    <row r="976" spans="1:38" x14ac:dyDescent="0.3">
      <c r="A976" s="30">
        <v>343</v>
      </c>
      <c r="B976" s="30">
        <v>41</v>
      </c>
      <c r="C976" s="30">
        <v>19</v>
      </c>
      <c r="D976" s="30">
        <v>35</v>
      </c>
      <c r="O976" s="30">
        <v>343</v>
      </c>
      <c r="P976" s="30">
        <v>3</v>
      </c>
      <c r="Q976" s="30">
        <v>17</v>
      </c>
      <c r="R976" s="30">
        <v>3</v>
      </c>
      <c r="AI976" s="30">
        <v>343</v>
      </c>
      <c r="AJ976" s="30">
        <v>3</v>
      </c>
      <c r="AK976" s="30">
        <v>7</v>
      </c>
      <c r="AL976" s="30">
        <v>13</v>
      </c>
    </row>
    <row r="977" spans="1:38" x14ac:dyDescent="0.3">
      <c r="A977" s="30">
        <v>344</v>
      </c>
      <c r="B977" s="30">
        <v>42</v>
      </c>
      <c r="C977" s="30">
        <v>18</v>
      </c>
      <c r="D977" s="30">
        <v>34</v>
      </c>
      <c r="O977" s="30">
        <v>344</v>
      </c>
      <c r="P977" s="30">
        <v>4</v>
      </c>
      <c r="Q977" s="30">
        <v>16</v>
      </c>
      <c r="R977" s="30">
        <v>2</v>
      </c>
      <c r="AI977" s="30">
        <v>344</v>
      </c>
      <c r="AJ977" s="30">
        <v>4</v>
      </c>
      <c r="AK977" s="30">
        <v>6</v>
      </c>
      <c r="AL977" s="30">
        <v>12</v>
      </c>
    </row>
    <row r="978" spans="1:38" x14ac:dyDescent="0.3">
      <c r="A978" s="30">
        <v>345</v>
      </c>
      <c r="B978" s="30">
        <v>41</v>
      </c>
      <c r="C978" s="30">
        <v>19</v>
      </c>
      <c r="D978" s="30">
        <v>35</v>
      </c>
      <c r="O978" s="30">
        <v>345</v>
      </c>
      <c r="P978" s="30">
        <v>3</v>
      </c>
      <c r="Q978" s="30">
        <v>17</v>
      </c>
      <c r="R978" s="30">
        <v>1</v>
      </c>
      <c r="AI978" s="30">
        <v>345</v>
      </c>
      <c r="AJ978" s="30">
        <v>3</v>
      </c>
      <c r="AK978" s="30">
        <v>7</v>
      </c>
      <c r="AL978" s="30">
        <v>13</v>
      </c>
    </row>
    <row r="979" spans="1:38" x14ac:dyDescent="0.3">
      <c r="A979" s="30">
        <v>346</v>
      </c>
      <c r="B979" s="30">
        <v>42</v>
      </c>
      <c r="C979" s="30">
        <v>20</v>
      </c>
      <c r="D979" s="30">
        <v>36</v>
      </c>
      <c r="O979" s="30">
        <v>346</v>
      </c>
      <c r="P979" s="30">
        <v>4</v>
      </c>
      <c r="Q979" s="30">
        <v>16</v>
      </c>
      <c r="R979" s="30">
        <v>2</v>
      </c>
      <c r="AI979" s="30">
        <v>346</v>
      </c>
      <c r="AJ979" s="30">
        <v>2</v>
      </c>
      <c r="AK979" s="30">
        <v>6</v>
      </c>
      <c r="AL979" s="30">
        <v>14</v>
      </c>
    </row>
    <row r="980" spans="1:38" x14ac:dyDescent="0.3">
      <c r="A980" s="30">
        <v>347</v>
      </c>
      <c r="B980" s="30">
        <v>43</v>
      </c>
      <c r="C980" s="30">
        <v>21</v>
      </c>
      <c r="D980" s="30">
        <v>35</v>
      </c>
      <c r="O980" s="30">
        <v>347</v>
      </c>
      <c r="P980" s="30">
        <v>3</v>
      </c>
      <c r="Q980" s="30">
        <v>15</v>
      </c>
      <c r="R980" s="30">
        <v>3</v>
      </c>
      <c r="AI980" s="30">
        <v>347</v>
      </c>
      <c r="AJ980" s="30">
        <v>1</v>
      </c>
      <c r="AK980" s="30">
        <v>7</v>
      </c>
      <c r="AL980" s="30">
        <v>13</v>
      </c>
    </row>
    <row r="981" spans="1:38" x14ac:dyDescent="0.3">
      <c r="A981" s="30">
        <v>348</v>
      </c>
      <c r="B981" s="30">
        <v>44</v>
      </c>
      <c r="C981" s="30">
        <v>20</v>
      </c>
      <c r="D981" s="30">
        <v>34</v>
      </c>
      <c r="O981" s="30">
        <v>348</v>
      </c>
      <c r="P981" s="30">
        <v>2</v>
      </c>
      <c r="Q981" s="30">
        <v>16</v>
      </c>
      <c r="R981" s="30">
        <v>4</v>
      </c>
      <c r="AI981" s="30">
        <v>348</v>
      </c>
      <c r="AJ981" s="30">
        <v>0</v>
      </c>
      <c r="AK981" s="30">
        <v>8</v>
      </c>
      <c r="AL981" s="30">
        <v>14</v>
      </c>
    </row>
    <row r="982" spans="1:38" x14ac:dyDescent="0.3">
      <c r="A982" s="30">
        <v>349</v>
      </c>
      <c r="B982" s="30">
        <v>45</v>
      </c>
      <c r="C982" s="30">
        <v>19</v>
      </c>
      <c r="D982" s="30">
        <v>33</v>
      </c>
      <c r="O982" s="30">
        <v>349</v>
      </c>
      <c r="P982" s="30">
        <v>3</v>
      </c>
      <c r="Q982" s="30">
        <v>15</v>
      </c>
      <c r="R982" s="30">
        <v>3</v>
      </c>
      <c r="AI982" s="30">
        <v>349</v>
      </c>
      <c r="AJ982" s="30">
        <v>1</v>
      </c>
      <c r="AK982" s="30">
        <v>7</v>
      </c>
      <c r="AL982" s="30">
        <v>13</v>
      </c>
    </row>
    <row r="983" spans="1:38" x14ac:dyDescent="0.3">
      <c r="A983" s="30">
        <v>350</v>
      </c>
      <c r="B983" s="30">
        <v>46</v>
      </c>
      <c r="C983" s="30">
        <v>20</v>
      </c>
      <c r="D983" s="30">
        <v>32</v>
      </c>
      <c r="O983" s="30">
        <v>350</v>
      </c>
      <c r="P983" s="30">
        <v>4</v>
      </c>
      <c r="Q983" s="30">
        <v>16</v>
      </c>
      <c r="R983" s="30">
        <v>2</v>
      </c>
      <c r="AI983" s="30">
        <v>350</v>
      </c>
      <c r="AJ983" s="30">
        <v>2</v>
      </c>
      <c r="AK983" s="30">
        <v>6</v>
      </c>
      <c r="AL983" s="30">
        <v>12</v>
      </c>
    </row>
    <row r="984" spans="1:38" x14ac:dyDescent="0.3">
      <c r="A984" s="30">
        <v>351</v>
      </c>
      <c r="B984" s="30">
        <v>45</v>
      </c>
      <c r="C984" s="30">
        <v>19</v>
      </c>
      <c r="D984" s="30">
        <v>33</v>
      </c>
      <c r="O984" s="30">
        <v>351</v>
      </c>
      <c r="P984" s="30">
        <v>3</v>
      </c>
      <c r="Q984" s="30">
        <v>15</v>
      </c>
      <c r="R984" s="30">
        <v>1</v>
      </c>
      <c r="AI984" s="30">
        <v>351</v>
      </c>
      <c r="AJ984" s="30">
        <v>1</v>
      </c>
      <c r="AK984" s="30">
        <v>5</v>
      </c>
      <c r="AL984" s="30">
        <v>13</v>
      </c>
    </row>
    <row r="985" spans="1:38" x14ac:dyDescent="0.3">
      <c r="A985" s="30">
        <v>352</v>
      </c>
      <c r="B985" s="30">
        <v>44</v>
      </c>
      <c r="C985" s="30">
        <v>20</v>
      </c>
      <c r="D985" s="30">
        <v>32</v>
      </c>
      <c r="O985" s="30">
        <v>352</v>
      </c>
      <c r="P985" s="30">
        <v>2</v>
      </c>
      <c r="Q985" s="30">
        <v>14</v>
      </c>
      <c r="R985" s="30">
        <v>0</v>
      </c>
      <c r="AI985" s="30">
        <v>352</v>
      </c>
      <c r="AJ985" s="30">
        <v>0</v>
      </c>
      <c r="AK985" s="30">
        <v>4</v>
      </c>
      <c r="AL985" s="30">
        <v>14</v>
      </c>
    </row>
    <row r="986" spans="1:38" x14ac:dyDescent="0.3">
      <c r="A986" s="30">
        <v>353</v>
      </c>
      <c r="B986" s="30">
        <v>43</v>
      </c>
      <c r="C986" s="30">
        <v>21</v>
      </c>
      <c r="D986" s="30">
        <v>31</v>
      </c>
      <c r="O986" s="30">
        <v>353</v>
      </c>
      <c r="P986" s="30">
        <v>3</v>
      </c>
      <c r="Q986" s="30">
        <v>15</v>
      </c>
      <c r="R986" s="30">
        <v>1</v>
      </c>
      <c r="AI986" s="30">
        <v>353</v>
      </c>
      <c r="AJ986" s="30">
        <v>1</v>
      </c>
      <c r="AK986" s="30">
        <v>3</v>
      </c>
      <c r="AL986" s="30">
        <v>13</v>
      </c>
    </row>
    <row r="987" spans="1:38" x14ac:dyDescent="0.3">
      <c r="A987" s="30">
        <v>354</v>
      </c>
      <c r="B987" s="30">
        <v>42</v>
      </c>
      <c r="C987" s="30">
        <v>20</v>
      </c>
      <c r="D987" s="30">
        <v>32</v>
      </c>
      <c r="O987" s="30">
        <v>354</v>
      </c>
      <c r="P987" s="30">
        <v>4</v>
      </c>
      <c r="Q987" s="30">
        <v>16</v>
      </c>
      <c r="R987" s="30">
        <v>2</v>
      </c>
      <c r="AI987" s="30">
        <v>354</v>
      </c>
      <c r="AJ987" s="30">
        <v>2</v>
      </c>
      <c r="AK987" s="30">
        <v>4</v>
      </c>
      <c r="AL987" s="30">
        <v>12</v>
      </c>
    </row>
    <row r="988" spans="1:38" x14ac:dyDescent="0.3">
      <c r="A988" s="30">
        <v>355</v>
      </c>
      <c r="B988" s="30">
        <v>43</v>
      </c>
      <c r="C988" s="30">
        <v>19</v>
      </c>
      <c r="D988" s="30">
        <v>33</v>
      </c>
      <c r="O988" s="30">
        <v>355</v>
      </c>
      <c r="P988" s="30">
        <v>3</v>
      </c>
      <c r="Q988" s="30">
        <v>17</v>
      </c>
      <c r="R988" s="30">
        <v>1</v>
      </c>
      <c r="AI988" s="30">
        <v>355</v>
      </c>
      <c r="AJ988" s="30">
        <v>1</v>
      </c>
      <c r="AK988" s="30">
        <v>3</v>
      </c>
      <c r="AL988" s="30">
        <v>11</v>
      </c>
    </row>
    <row r="989" spans="1:38" x14ac:dyDescent="0.3">
      <c r="A989" s="30">
        <v>356</v>
      </c>
      <c r="B989" s="30">
        <v>44</v>
      </c>
      <c r="C989" s="30">
        <v>18</v>
      </c>
      <c r="D989" s="30">
        <v>34</v>
      </c>
      <c r="O989" s="30">
        <v>356</v>
      </c>
      <c r="P989" s="30">
        <v>2</v>
      </c>
      <c r="Q989" s="30">
        <v>18</v>
      </c>
      <c r="R989" s="30">
        <v>2</v>
      </c>
      <c r="AI989" s="30">
        <v>356</v>
      </c>
      <c r="AJ989" s="30">
        <v>0</v>
      </c>
      <c r="AK989" s="30">
        <v>2</v>
      </c>
      <c r="AL989" s="30">
        <v>12</v>
      </c>
    </row>
    <row r="990" spans="1:38" x14ac:dyDescent="0.3">
      <c r="A990" s="30">
        <v>357</v>
      </c>
      <c r="B990" s="30">
        <v>43</v>
      </c>
      <c r="C990" s="30">
        <v>19</v>
      </c>
      <c r="D990" s="30">
        <v>35</v>
      </c>
      <c r="O990" s="30">
        <v>357</v>
      </c>
      <c r="P990" s="30">
        <v>1</v>
      </c>
      <c r="Q990" s="30">
        <v>17</v>
      </c>
      <c r="R990" s="30">
        <v>1</v>
      </c>
      <c r="AI990" s="30">
        <v>357</v>
      </c>
      <c r="AJ990" s="30">
        <v>1</v>
      </c>
      <c r="AK990" s="30">
        <v>1</v>
      </c>
      <c r="AL990" s="30">
        <v>11</v>
      </c>
    </row>
    <row r="991" spans="1:38" x14ac:dyDescent="0.3">
      <c r="A991" s="30">
        <v>358</v>
      </c>
      <c r="B991" s="30">
        <v>42</v>
      </c>
      <c r="C991" s="30">
        <v>20</v>
      </c>
      <c r="D991" s="30">
        <v>34</v>
      </c>
      <c r="O991" s="30">
        <v>358</v>
      </c>
      <c r="P991" s="30">
        <v>0</v>
      </c>
      <c r="Q991" s="30">
        <v>18</v>
      </c>
      <c r="R991" s="30">
        <v>0</v>
      </c>
      <c r="AI991" s="30">
        <v>358</v>
      </c>
      <c r="AJ991" s="30">
        <v>0</v>
      </c>
      <c r="AK991" s="30">
        <v>2</v>
      </c>
      <c r="AL991" s="30">
        <v>10</v>
      </c>
    </row>
    <row r="992" spans="1:38" x14ac:dyDescent="0.3">
      <c r="A992" s="30">
        <v>359</v>
      </c>
      <c r="B992" s="30">
        <v>41</v>
      </c>
      <c r="C992" s="30">
        <v>21</v>
      </c>
      <c r="D992" s="30">
        <v>35</v>
      </c>
      <c r="O992" s="30">
        <v>359</v>
      </c>
      <c r="P992" s="30">
        <v>1</v>
      </c>
      <c r="Q992" s="30">
        <v>19</v>
      </c>
      <c r="R992" s="30">
        <v>1</v>
      </c>
      <c r="AI992" s="30">
        <v>359</v>
      </c>
      <c r="AJ992" s="30">
        <v>1</v>
      </c>
      <c r="AK992" s="30">
        <v>1</v>
      </c>
      <c r="AL992" s="30">
        <v>11</v>
      </c>
    </row>
    <row r="993" spans="1:38" x14ac:dyDescent="0.3">
      <c r="A993" s="30">
        <v>360</v>
      </c>
      <c r="B993" s="30">
        <v>40</v>
      </c>
      <c r="C993" s="30">
        <v>20</v>
      </c>
      <c r="D993" s="30">
        <v>34</v>
      </c>
      <c r="O993" s="30">
        <v>360</v>
      </c>
      <c r="P993" s="30">
        <v>2</v>
      </c>
      <c r="Q993" s="30">
        <v>20</v>
      </c>
      <c r="R993" s="30">
        <v>0</v>
      </c>
      <c r="AI993" s="30">
        <v>360</v>
      </c>
      <c r="AJ993" s="30">
        <v>2</v>
      </c>
      <c r="AK993" s="30">
        <v>2</v>
      </c>
      <c r="AL993" s="30">
        <v>12</v>
      </c>
    </row>
    <row r="994" spans="1:38" x14ac:dyDescent="0.3">
      <c r="A994" s="30">
        <v>361</v>
      </c>
      <c r="B994" s="30">
        <v>39</v>
      </c>
      <c r="C994" s="30">
        <v>19</v>
      </c>
      <c r="D994" s="30">
        <v>35</v>
      </c>
      <c r="O994" s="30">
        <v>361</v>
      </c>
      <c r="P994" s="30">
        <v>3</v>
      </c>
      <c r="Q994" s="30">
        <v>19</v>
      </c>
      <c r="R994" s="30">
        <v>1</v>
      </c>
      <c r="AI994" s="30">
        <v>361</v>
      </c>
      <c r="AJ994" s="30">
        <v>1</v>
      </c>
      <c r="AK994" s="30">
        <v>3</v>
      </c>
      <c r="AL994" s="30">
        <v>13</v>
      </c>
    </row>
    <row r="995" spans="1:38" x14ac:dyDescent="0.3">
      <c r="A995" s="30">
        <v>362</v>
      </c>
      <c r="B995" s="30">
        <v>38</v>
      </c>
      <c r="C995" s="30">
        <v>20</v>
      </c>
      <c r="D995" s="30">
        <v>36</v>
      </c>
      <c r="O995" s="30">
        <v>362</v>
      </c>
      <c r="P995" s="30">
        <v>2</v>
      </c>
      <c r="Q995" s="30">
        <v>18</v>
      </c>
      <c r="R995" s="30">
        <v>0</v>
      </c>
      <c r="AI995" s="30">
        <v>362</v>
      </c>
      <c r="AJ995" s="30">
        <v>0</v>
      </c>
      <c r="AK995" s="30">
        <v>4</v>
      </c>
      <c r="AL995" s="30">
        <v>14</v>
      </c>
    </row>
    <row r="996" spans="1:38" x14ac:dyDescent="0.3">
      <c r="A996" s="30">
        <v>363</v>
      </c>
      <c r="B996" s="30">
        <v>37</v>
      </c>
      <c r="C996" s="30">
        <v>21</v>
      </c>
      <c r="D996" s="30">
        <v>37</v>
      </c>
      <c r="O996" s="30">
        <v>363</v>
      </c>
      <c r="P996" s="30">
        <v>1</v>
      </c>
      <c r="Q996" s="30">
        <v>17</v>
      </c>
      <c r="R996" s="30">
        <v>1</v>
      </c>
      <c r="AI996" s="30">
        <v>363</v>
      </c>
      <c r="AJ996" s="30">
        <v>1</v>
      </c>
      <c r="AK996" s="30">
        <v>5</v>
      </c>
      <c r="AL996" s="30">
        <v>13</v>
      </c>
    </row>
    <row r="997" spans="1:38" x14ac:dyDescent="0.3">
      <c r="A997" s="30">
        <v>364</v>
      </c>
      <c r="B997" s="30">
        <v>36</v>
      </c>
      <c r="C997" s="30">
        <v>22</v>
      </c>
      <c r="D997" s="30">
        <v>36</v>
      </c>
      <c r="O997" s="30">
        <v>364</v>
      </c>
      <c r="P997" s="30">
        <v>0</v>
      </c>
      <c r="Q997" s="30">
        <v>18</v>
      </c>
      <c r="R997" s="30">
        <v>0</v>
      </c>
      <c r="AI997" s="30">
        <v>364</v>
      </c>
      <c r="AJ997" s="30">
        <v>2</v>
      </c>
      <c r="AK997" s="30">
        <v>4</v>
      </c>
      <c r="AL997" s="30">
        <v>12</v>
      </c>
    </row>
    <row r="998" spans="1:38" x14ac:dyDescent="0.3">
      <c r="A998" s="30">
        <v>365</v>
      </c>
      <c r="B998" s="30">
        <v>35</v>
      </c>
      <c r="C998" s="30">
        <v>21</v>
      </c>
      <c r="D998" s="30">
        <v>35</v>
      </c>
      <c r="O998" s="30">
        <v>365</v>
      </c>
      <c r="P998" s="30">
        <v>1</v>
      </c>
      <c r="Q998" s="30">
        <v>17</v>
      </c>
      <c r="R998" s="30">
        <v>1</v>
      </c>
      <c r="AI998" s="30">
        <v>365</v>
      </c>
      <c r="AJ998" s="30">
        <v>1</v>
      </c>
      <c r="AK998" s="30">
        <v>3</v>
      </c>
      <c r="AL998" s="30">
        <v>11</v>
      </c>
    </row>
    <row r="999" spans="1:38" x14ac:dyDescent="0.3">
      <c r="A999" s="30">
        <v>366</v>
      </c>
      <c r="B999" s="30">
        <v>34</v>
      </c>
      <c r="C999" s="30">
        <v>22</v>
      </c>
      <c r="D999" s="30">
        <v>34</v>
      </c>
      <c r="O999" s="30">
        <v>366</v>
      </c>
      <c r="P999" s="30">
        <v>2</v>
      </c>
      <c r="Q999" s="30">
        <v>18</v>
      </c>
      <c r="R999" s="30">
        <v>2</v>
      </c>
      <c r="AI999" s="30">
        <v>366</v>
      </c>
      <c r="AJ999" s="30">
        <v>0</v>
      </c>
      <c r="AK999" s="30">
        <v>4</v>
      </c>
      <c r="AL999" s="30">
        <v>10</v>
      </c>
    </row>
    <row r="1000" spans="1:38" x14ac:dyDescent="0.3">
      <c r="A1000" s="30">
        <v>367</v>
      </c>
      <c r="B1000" s="30">
        <v>33</v>
      </c>
      <c r="C1000" s="30">
        <v>23</v>
      </c>
      <c r="D1000" s="30">
        <v>33</v>
      </c>
      <c r="O1000" s="30">
        <v>367</v>
      </c>
      <c r="P1000" s="30">
        <v>1</v>
      </c>
      <c r="Q1000" s="30">
        <v>17</v>
      </c>
      <c r="R1000" s="30">
        <v>1</v>
      </c>
      <c r="AI1000" s="30">
        <v>367</v>
      </c>
      <c r="AJ1000" s="30">
        <v>1</v>
      </c>
      <c r="AK1000" s="30">
        <v>3</v>
      </c>
      <c r="AL1000" s="30">
        <v>11</v>
      </c>
    </row>
    <row r="1001" spans="1:38" x14ac:dyDescent="0.3">
      <c r="A1001" s="30">
        <v>368</v>
      </c>
      <c r="B1001" s="30">
        <v>32</v>
      </c>
      <c r="C1001" s="30">
        <v>22</v>
      </c>
      <c r="D1001" s="30">
        <v>32</v>
      </c>
      <c r="O1001" s="30">
        <v>368</v>
      </c>
      <c r="P1001" s="30">
        <v>0</v>
      </c>
      <c r="Q1001" s="30">
        <v>16</v>
      </c>
      <c r="R1001" s="30">
        <v>2</v>
      </c>
      <c r="AI1001" s="30">
        <v>368</v>
      </c>
      <c r="AJ1001" s="30">
        <v>2</v>
      </c>
      <c r="AK1001" s="30">
        <v>4</v>
      </c>
      <c r="AL1001" s="30">
        <v>12</v>
      </c>
    </row>
    <row r="1002" spans="1:38" x14ac:dyDescent="0.3">
      <c r="A1002" s="30">
        <v>369</v>
      </c>
      <c r="B1002" s="30">
        <v>31</v>
      </c>
      <c r="C1002" s="30">
        <v>21</v>
      </c>
      <c r="D1002" s="30">
        <v>31</v>
      </c>
      <c r="O1002" s="30">
        <v>369</v>
      </c>
      <c r="P1002" s="30">
        <v>1</v>
      </c>
      <c r="Q1002" s="30">
        <v>15</v>
      </c>
      <c r="R1002" s="30">
        <v>1</v>
      </c>
      <c r="AI1002" s="30">
        <v>369</v>
      </c>
      <c r="AJ1002" s="30">
        <v>3</v>
      </c>
      <c r="AK1002" s="30">
        <v>5</v>
      </c>
      <c r="AL1002" s="30">
        <v>13</v>
      </c>
    </row>
    <row r="1003" spans="1:38" x14ac:dyDescent="0.3">
      <c r="A1003" s="30">
        <v>370</v>
      </c>
      <c r="B1003" s="30">
        <v>30</v>
      </c>
      <c r="C1003" s="30">
        <v>22</v>
      </c>
      <c r="D1003" s="30">
        <v>30</v>
      </c>
      <c r="O1003" s="30">
        <v>370</v>
      </c>
      <c r="P1003" s="30">
        <v>2</v>
      </c>
      <c r="Q1003" s="30">
        <v>14</v>
      </c>
      <c r="R1003" s="30">
        <v>0</v>
      </c>
      <c r="AI1003" s="30">
        <v>370</v>
      </c>
      <c r="AJ1003" s="30">
        <v>2</v>
      </c>
      <c r="AK1003" s="30">
        <v>6</v>
      </c>
      <c r="AL1003" s="30">
        <v>12</v>
      </c>
    </row>
    <row r="1004" spans="1:38" x14ac:dyDescent="0.3">
      <c r="A1004" s="30">
        <v>371</v>
      </c>
      <c r="B1004" s="30">
        <v>29</v>
      </c>
      <c r="C1004" s="30">
        <v>21</v>
      </c>
      <c r="D1004" s="30">
        <v>29</v>
      </c>
      <c r="O1004" s="30">
        <v>371</v>
      </c>
      <c r="P1004" s="30">
        <v>3</v>
      </c>
      <c r="Q1004" s="30">
        <v>15</v>
      </c>
      <c r="R1004" s="30">
        <v>1</v>
      </c>
      <c r="AI1004" s="30">
        <v>371</v>
      </c>
      <c r="AJ1004" s="30">
        <v>1</v>
      </c>
      <c r="AK1004" s="30">
        <v>7</v>
      </c>
      <c r="AL1004" s="30">
        <v>11</v>
      </c>
    </row>
    <row r="1005" spans="1:38" x14ac:dyDescent="0.3">
      <c r="A1005" s="30">
        <v>372</v>
      </c>
      <c r="B1005" s="30">
        <v>28</v>
      </c>
      <c r="C1005" s="30">
        <v>20</v>
      </c>
      <c r="D1005" s="30">
        <v>28</v>
      </c>
      <c r="O1005" s="30">
        <v>372</v>
      </c>
      <c r="P1005" s="30">
        <v>2</v>
      </c>
      <c r="Q1005" s="30">
        <v>14</v>
      </c>
      <c r="R1005" s="30">
        <v>0</v>
      </c>
      <c r="AI1005" s="30">
        <v>372</v>
      </c>
      <c r="AJ1005" s="30">
        <v>0</v>
      </c>
      <c r="AK1005" s="30">
        <v>6</v>
      </c>
      <c r="AL1005" s="30">
        <v>10</v>
      </c>
    </row>
    <row r="1006" spans="1:38" x14ac:dyDescent="0.3">
      <c r="A1006" s="30">
        <v>373</v>
      </c>
      <c r="B1006" s="30">
        <v>27</v>
      </c>
      <c r="C1006" s="30">
        <v>21</v>
      </c>
      <c r="D1006" s="30">
        <v>27</v>
      </c>
      <c r="O1006" s="30">
        <v>373</v>
      </c>
      <c r="P1006" s="30">
        <v>1</v>
      </c>
      <c r="Q1006" s="30">
        <v>13</v>
      </c>
      <c r="R1006" s="30">
        <v>1</v>
      </c>
      <c r="AI1006" s="30">
        <v>373</v>
      </c>
      <c r="AJ1006" s="30">
        <v>1</v>
      </c>
      <c r="AK1006" s="30">
        <v>7</v>
      </c>
      <c r="AL1006" s="30">
        <v>11</v>
      </c>
    </row>
    <row r="1007" spans="1:38" x14ac:dyDescent="0.3">
      <c r="A1007" s="30">
        <v>374</v>
      </c>
      <c r="B1007" s="30">
        <v>26</v>
      </c>
      <c r="C1007" s="30">
        <v>22</v>
      </c>
      <c r="D1007" s="30">
        <v>26</v>
      </c>
      <c r="O1007" s="30">
        <v>374</v>
      </c>
      <c r="P1007" s="30">
        <v>0</v>
      </c>
      <c r="Q1007" s="30">
        <v>14</v>
      </c>
      <c r="R1007" s="30">
        <v>2</v>
      </c>
      <c r="AI1007" s="30">
        <v>374</v>
      </c>
      <c r="AJ1007" s="30">
        <v>0</v>
      </c>
      <c r="AK1007" s="30">
        <v>6</v>
      </c>
      <c r="AL1007" s="30">
        <v>12</v>
      </c>
    </row>
    <row r="1008" spans="1:38" x14ac:dyDescent="0.3">
      <c r="A1008" s="30">
        <v>375</v>
      </c>
      <c r="B1008" s="30">
        <v>25</v>
      </c>
      <c r="C1008" s="30">
        <v>21</v>
      </c>
      <c r="D1008" s="30">
        <v>25</v>
      </c>
      <c r="O1008" s="30">
        <v>375</v>
      </c>
      <c r="P1008" s="30">
        <v>1</v>
      </c>
      <c r="Q1008" s="30">
        <v>13</v>
      </c>
      <c r="R1008" s="30">
        <v>3</v>
      </c>
      <c r="AI1008" s="30">
        <v>375</v>
      </c>
      <c r="AJ1008" s="30">
        <v>1</v>
      </c>
      <c r="AK1008" s="30">
        <v>7</v>
      </c>
      <c r="AL1008" s="30">
        <v>13</v>
      </c>
    </row>
    <row r="1009" spans="1:38" x14ac:dyDescent="0.3">
      <c r="A1009" s="30">
        <v>376</v>
      </c>
      <c r="B1009" s="30">
        <v>24</v>
      </c>
      <c r="C1009" s="30">
        <v>22</v>
      </c>
      <c r="D1009" s="30">
        <v>24</v>
      </c>
      <c r="O1009" s="30">
        <v>376</v>
      </c>
      <c r="P1009" s="30">
        <v>0</v>
      </c>
      <c r="Q1009" s="30">
        <v>14</v>
      </c>
      <c r="R1009" s="30">
        <v>2</v>
      </c>
      <c r="AI1009" s="30">
        <v>376</v>
      </c>
      <c r="AJ1009" s="30">
        <v>0</v>
      </c>
      <c r="AK1009" s="30">
        <v>8</v>
      </c>
      <c r="AL1009" s="30">
        <v>12</v>
      </c>
    </row>
    <row r="1010" spans="1:38" x14ac:dyDescent="0.3">
      <c r="A1010" s="30">
        <v>377</v>
      </c>
      <c r="B1010" s="30">
        <v>23</v>
      </c>
      <c r="C1010" s="30">
        <v>21</v>
      </c>
      <c r="D1010" s="30">
        <v>23</v>
      </c>
      <c r="O1010" s="30">
        <v>377</v>
      </c>
      <c r="P1010" s="30">
        <v>1</v>
      </c>
      <c r="Q1010" s="30">
        <v>13</v>
      </c>
      <c r="R1010" s="30">
        <v>1</v>
      </c>
      <c r="AI1010" s="30">
        <v>377</v>
      </c>
      <c r="AJ1010" s="30">
        <v>1</v>
      </c>
      <c r="AK1010" s="30">
        <v>7</v>
      </c>
      <c r="AL1010" s="30">
        <v>13</v>
      </c>
    </row>
    <row r="1011" spans="1:38" x14ac:dyDescent="0.3">
      <c r="A1011" s="30">
        <v>378</v>
      </c>
      <c r="B1011" s="30">
        <v>22</v>
      </c>
      <c r="C1011" s="30">
        <v>20</v>
      </c>
      <c r="D1011" s="30">
        <v>22</v>
      </c>
      <c r="O1011" s="30">
        <v>378</v>
      </c>
      <c r="P1011" s="30">
        <v>0</v>
      </c>
      <c r="Q1011" s="30">
        <v>14</v>
      </c>
      <c r="R1011" s="30">
        <v>0</v>
      </c>
      <c r="AI1011" s="30">
        <v>378</v>
      </c>
      <c r="AJ1011" s="30">
        <v>0</v>
      </c>
      <c r="AK1011" s="30">
        <v>8</v>
      </c>
      <c r="AL1011" s="30">
        <v>12</v>
      </c>
    </row>
    <row r="1012" spans="1:38" x14ac:dyDescent="0.3">
      <c r="A1012" s="30">
        <v>379</v>
      </c>
      <c r="B1012" s="30">
        <v>21</v>
      </c>
      <c r="C1012" s="30">
        <v>19</v>
      </c>
      <c r="D1012" s="30">
        <v>21</v>
      </c>
      <c r="O1012" s="30">
        <v>379</v>
      </c>
      <c r="P1012" s="30">
        <v>1</v>
      </c>
      <c r="Q1012" s="30">
        <v>13</v>
      </c>
      <c r="R1012" s="30">
        <v>1</v>
      </c>
      <c r="AI1012" s="30">
        <v>379</v>
      </c>
      <c r="AJ1012" s="30">
        <v>1</v>
      </c>
      <c r="AK1012" s="30">
        <v>9</v>
      </c>
      <c r="AL1012" s="30">
        <v>11</v>
      </c>
    </row>
    <row r="1013" spans="1:38" x14ac:dyDescent="0.3">
      <c r="A1013" s="30">
        <v>380</v>
      </c>
      <c r="B1013" s="30">
        <v>20</v>
      </c>
      <c r="C1013" s="30">
        <v>20</v>
      </c>
      <c r="D1013" s="30">
        <v>20</v>
      </c>
      <c r="O1013" s="30">
        <v>380</v>
      </c>
      <c r="P1013" s="30">
        <v>2</v>
      </c>
      <c r="Q1013" s="30">
        <v>12</v>
      </c>
      <c r="R1013" s="30">
        <v>0</v>
      </c>
      <c r="AI1013" s="30">
        <v>380</v>
      </c>
      <c r="AJ1013" s="30">
        <v>0</v>
      </c>
      <c r="AK1013" s="30">
        <v>10</v>
      </c>
      <c r="AL1013" s="30">
        <v>10</v>
      </c>
    </row>
    <row r="1014" spans="1:38" x14ac:dyDescent="0.3">
      <c r="A1014" s="30">
        <v>381</v>
      </c>
      <c r="B1014" s="30">
        <v>19</v>
      </c>
      <c r="C1014" s="30">
        <v>19</v>
      </c>
      <c r="D1014" s="30">
        <v>19</v>
      </c>
      <c r="O1014" s="30">
        <v>381</v>
      </c>
      <c r="P1014" s="30">
        <v>1</v>
      </c>
      <c r="Q1014" s="30">
        <v>11</v>
      </c>
      <c r="R1014" s="30">
        <v>1</v>
      </c>
      <c r="AI1014" s="30">
        <v>381</v>
      </c>
      <c r="AJ1014" s="30">
        <v>1</v>
      </c>
      <c r="AK1014" s="30">
        <v>11</v>
      </c>
      <c r="AL1014" s="30">
        <v>9</v>
      </c>
    </row>
    <row r="1015" spans="1:38" x14ac:dyDescent="0.3">
      <c r="A1015" s="30">
        <v>382</v>
      </c>
      <c r="B1015" s="30">
        <v>18</v>
      </c>
      <c r="C1015" s="30">
        <v>18</v>
      </c>
      <c r="D1015" s="30">
        <v>18</v>
      </c>
      <c r="O1015" s="30">
        <v>382</v>
      </c>
      <c r="P1015" s="30">
        <v>2</v>
      </c>
      <c r="Q1015" s="30">
        <v>12</v>
      </c>
      <c r="R1015" s="30">
        <v>0</v>
      </c>
      <c r="AI1015" s="30">
        <v>382</v>
      </c>
      <c r="AJ1015" s="30">
        <v>0</v>
      </c>
      <c r="AK1015" s="30">
        <v>12</v>
      </c>
      <c r="AL1015" s="30">
        <v>10</v>
      </c>
    </row>
    <row r="1016" spans="1:38" x14ac:dyDescent="0.3">
      <c r="A1016" s="30">
        <v>383</v>
      </c>
      <c r="B1016" s="30">
        <v>17</v>
      </c>
      <c r="C1016" s="30">
        <v>17</v>
      </c>
      <c r="D1016" s="30">
        <v>17</v>
      </c>
      <c r="O1016" s="30">
        <v>383</v>
      </c>
      <c r="P1016" s="30">
        <v>1</v>
      </c>
      <c r="Q1016" s="30">
        <v>11</v>
      </c>
      <c r="R1016" s="30">
        <v>1</v>
      </c>
      <c r="AI1016" s="30">
        <v>383</v>
      </c>
      <c r="AJ1016" s="30">
        <v>1</v>
      </c>
      <c r="AK1016" s="30">
        <v>11</v>
      </c>
      <c r="AL1016" s="30">
        <v>9</v>
      </c>
    </row>
    <row r="1017" spans="1:38" x14ac:dyDescent="0.3">
      <c r="A1017" s="30">
        <v>384</v>
      </c>
      <c r="B1017" s="30">
        <v>16</v>
      </c>
      <c r="C1017" s="30">
        <v>16</v>
      </c>
      <c r="D1017" s="30">
        <v>16</v>
      </c>
      <c r="O1017" s="30">
        <v>384</v>
      </c>
      <c r="P1017" s="30">
        <v>2</v>
      </c>
      <c r="Q1017" s="30">
        <v>10</v>
      </c>
      <c r="R1017" s="30">
        <v>0</v>
      </c>
      <c r="AI1017" s="30">
        <v>384</v>
      </c>
      <c r="AJ1017" s="30">
        <v>2</v>
      </c>
      <c r="AK1017" s="30">
        <v>12</v>
      </c>
      <c r="AL1017" s="30">
        <v>10</v>
      </c>
    </row>
    <row r="1018" spans="1:38" x14ac:dyDescent="0.3">
      <c r="A1018" s="30">
        <v>385</v>
      </c>
      <c r="B1018" s="30">
        <v>15</v>
      </c>
      <c r="C1018" s="30">
        <v>15</v>
      </c>
      <c r="D1018" s="30">
        <v>15</v>
      </c>
      <c r="O1018" s="30">
        <v>385</v>
      </c>
      <c r="P1018" s="30">
        <v>3</v>
      </c>
      <c r="Q1018" s="30">
        <v>11</v>
      </c>
      <c r="R1018" s="30">
        <v>1</v>
      </c>
      <c r="AI1018" s="30">
        <v>385</v>
      </c>
      <c r="AJ1018" s="30">
        <v>1</v>
      </c>
      <c r="AK1018" s="30">
        <v>11</v>
      </c>
      <c r="AL1018" s="30">
        <v>9</v>
      </c>
    </row>
    <row r="1019" spans="1:38" x14ac:dyDescent="0.3">
      <c r="A1019" s="30">
        <v>386</v>
      </c>
      <c r="B1019" s="30">
        <v>14</v>
      </c>
      <c r="C1019" s="30">
        <v>14</v>
      </c>
      <c r="D1019" s="30">
        <v>14</v>
      </c>
      <c r="O1019" s="30">
        <v>386</v>
      </c>
      <c r="P1019" s="30">
        <v>4</v>
      </c>
      <c r="Q1019" s="30">
        <v>12</v>
      </c>
      <c r="R1019" s="30">
        <v>0</v>
      </c>
      <c r="AI1019" s="30">
        <v>386</v>
      </c>
      <c r="AJ1019" s="30">
        <v>2</v>
      </c>
      <c r="AK1019" s="30">
        <v>12</v>
      </c>
      <c r="AL1019" s="30">
        <v>8</v>
      </c>
    </row>
    <row r="1020" spans="1:38" x14ac:dyDescent="0.3">
      <c r="A1020" s="30">
        <v>387</v>
      </c>
      <c r="B1020" s="30">
        <v>13</v>
      </c>
      <c r="C1020" s="30">
        <v>13</v>
      </c>
      <c r="D1020" s="30">
        <v>13</v>
      </c>
      <c r="O1020" s="30">
        <v>387</v>
      </c>
      <c r="P1020" s="30">
        <v>5</v>
      </c>
      <c r="Q1020" s="30">
        <v>13</v>
      </c>
      <c r="R1020" s="30">
        <v>1</v>
      </c>
      <c r="AI1020" s="30">
        <v>387</v>
      </c>
      <c r="AJ1020" s="30">
        <v>1</v>
      </c>
      <c r="AK1020" s="30">
        <v>13</v>
      </c>
      <c r="AL1020" s="30">
        <v>9</v>
      </c>
    </row>
    <row r="1021" spans="1:38" x14ac:dyDescent="0.3">
      <c r="A1021" s="30">
        <v>388</v>
      </c>
      <c r="B1021" s="30">
        <v>12</v>
      </c>
      <c r="C1021" s="30">
        <v>12</v>
      </c>
      <c r="D1021" s="30">
        <v>12</v>
      </c>
      <c r="O1021" s="30">
        <v>388</v>
      </c>
      <c r="P1021" s="30">
        <v>4</v>
      </c>
      <c r="Q1021" s="30">
        <v>12</v>
      </c>
      <c r="R1021" s="30">
        <v>0</v>
      </c>
      <c r="AI1021" s="30">
        <v>388</v>
      </c>
      <c r="AJ1021" s="30">
        <v>2</v>
      </c>
      <c r="AK1021" s="30">
        <v>12</v>
      </c>
      <c r="AL1021" s="30">
        <v>8</v>
      </c>
    </row>
    <row r="1022" spans="1:38" x14ac:dyDescent="0.3">
      <c r="A1022" s="30">
        <v>389</v>
      </c>
      <c r="B1022" s="30">
        <v>11</v>
      </c>
      <c r="C1022" s="30">
        <v>11</v>
      </c>
      <c r="D1022" s="30">
        <v>11</v>
      </c>
      <c r="O1022" s="30">
        <v>389</v>
      </c>
      <c r="P1022" s="30">
        <v>3</v>
      </c>
      <c r="Q1022" s="30">
        <v>11</v>
      </c>
      <c r="R1022" s="30">
        <v>1</v>
      </c>
      <c r="AI1022" s="30">
        <v>389</v>
      </c>
      <c r="AJ1022" s="30">
        <v>3</v>
      </c>
      <c r="AK1022" s="30">
        <v>11</v>
      </c>
      <c r="AL1022" s="30">
        <v>9</v>
      </c>
    </row>
    <row r="1023" spans="1:38" x14ac:dyDescent="0.3">
      <c r="A1023" s="30">
        <v>390</v>
      </c>
      <c r="B1023" s="30">
        <v>10</v>
      </c>
      <c r="C1023" s="30">
        <v>10</v>
      </c>
      <c r="D1023" s="30">
        <v>10</v>
      </c>
      <c r="O1023" s="30">
        <v>390</v>
      </c>
      <c r="P1023" s="30">
        <v>4</v>
      </c>
      <c r="Q1023" s="30">
        <v>10</v>
      </c>
      <c r="R1023" s="30">
        <v>2</v>
      </c>
      <c r="AI1023" s="30">
        <v>390</v>
      </c>
      <c r="AJ1023" s="30">
        <v>4</v>
      </c>
      <c r="AK1023" s="30">
        <v>10</v>
      </c>
      <c r="AL1023" s="30">
        <v>8</v>
      </c>
    </row>
    <row r="1024" spans="1:38" x14ac:dyDescent="0.3">
      <c r="A1024" s="30">
        <v>391</v>
      </c>
      <c r="B1024" s="30">
        <v>9</v>
      </c>
      <c r="C1024" s="30">
        <v>9</v>
      </c>
      <c r="D1024" s="30">
        <v>9</v>
      </c>
      <c r="O1024" s="30">
        <v>391</v>
      </c>
      <c r="P1024" s="30">
        <v>3</v>
      </c>
      <c r="Q1024" s="30">
        <v>9</v>
      </c>
      <c r="R1024" s="30">
        <v>1</v>
      </c>
      <c r="AI1024" s="30">
        <v>391</v>
      </c>
      <c r="AJ1024" s="30">
        <v>5</v>
      </c>
      <c r="AK1024" s="30">
        <v>9</v>
      </c>
      <c r="AL1024" s="30">
        <v>7</v>
      </c>
    </row>
    <row r="1025" spans="1:38" x14ac:dyDescent="0.3">
      <c r="A1025" s="30">
        <v>392</v>
      </c>
      <c r="B1025" s="30">
        <v>8</v>
      </c>
      <c r="C1025" s="30">
        <v>8</v>
      </c>
      <c r="D1025" s="30">
        <v>8</v>
      </c>
      <c r="O1025" s="30">
        <v>392</v>
      </c>
      <c r="P1025" s="30">
        <v>2</v>
      </c>
      <c r="Q1025" s="30">
        <v>8</v>
      </c>
      <c r="R1025" s="30">
        <v>0</v>
      </c>
      <c r="AI1025" s="30">
        <v>392</v>
      </c>
      <c r="AJ1025" s="30">
        <v>4</v>
      </c>
      <c r="AK1025" s="30">
        <v>8</v>
      </c>
      <c r="AL1025" s="30">
        <v>6</v>
      </c>
    </row>
    <row r="1026" spans="1:38" x14ac:dyDescent="0.3">
      <c r="A1026" s="30">
        <v>393</v>
      </c>
      <c r="B1026" s="30">
        <v>7</v>
      </c>
      <c r="C1026" s="30">
        <v>7</v>
      </c>
      <c r="D1026" s="30">
        <v>7</v>
      </c>
      <c r="O1026" s="30">
        <v>393</v>
      </c>
      <c r="P1026" s="30">
        <v>3</v>
      </c>
      <c r="Q1026" s="30">
        <v>7</v>
      </c>
      <c r="R1026" s="30">
        <v>1</v>
      </c>
      <c r="AI1026" s="30">
        <v>393</v>
      </c>
      <c r="AJ1026" s="30">
        <v>3</v>
      </c>
      <c r="AK1026" s="30">
        <v>7</v>
      </c>
      <c r="AL1026" s="30">
        <v>7</v>
      </c>
    </row>
    <row r="1027" spans="1:38" x14ac:dyDescent="0.3">
      <c r="A1027" s="30">
        <v>394</v>
      </c>
      <c r="B1027" s="30">
        <v>6</v>
      </c>
      <c r="C1027" s="30">
        <v>6</v>
      </c>
      <c r="D1027" s="30">
        <v>6</v>
      </c>
      <c r="O1027" s="30">
        <v>394</v>
      </c>
      <c r="P1027" s="30">
        <v>2</v>
      </c>
      <c r="Q1027" s="30">
        <v>6</v>
      </c>
      <c r="R1027" s="30">
        <v>2</v>
      </c>
      <c r="AI1027" s="30">
        <v>394</v>
      </c>
      <c r="AJ1027" s="30">
        <v>4</v>
      </c>
      <c r="AK1027" s="30">
        <v>6</v>
      </c>
      <c r="AL1027" s="30">
        <v>6</v>
      </c>
    </row>
    <row r="1028" spans="1:38" x14ac:dyDescent="0.3">
      <c r="A1028" s="30">
        <v>395</v>
      </c>
      <c r="B1028" s="30">
        <v>5</v>
      </c>
      <c r="C1028" s="30">
        <v>5</v>
      </c>
      <c r="D1028" s="30">
        <v>5</v>
      </c>
      <c r="O1028" s="30">
        <v>395</v>
      </c>
      <c r="P1028" s="30">
        <v>3</v>
      </c>
      <c r="Q1028" s="30">
        <v>5</v>
      </c>
      <c r="R1028" s="30">
        <v>3</v>
      </c>
      <c r="AI1028" s="30">
        <v>395</v>
      </c>
      <c r="AJ1028" s="30">
        <v>5</v>
      </c>
      <c r="AK1028" s="30">
        <v>5</v>
      </c>
      <c r="AL1028" s="30">
        <v>5</v>
      </c>
    </row>
    <row r="1029" spans="1:38" x14ac:dyDescent="0.3">
      <c r="A1029" s="30">
        <v>396</v>
      </c>
      <c r="B1029" s="30">
        <v>4</v>
      </c>
      <c r="C1029" s="30">
        <v>4</v>
      </c>
      <c r="D1029" s="30">
        <v>4</v>
      </c>
      <c r="O1029" s="30">
        <v>396</v>
      </c>
      <c r="P1029" s="30">
        <v>4</v>
      </c>
      <c r="Q1029" s="30">
        <v>4</v>
      </c>
      <c r="R1029" s="30">
        <v>4</v>
      </c>
      <c r="AI1029" s="30">
        <v>396</v>
      </c>
      <c r="AJ1029" s="30">
        <v>4</v>
      </c>
      <c r="AK1029" s="30">
        <v>4</v>
      </c>
      <c r="AL1029" s="30">
        <v>4</v>
      </c>
    </row>
    <row r="1030" spans="1:38" x14ac:dyDescent="0.3">
      <c r="A1030" s="30">
        <v>397</v>
      </c>
      <c r="B1030" s="30">
        <v>3</v>
      </c>
      <c r="C1030" s="30">
        <v>3</v>
      </c>
      <c r="D1030" s="30">
        <v>3</v>
      </c>
      <c r="O1030" s="30">
        <v>397</v>
      </c>
      <c r="P1030" s="30">
        <v>3</v>
      </c>
      <c r="Q1030" s="30">
        <v>3</v>
      </c>
      <c r="R1030" s="30">
        <v>3</v>
      </c>
      <c r="AI1030" s="30">
        <v>397</v>
      </c>
      <c r="AJ1030" s="30">
        <v>3</v>
      </c>
      <c r="AK1030" s="30">
        <v>3</v>
      </c>
      <c r="AL1030" s="30">
        <v>3</v>
      </c>
    </row>
    <row r="1031" spans="1:38" x14ac:dyDescent="0.3">
      <c r="A1031" s="30">
        <v>398</v>
      </c>
      <c r="B1031" s="30">
        <v>2</v>
      </c>
      <c r="C1031" s="30">
        <v>2</v>
      </c>
      <c r="D1031" s="30">
        <v>2</v>
      </c>
      <c r="O1031" s="30">
        <v>398</v>
      </c>
      <c r="P1031" s="30">
        <v>2</v>
      </c>
      <c r="Q1031" s="30">
        <v>2</v>
      </c>
      <c r="R1031" s="30">
        <v>2</v>
      </c>
      <c r="AI1031" s="30">
        <v>398</v>
      </c>
      <c r="AJ1031" s="30">
        <v>2</v>
      </c>
      <c r="AK1031" s="30">
        <v>2</v>
      </c>
      <c r="AL1031" s="30">
        <v>2</v>
      </c>
    </row>
    <row r="1032" spans="1:38" x14ac:dyDescent="0.3">
      <c r="A1032" s="30">
        <v>399</v>
      </c>
      <c r="B1032" s="30">
        <v>1</v>
      </c>
      <c r="C1032" s="30">
        <v>1</v>
      </c>
      <c r="D1032" s="30">
        <v>1</v>
      </c>
      <c r="O1032" s="30">
        <v>399</v>
      </c>
      <c r="P1032" s="30">
        <v>1</v>
      </c>
      <c r="Q1032" s="30">
        <v>1</v>
      </c>
      <c r="R1032" s="30">
        <v>1</v>
      </c>
      <c r="AI1032" s="30">
        <v>399</v>
      </c>
      <c r="AJ1032" s="30">
        <v>1</v>
      </c>
      <c r="AK1032" s="30">
        <v>1</v>
      </c>
      <c r="AL1032" s="30">
        <v>1</v>
      </c>
    </row>
    <row r="1033" spans="1:38" x14ac:dyDescent="0.3">
      <c r="A1033" s="30">
        <v>400</v>
      </c>
      <c r="B1033" s="30">
        <v>0</v>
      </c>
      <c r="C1033" s="30">
        <v>0</v>
      </c>
      <c r="D1033" s="30">
        <v>0</v>
      </c>
      <c r="O1033" s="30">
        <v>400</v>
      </c>
      <c r="P1033" s="30">
        <v>0</v>
      </c>
      <c r="Q1033" s="30">
        <v>0</v>
      </c>
      <c r="R1033" s="30">
        <v>0</v>
      </c>
      <c r="AI1033" s="30">
        <v>400</v>
      </c>
      <c r="AJ1033" s="30">
        <v>0</v>
      </c>
      <c r="AK1033" s="30">
        <v>0</v>
      </c>
      <c r="AL1033" s="30">
        <v>0</v>
      </c>
    </row>
  </sheetData>
  <sortState ref="L230:M629">
    <sortCondition ref="L230:L629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7654" r:id="rId3" name="CommandButton2">
          <controlPr defaultSize="0" autoLine="0" r:id="rId4">
            <anchor moveWithCells="1">
              <from>
                <xdr:col>17</xdr:col>
                <xdr:colOff>594360</xdr:colOff>
                <xdr:row>225</xdr:row>
                <xdr:rowOff>205740</xdr:rowOff>
              </from>
              <to>
                <xdr:col>18</xdr:col>
                <xdr:colOff>502920</xdr:colOff>
                <xdr:row>227</xdr:row>
                <xdr:rowOff>381000</xdr:rowOff>
              </to>
            </anchor>
          </controlPr>
        </control>
      </mc:Choice>
      <mc:Fallback>
        <control shapeId="27654" r:id="rId3" name="CommandButton2"/>
      </mc:Fallback>
    </mc:AlternateContent>
    <mc:AlternateContent xmlns:mc="http://schemas.openxmlformats.org/markup-compatibility/2006">
      <mc:Choice Requires="x14">
        <control shapeId="27649" r:id="rId5" name="CommandButton1">
          <controlPr defaultSize="0" autoLine="0" r:id="rId6">
            <anchor moveWithCells="1">
              <from>
                <xdr:col>11</xdr:col>
                <xdr:colOff>0</xdr:colOff>
                <xdr:row>0</xdr:row>
                <xdr:rowOff>60960</xdr:rowOff>
              </from>
              <to>
                <xdr:col>11</xdr:col>
                <xdr:colOff>960120</xdr:colOff>
                <xdr:row>3</xdr:row>
                <xdr:rowOff>144780</xdr:rowOff>
              </to>
            </anchor>
          </controlPr>
        </control>
      </mc:Choice>
      <mc:Fallback>
        <control shapeId="27649" r:id="rId5" name="CommandButton1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4"/>
  <dimension ref="A1:J217"/>
  <sheetViews>
    <sheetView topLeftCell="A184" workbookViewId="0">
      <selection activeCell="A13" sqref="A13:J13"/>
    </sheetView>
  </sheetViews>
  <sheetFormatPr defaultRowHeight="14.4" x14ac:dyDescent="0.3"/>
  <cols>
    <col min="2" max="2" width="14.109375" customWidth="1"/>
    <col min="3" max="3" width="13.44140625" customWidth="1"/>
    <col min="4" max="4" width="14.5546875" customWidth="1"/>
    <col min="5" max="5" width="13.44140625" customWidth="1"/>
    <col min="6" max="6" width="12.6640625" customWidth="1"/>
    <col min="7" max="7" width="14.6640625" customWidth="1"/>
    <col min="8" max="8" width="15" customWidth="1"/>
    <col min="9" max="9" width="13.6640625" customWidth="1"/>
    <col min="10" max="10" width="13.88671875" customWidth="1"/>
  </cols>
  <sheetData>
    <row r="1" spans="1:10" ht="43.2" x14ac:dyDescent="0.3">
      <c r="D1" s="2" t="s">
        <v>1</v>
      </c>
      <c r="E1" s="3" t="s">
        <v>2</v>
      </c>
      <c r="F1" s="4">
        <v>0.04</v>
      </c>
      <c r="H1" s="5" t="s">
        <v>3</v>
      </c>
      <c r="I1" s="6" t="s">
        <v>4</v>
      </c>
      <c r="J1" s="42">
        <v>4.4999999999999998E-2</v>
      </c>
    </row>
    <row r="5" spans="1:10" x14ac:dyDescent="0.3">
      <c r="D5" t="s">
        <v>6</v>
      </c>
    </row>
    <row r="6" spans="1:10" ht="18.600000000000001" x14ac:dyDescent="0.3">
      <c r="D6" s="8" t="s">
        <v>7</v>
      </c>
      <c r="E6" s="7" t="s">
        <v>8</v>
      </c>
    </row>
    <row r="7" spans="1:10" ht="18.600000000000001" x14ac:dyDescent="0.3">
      <c r="D7" s="8" t="s">
        <v>9</v>
      </c>
      <c r="E7" s="7" t="s">
        <v>10</v>
      </c>
    </row>
    <row r="8" spans="1:10" ht="18" x14ac:dyDescent="0.3">
      <c r="D8" s="9" t="s">
        <v>11</v>
      </c>
      <c r="E8" s="7" t="s">
        <v>12</v>
      </c>
    </row>
    <row r="9" spans="1:10" ht="18.600000000000001" x14ac:dyDescent="0.3">
      <c r="D9" s="8" t="s">
        <v>13</v>
      </c>
      <c r="E9" s="7" t="s">
        <v>14</v>
      </c>
    </row>
    <row r="10" spans="1:10" ht="18" x14ac:dyDescent="0.3">
      <c r="D10" s="9" t="s">
        <v>15</v>
      </c>
      <c r="E10" s="7" t="s">
        <v>16</v>
      </c>
    </row>
    <row r="11" spans="1:10" ht="18.600000000000001" x14ac:dyDescent="0.3">
      <c r="D11" s="8" t="s">
        <v>17</v>
      </c>
      <c r="E11" s="7" t="s">
        <v>18</v>
      </c>
    </row>
    <row r="13" spans="1:10" ht="21" x14ac:dyDescent="0.3">
      <c r="A13" s="8" t="s">
        <v>19</v>
      </c>
      <c r="B13" s="8" t="s">
        <v>20</v>
      </c>
      <c r="C13" s="8" t="s">
        <v>21</v>
      </c>
      <c r="D13" s="8" t="s">
        <v>7</v>
      </c>
      <c r="E13" s="8" t="s">
        <v>9</v>
      </c>
      <c r="F13" s="9" t="s">
        <v>11</v>
      </c>
      <c r="G13" s="8" t="s">
        <v>13</v>
      </c>
      <c r="H13" s="9" t="s">
        <v>189</v>
      </c>
      <c r="I13" s="9" t="s">
        <v>15</v>
      </c>
      <c r="J13" s="10" t="s">
        <v>22</v>
      </c>
    </row>
    <row r="14" spans="1:10" x14ac:dyDescent="0.3">
      <c r="A14" s="30">
        <v>1</v>
      </c>
      <c r="B14" s="72">
        <f ca="1">RAND()</f>
        <v>7.8805013248602451E-2</v>
      </c>
      <c r="C14" s="72">
        <f ca="1">RAND()</f>
        <v>0.19266607560121196</v>
      </c>
      <c r="D14" s="72">
        <f ca="1">(1/$F$1)*LN(1/(1-B14))</f>
        <v>2.052088828382677</v>
      </c>
      <c r="E14" s="72">
        <f ca="1">(1/$J$1)*LN(1/(1-C14))</f>
        <v>4.7559535870392278</v>
      </c>
      <c r="F14" s="72">
        <f ca="1">D14</f>
        <v>2.052088828382677</v>
      </c>
      <c r="G14" s="72">
        <v>0</v>
      </c>
      <c r="H14" s="72">
        <f ca="1">F14+G14</f>
        <v>2.052088828382677</v>
      </c>
      <c r="I14" s="72">
        <f ca="1">H14+E14</f>
        <v>6.8080424154219052</v>
      </c>
      <c r="J14" s="72">
        <f ca="1">I14-F14</f>
        <v>4.7559535870392278</v>
      </c>
    </row>
    <row r="15" spans="1:10" x14ac:dyDescent="0.3">
      <c r="A15" s="30">
        <v>2</v>
      </c>
      <c r="B15" s="72">
        <f ca="1">RAND()</f>
        <v>0.86285297200485289</v>
      </c>
      <c r="C15" s="72">
        <f ca="1">RAND()</f>
        <v>0.4371662749683195</v>
      </c>
      <c r="D15" s="72">
        <f ca="1">(1/$F$1)*LN(1/(1-B15))</f>
        <v>49.667543289335093</v>
      </c>
      <c r="E15" s="72">
        <f ca="1">(1/$J$1)*LN(1/(1-C15))</f>
        <v>12.77268959743685</v>
      </c>
      <c r="F15" s="72">
        <f ca="1">F14+D15</f>
        <v>51.719632117717772</v>
      </c>
      <c r="G15" s="72">
        <f ca="1">IF(I14&gt;F15,I14-F15,0)</f>
        <v>0</v>
      </c>
      <c r="H15" s="72">
        <f ca="1">F15+G15</f>
        <v>51.719632117717772</v>
      </c>
      <c r="I15" s="72">
        <f ca="1">H15+E15</f>
        <v>64.492321715154617</v>
      </c>
      <c r="J15" s="72">
        <f ca="1">I15-F15</f>
        <v>12.772689597436845</v>
      </c>
    </row>
    <row r="16" spans="1:10" x14ac:dyDescent="0.3">
      <c r="A16" s="30">
        <v>3</v>
      </c>
      <c r="B16" s="72">
        <f t="shared" ref="B16:C47" ca="1" si="0">RAND()</f>
        <v>0.37874164206685357</v>
      </c>
      <c r="C16" s="72">
        <f t="shared" ca="1" si="0"/>
        <v>3.4961645301362032E-2</v>
      </c>
      <c r="D16" s="72">
        <f t="shared" ref="D16:D79" ca="1" si="1">(1/$F$1)*LN(1/(1-B16))</f>
        <v>11.90020620620699</v>
      </c>
      <c r="E16" s="72">
        <f t="shared" ref="E16:E79" ca="1" si="2">(1/$J$1)*LN(1/(1-C16))</f>
        <v>0.7908318362510508</v>
      </c>
      <c r="F16" s="72">
        <f t="shared" ref="F16:F79" ca="1" si="3">F15+D16</f>
        <v>63.61983832392476</v>
      </c>
      <c r="G16" s="72">
        <f t="shared" ref="G16:G79" ca="1" si="4">IF(I15&gt;F16,I15-F16,0)</f>
        <v>0.87248339122985641</v>
      </c>
      <c r="H16" s="72">
        <f t="shared" ref="H16:H79" ca="1" si="5">F16+G16</f>
        <v>64.492321715154617</v>
      </c>
      <c r="I16" s="72">
        <f t="shared" ref="I16:I79" ca="1" si="6">H16+E16</f>
        <v>65.283153551405661</v>
      </c>
      <c r="J16" s="72">
        <f t="shared" ref="J16:J79" ca="1" si="7">I16-F16</f>
        <v>1.6633152274809007</v>
      </c>
    </row>
    <row r="17" spans="1:10" x14ac:dyDescent="0.3">
      <c r="A17" s="30">
        <v>4</v>
      </c>
      <c r="B17" s="72">
        <f t="shared" ca="1" si="0"/>
        <v>0.14947701154351622</v>
      </c>
      <c r="C17" s="72">
        <f t="shared" ca="1" si="0"/>
        <v>0.1234528292187651</v>
      </c>
      <c r="D17" s="72">
        <f t="shared" ca="1" si="1"/>
        <v>4.0475959542049571</v>
      </c>
      <c r="E17" s="72">
        <f t="shared" ca="1" si="2"/>
        <v>2.9281057525053553</v>
      </c>
      <c r="F17" s="72">
        <f t="shared" ca="1" si="3"/>
        <v>67.667434278129718</v>
      </c>
      <c r="G17" s="72">
        <f t="shared" ca="1" si="4"/>
        <v>0</v>
      </c>
      <c r="H17" s="72">
        <f t="shared" ca="1" si="5"/>
        <v>67.667434278129718</v>
      </c>
      <c r="I17" s="72">
        <f t="shared" ca="1" si="6"/>
        <v>70.595540030635078</v>
      </c>
      <c r="J17" s="72">
        <f t="shared" ca="1" si="7"/>
        <v>2.9281057525053598</v>
      </c>
    </row>
    <row r="18" spans="1:10" x14ac:dyDescent="0.3">
      <c r="A18" s="30">
        <v>5</v>
      </c>
      <c r="B18" s="72">
        <f t="shared" ca="1" si="0"/>
        <v>0.19676150084906896</v>
      </c>
      <c r="C18" s="72">
        <f t="shared" ca="1" si="0"/>
        <v>0.58048657614174703</v>
      </c>
      <c r="D18" s="72">
        <f t="shared" ca="1" si="1"/>
        <v>5.4775899745889856</v>
      </c>
      <c r="E18" s="72">
        <f t="shared" ca="1" si="2"/>
        <v>19.303550087216657</v>
      </c>
      <c r="F18" s="72">
        <f t="shared" ca="1" si="3"/>
        <v>73.145024252718699</v>
      </c>
      <c r="G18" s="72">
        <f t="shared" ca="1" si="4"/>
        <v>0</v>
      </c>
      <c r="H18" s="72">
        <f t="shared" ca="1" si="5"/>
        <v>73.145024252718699</v>
      </c>
      <c r="I18" s="72">
        <f t="shared" ca="1" si="6"/>
        <v>92.448574339935362</v>
      </c>
      <c r="J18" s="72">
        <f t="shared" ca="1" si="7"/>
        <v>19.303550087216664</v>
      </c>
    </row>
    <row r="19" spans="1:10" x14ac:dyDescent="0.3">
      <c r="A19" s="30">
        <v>6</v>
      </c>
      <c r="B19" s="72">
        <f t="shared" ca="1" si="0"/>
        <v>0.45180335627561186</v>
      </c>
      <c r="C19" s="72">
        <f t="shared" ca="1" si="0"/>
        <v>1.8500110300427086E-2</v>
      </c>
      <c r="D19" s="72">
        <f t="shared" ca="1" si="1"/>
        <v>15.028030437207235</v>
      </c>
      <c r="E19" s="72">
        <f t="shared" ca="1" si="2"/>
        <v>0.41496394766832195</v>
      </c>
      <c r="F19" s="72">
        <f t="shared" ca="1" si="3"/>
        <v>88.173054689925934</v>
      </c>
      <c r="G19" s="72">
        <f t="shared" ca="1" si="4"/>
        <v>4.2755196500094286</v>
      </c>
      <c r="H19" s="72">
        <f t="shared" ca="1" si="5"/>
        <v>92.448574339935362</v>
      </c>
      <c r="I19" s="72">
        <f t="shared" ca="1" si="6"/>
        <v>92.863538287603689</v>
      </c>
      <c r="J19" s="72">
        <f t="shared" ca="1" si="7"/>
        <v>4.6904835976777548</v>
      </c>
    </row>
    <row r="20" spans="1:10" x14ac:dyDescent="0.3">
      <c r="A20" s="30">
        <v>7</v>
      </c>
      <c r="B20" s="72">
        <f t="shared" ca="1" si="0"/>
        <v>0.56847210196607767</v>
      </c>
      <c r="C20" s="72">
        <f t="shared" ca="1" si="0"/>
        <v>0.86166844067890891</v>
      </c>
      <c r="D20" s="72">
        <f t="shared" ca="1" si="1"/>
        <v>21.010577923395278</v>
      </c>
      <c r="E20" s="72">
        <f t="shared" ca="1" si="2"/>
        <v>43.957819370814725</v>
      </c>
      <c r="F20" s="72">
        <f t="shared" ca="1" si="3"/>
        <v>109.18363261332121</v>
      </c>
      <c r="G20" s="72">
        <f t="shared" ca="1" si="4"/>
        <v>0</v>
      </c>
      <c r="H20" s="72">
        <f t="shared" ca="1" si="5"/>
        <v>109.18363261332121</v>
      </c>
      <c r="I20" s="72">
        <f t="shared" ca="1" si="6"/>
        <v>153.14145198413593</v>
      </c>
      <c r="J20" s="72">
        <f t="shared" ca="1" si="7"/>
        <v>43.957819370814718</v>
      </c>
    </row>
    <row r="21" spans="1:10" x14ac:dyDescent="0.3">
      <c r="A21" s="30">
        <v>8</v>
      </c>
      <c r="B21" s="72">
        <f t="shared" ca="1" si="0"/>
        <v>0.59611353598007033</v>
      </c>
      <c r="C21" s="72">
        <f t="shared" ca="1" si="0"/>
        <v>0.35268833256392429</v>
      </c>
      <c r="D21" s="72">
        <f t="shared" ca="1" si="1"/>
        <v>22.665536754271486</v>
      </c>
      <c r="E21" s="72">
        <f t="shared" ca="1" si="2"/>
        <v>9.6650530848738789</v>
      </c>
      <c r="F21" s="72">
        <f t="shared" ca="1" si="3"/>
        <v>131.84916936759271</v>
      </c>
      <c r="G21" s="72">
        <f t="shared" ca="1" si="4"/>
        <v>21.292282616543218</v>
      </c>
      <c r="H21" s="72">
        <f t="shared" ca="1" si="5"/>
        <v>153.14145198413593</v>
      </c>
      <c r="I21" s="72">
        <f t="shared" ca="1" si="6"/>
        <v>162.8065050690098</v>
      </c>
      <c r="J21" s="72">
        <f t="shared" ca="1" si="7"/>
        <v>30.957335701417094</v>
      </c>
    </row>
    <row r="22" spans="1:10" x14ac:dyDescent="0.3">
      <c r="A22" s="30">
        <v>9</v>
      </c>
      <c r="B22" s="72">
        <f t="shared" ca="1" si="0"/>
        <v>0.78181936853287293</v>
      </c>
      <c r="C22" s="72">
        <f t="shared" ca="1" si="0"/>
        <v>0.65371739366689463</v>
      </c>
      <c r="D22" s="72">
        <f t="shared" ca="1" si="1"/>
        <v>38.060799364206588</v>
      </c>
      <c r="E22" s="72">
        <f t="shared" ca="1" si="2"/>
        <v>23.566667911093138</v>
      </c>
      <c r="F22" s="72">
        <f t="shared" ca="1" si="3"/>
        <v>169.9099687317993</v>
      </c>
      <c r="G22" s="72">
        <f t="shared" ca="1" si="4"/>
        <v>0</v>
      </c>
      <c r="H22" s="72">
        <f t="shared" ca="1" si="5"/>
        <v>169.9099687317993</v>
      </c>
      <c r="I22" s="72">
        <f t="shared" ca="1" si="6"/>
        <v>193.47663664289243</v>
      </c>
      <c r="J22" s="72">
        <f t="shared" ca="1" si="7"/>
        <v>23.566667911093134</v>
      </c>
    </row>
    <row r="23" spans="1:10" x14ac:dyDescent="0.3">
      <c r="A23" s="30">
        <v>10</v>
      </c>
      <c r="B23" s="72">
        <f t="shared" ca="1" si="0"/>
        <v>0.67914311612684186</v>
      </c>
      <c r="C23" s="72">
        <f t="shared" ca="1" si="0"/>
        <v>0.72218640994514482</v>
      </c>
      <c r="D23" s="72">
        <f t="shared" ca="1" si="1"/>
        <v>28.419002497557411</v>
      </c>
      <c r="E23" s="72">
        <f t="shared" ca="1" si="2"/>
        <v>28.462331768324351</v>
      </c>
      <c r="F23" s="72">
        <f t="shared" ca="1" si="3"/>
        <v>198.32897122935671</v>
      </c>
      <c r="G23" s="72">
        <f t="shared" ca="1" si="4"/>
        <v>0</v>
      </c>
      <c r="H23" s="72">
        <f t="shared" ca="1" si="5"/>
        <v>198.32897122935671</v>
      </c>
      <c r="I23" s="72">
        <f t="shared" ca="1" si="6"/>
        <v>226.79130299768107</v>
      </c>
      <c r="J23" s="72">
        <f t="shared" ca="1" si="7"/>
        <v>28.462331768324361</v>
      </c>
    </row>
    <row r="24" spans="1:10" x14ac:dyDescent="0.3">
      <c r="A24" s="30">
        <v>11</v>
      </c>
      <c r="B24" s="72">
        <f t="shared" ca="1" si="0"/>
        <v>0.57156117341141965</v>
      </c>
      <c r="C24" s="72">
        <f t="shared" ca="1" si="0"/>
        <v>0.28508446471800564</v>
      </c>
      <c r="D24" s="72">
        <f t="shared" ca="1" si="1"/>
        <v>21.190182822233414</v>
      </c>
      <c r="E24" s="72">
        <f t="shared" ca="1" si="2"/>
        <v>7.4575750164234362</v>
      </c>
      <c r="F24" s="72">
        <f t="shared" ca="1" si="3"/>
        <v>219.51915405159014</v>
      </c>
      <c r="G24" s="72">
        <f t="shared" ca="1" si="4"/>
        <v>7.2721489460909368</v>
      </c>
      <c r="H24" s="72">
        <f t="shared" ca="1" si="5"/>
        <v>226.79130299768107</v>
      </c>
      <c r="I24" s="72">
        <f t="shared" ca="1" si="6"/>
        <v>234.24887801410452</v>
      </c>
      <c r="J24" s="72">
        <f t="shared" ca="1" si="7"/>
        <v>14.729723962514385</v>
      </c>
    </row>
    <row r="25" spans="1:10" x14ac:dyDescent="0.3">
      <c r="A25" s="30">
        <v>12</v>
      </c>
      <c r="B25" s="72">
        <f t="shared" ca="1" si="0"/>
        <v>0.786155461265021</v>
      </c>
      <c r="C25" s="72">
        <f t="shared" ca="1" si="0"/>
        <v>0.94545474813693331</v>
      </c>
      <c r="D25" s="72">
        <f t="shared" ca="1" si="1"/>
        <v>38.562649561641713</v>
      </c>
      <c r="E25" s="72">
        <f t="shared" ca="1" si="2"/>
        <v>64.638324720334268</v>
      </c>
      <c r="F25" s="72">
        <f t="shared" ca="1" si="3"/>
        <v>258.08180361323184</v>
      </c>
      <c r="G25" s="72">
        <f t="shared" ca="1" si="4"/>
        <v>0</v>
      </c>
      <c r="H25" s="72">
        <f t="shared" ca="1" si="5"/>
        <v>258.08180361323184</v>
      </c>
      <c r="I25" s="72">
        <f t="shared" ca="1" si="6"/>
        <v>322.72012833356609</v>
      </c>
      <c r="J25" s="72">
        <f t="shared" ca="1" si="7"/>
        <v>64.638324720334253</v>
      </c>
    </row>
    <row r="26" spans="1:10" x14ac:dyDescent="0.3">
      <c r="A26" s="30">
        <v>13</v>
      </c>
      <c r="B26" s="72">
        <f t="shared" ca="1" si="0"/>
        <v>0.30355869475231145</v>
      </c>
      <c r="C26" s="72">
        <f t="shared" ca="1" si="0"/>
        <v>0.35722540257288482</v>
      </c>
      <c r="D26" s="72">
        <f t="shared" ca="1" si="1"/>
        <v>9.0442940078610512</v>
      </c>
      <c r="E26" s="72">
        <f t="shared" ca="1" si="2"/>
        <v>9.8213592116845341</v>
      </c>
      <c r="F26" s="72">
        <f t="shared" ca="1" si="3"/>
        <v>267.12609762109287</v>
      </c>
      <c r="G26" s="72">
        <f t="shared" ca="1" si="4"/>
        <v>55.594030712473227</v>
      </c>
      <c r="H26" s="72">
        <f t="shared" ca="1" si="5"/>
        <v>322.72012833356609</v>
      </c>
      <c r="I26" s="72">
        <f t="shared" ca="1" si="6"/>
        <v>332.54148754525062</v>
      </c>
      <c r="J26" s="72">
        <f t="shared" ca="1" si="7"/>
        <v>65.415389924157751</v>
      </c>
    </row>
    <row r="27" spans="1:10" x14ac:dyDescent="0.3">
      <c r="A27" s="30">
        <v>14</v>
      </c>
      <c r="B27" s="72">
        <f t="shared" ca="1" si="0"/>
        <v>0.74179873248499784</v>
      </c>
      <c r="C27" s="72">
        <f t="shared" ca="1" si="0"/>
        <v>0.59539269661371352</v>
      </c>
      <c r="D27" s="72">
        <f t="shared" ca="1" si="1"/>
        <v>33.850397288456463</v>
      </c>
      <c r="E27" s="72">
        <f t="shared" ca="1" si="2"/>
        <v>20.107517856240392</v>
      </c>
      <c r="F27" s="72">
        <f t="shared" ca="1" si="3"/>
        <v>300.97649490954933</v>
      </c>
      <c r="G27" s="72">
        <f t="shared" ca="1" si="4"/>
        <v>31.564992635701287</v>
      </c>
      <c r="H27" s="72">
        <f t="shared" ca="1" si="5"/>
        <v>332.54148754525062</v>
      </c>
      <c r="I27" s="72">
        <f t="shared" ca="1" si="6"/>
        <v>352.64900540149102</v>
      </c>
      <c r="J27" s="72">
        <f t="shared" ca="1" si="7"/>
        <v>51.672510491941694</v>
      </c>
    </row>
    <row r="28" spans="1:10" x14ac:dyDescent="0.3">
      <c r="A28" s="30">
        <v>15</v>
      </c>
      <c r="B28" s="72">
        <f t="shared" ca="1" si="0"/>
        <v>0.66824519846170372</v>
      </c>
      <c r="C28" s="72">
        <f t="shared" ca="1" si="0"/>
        <v>0.13052440426730005</v>
      </c>
      <c r="D28" s="72">
        <f t="shared" ca="1" si="1"/>
        <v>27.583978312779834</v>
      </c>
      <c r="E28" s="72">
        <f t="shared" ca="1" si="2"/>
        <v>3.1081113909801408</v>
      </c>
      <c r="F28" s="72">
        <f t="shared" ca="1" si="3"/>
        <v>328.56047322232916</v>
      </c>
      <c r="G28" s="72">
        <f t="shared" ca="1" si="4"/>
        <v>24.088532179161859</v>
      </c>
      <c r="H28" s="72">
        <f t="shared" ca="1" si="5"/>
        <v>352.64900540149102</v>
      </c>
      <c r="I28" s="72">
        <f t="shared" ca="1" si="6"/>
        <v>355.75711679247115</v>
      </c>
      <c r="J28" s="72">
        <f t="shared" ca="1" si="7"/>
        <v>27.196643570141987</v>
      </c>
    </row>
    <row r="29" spans="1:10" x14ac:dyDescent="0.3">
      <c r="A29" s="30">
        <v>16</v>
      </c>
      <c r="B29" s="72">
        <f t="shared" ca="1" si="0"/>
        <v>0.48125813858759336</v>
      </c>
      <c r="C29" s="72">
        <f t="shared" ca="1" si="0"/>
        <v>0.44080992218597037</v>
      </c>
      <c r="D29" s="72">
        <f t="shared" ca="1" si="1"/>
        <v>16.408722410096345</v>
      </c>
      <c r="E29" s="72">
        <f t="shared" ca="1" si="2"/>
        <v>12.917018483491065</v>
      </c>
      <c r="F29" s="72">
        <f t="shared" ca="1" si="3"/>
        <v>344.96919563242551</v>
      </c>
      <c r="G29" s="72">
        <f t="shared" ca="1" si="4"/>
        <v>10.787921160045641</v>
      </c>
      <c r="H29" s="72">
        <f t="shared" ca="1" si="5"/>
        <v>355.75711679247115</v>
      </c>
      <c r="I29" s="72">
        <f t="shared" ca="1" si="6"/>
        <v>368.67413527596221</v>
      </c>
      <c r="J29" s="72">
        <f t="shared" ca="1" si="7"/>
        <v>23.704939643536704</v>
      </c>
    </row>
    <row r="30" spans="1:10" x14ac:dyDescent="0.3">
      <c r="A30" s="30">
        <v>17</v>
      </c>
      <c r="B30" s="72">
        <f t="shared" ca="1" si="0"/>
        <v>0.32933468602336879</v>
      </c>
      <c r="C30" s="72">
        <f t="shared" ca="1" si="0"/>
        <v>0.4455032908420411</v>
      </c>
      <c r="D30" s="72">
        <f t="shared" ca="1" si="1"/>
        <v>9.9871263341525864</v>
      </c>
      <c r="E30" s="72">
        <f t="shared" ca="1" si="2"/>
        <v>13.104320155580103</v>
      </c>
      <c r="F30" s="72">
        <f t="shared" ca="1" si="3"/>
        <v>354.95632196657812</v>
      </c>
      <c r="G30" s="72">
        <f t="shared" ca="1" si="4"/>
        <v>13.717813309384098</v>
      </c>
      <c r="H30" s="72">
        <f t="shared" ca="1" si="5"/>
        <v>368.67413527596221</v>
      </c>
      <c r="I30" s="72">
        <f t="shared" ca="1" si="6"/>
        <v>381.77845543154234</v>
      </c>
      <c r="J30" s="72">
        <f t="shared" ca="1" si="7"/>
        <v>26.822133464964224</v>
      </c>
    </row>
    <row r="31" spans="1:10" x14ac:dyDescent="0.3">
      <c r="A31" s="30">
        <v>18</v>
      </c>
      <c r="B31" s="72">
        <f t="shared" ca="1" si="0"/>
        <v>0.14508454428829842</v>
      </c>
      <c r="C31" s="72">
        <f t="shared" ca="1" si="0"/>
        <v>0.80991061691540867</v>
      </c>
      <c r="D31" s="72">
        <f t="shared" ca="1" si="1"/>
        <v>3.9188174285770221</v>
      </c>
      <c r="E31" s="72">
        <f t="shared" ca="1" si="2"/>
        <v>36.894686225672373</v>
      </c>
      <c r="F31" s="72">
        <f t="shared" ca="1" si="3"/>
        <v>358.87513939515514</v>
      </c>
      <c r="G31" s="72">
        <f t="shared" ca="1" si="4"/>
        <v>22.903316036387196</v>
      </c>
      <c r="H31" s="72">
        <f t="shared" ca="1" si="5"/>
        <v>381.77845543154234</v>
      </c>
      <c r="I31" s="72">
        <f t="shared" ca="1" si="6"/>
        <v>418.67314165721473</v>
      </c>
      <c r="J31" s="72">
        <f t="shared" ca="1" si="7"/>
        <v>59.798002262059583</v>
      </c>
    </row>
    <row r="32" spans="1:10" x14ac:dyDescent="0.3">
      <c r="A32" s="30">
        <v>19</v>
      </c>
      <c r="B32" s="72">
        <f t="shared" ca="1" si="0"/>
        <v>0.79113760002716371</v>
      </c>
      <c r="C32" s="72">
        <f t="shared" ca="1" si="0"/>
        <v>0.90110016902821555</v>
      </c>
      <c r="D32" s="72">
        <f t="shared" ca="1" si="1"/>
        <v>39.15199042939836</v>
      </c>
      <c r="E32" s="72">
        <f t="shared" ca="1" si="2"/>
        <v>51.414394431933097</v>
      </c>
      <c r="F32" s="72">
        <f t="shared" ca="1" si="3"/>
        <v>398.02712982455353</v>
      </c>
      <c r="G32" s="72">
        <f t="shared" ca="1" si="4"/>
        <v>20.646011832661202</v>
      </c>
      <c r="H32" s="72">
        <f t="shared" ca="1" si="5"/>
        <v>418.67314165721473</v>
      </c>
      <c r="I32" s="72">
        <f t="shared" ca="1" si="6"/>
        <v>470.08753608914782</v>
      </c>
      <c r="J32" s="72">
        <f t="shared" ca="1" si="7"/>
        <v>72.060406264594292</v>
      </c>
    </row>
    <row r="33" spans="1:10" x14ac:dyDescent="0.3">
      <c r="A33" s="30">
        <v>20</v>
      </c>
      <c r="B33" s="72">
        <f t="shared" ca="1" si="0"/>
        <v>0.40829690932747831</v>
      </c>
      <c r="C33" s="72">
        <f t="shared" ca="1" si="0"/>
        <v>0.37806780976559373</v>
      </c>
      <c r="D33" s="72">
        <f t="shared" ca="1" si="1"/>
        <v>13.11875764838844</v>
      </c>
      <c r="E33" s="72">
        <f t="shared" ca="1" si="2"/>
        <v>10.553871357815488</v>
      </c>
      <c r="F33" s="72">
        <f t="shared" ca="1" si="3"/>
        <v>411.14588747294198</v>
      </c>
      <c r="G33" s="72">
        <f t="shared" ca="1" si="4"/>
        <v>58.941648616205839</v>
      </c>
      <c r="H33" s="72">
        <f t="shared" ca="1" si="5"/>
        <v>470.08753608914782</v>
      </c>
      <c r="I33" s="72">
        <f t="shared" ca="1" si="6"/>
        <v>480.64140744696329</v>
      </c>
      <c r="J33" s="72">
        <f t="shared" ca="1" si="7"/>
        <v>69.495519974021306</v>
      </c>
    </row>
    <row r="34" spans="1:10" x14ac:dyDescent="0.3">
      <c r="A34" s="30">
        <v>21</v>
      </c>
      <c r="B34" s="72">
        <f t="shared" ca="1" si="0"/>
        <v>0.66538875832940969</v>
      </c>
      <c r="C34" s="72">
        <f t="shared" ca="1" si="0"/>
        <v>0.36900151434006634</v>
      </c>
      <c r="D34" s="72">
        <f t="shared" ca="1" si="1"/>
        <v>27.369647341297991</v>
      </c>
      <c r="E34" s="72">
        <f t="shared" ca="1" si="2"/>
        <v>10.232262585529371</v>
      </c>
      <c r="F34" s="72">
        <f t="shared" ca="1" si="3"/>
        <v>438.51553481423997</v>
      </c>
      <c r="G34" s="72">
        <f t="shared" ca="1" si="4"/>
        <v>42.125872632723315</v>
      </c>
      <c r="H34" s="72">
        <f t="shared" ca="1" si="5"/>
        <v>480.64140744696329</v>
      </c>
      <c r="I34" s="72">
        <f t="shared" ca="1" si="6"/>
        <v>490.87367003249267</v>
      </c>
      <c r="J34" s="72">
        <f t="shared" ca="1" si="7"/>
        <v>52.358135218252698</v>
      </c>
    </row>
    <row r="35" spans="1:10" x14ac:dyDescent="0.3">
      <c r="A35" s="30">
        <v>22</v>
      </c>
      <c r="B35" s="72">
        <f t="shared" ca="1" si="0"/>
        <v>0.46218809923678095</v>
      </c>
      <c r="C35" s="72">
        <f t="shared" ca="1" si="0"/>
        <v>0.85490365212122843</v>
      </c>
      <c r="D35" s="72">
        <f t="shared" ca="1" si="1"/>
        <v>15.506160169705732</v>
      </c>
      <c r="E35" s="72">
        <f t="shared" ca="1" si="2"/>
        <v>42.89682864651796</v>
      </c>
      <c r="F35" s="72">
        <f t="shared" ca="1" si="3"/>
        <v>454.02169498394568</v>
      </c>
      <c r="G35" s="72">
        <f t="shared" ca="1" si="4"/>
        <v>36.85197504854699</v>
      </c>
      <c r="H35" s="72">
        <f t="shared" ca="1" si="5"/>
        <v>490.87367003249267</v>
      </c>
      <c r="I35" s="72">
        <f t="shared" ca="1" si="6"/>
        <v>533.77049867901064</v>
      </c>
      <c r="J35" s="72">
        <f t="shared" ca="1" si="7"/>
        <v>79.748803695064964</v>
      </c>
    </row>
    <row r="36" spans="1:10" x14ac:dyDescent="0.3">
      <c r="A36" s="30">
        <v>23</v>
      </c>
      <c r="B36" s="72">
        <f t="shared" ca="1" si="0"/>
        <v>0.37091422543011388</v>
      </c>
      <c r="C36" s="72">
        <f t="shared" ca="1" si="0"/>
        <v>0.15541379661007071</v>
      </c>
      <c r="D36" s="72">
        <f t="shared" ca="1" si="1"/>
        <v>11.587191625324371</v>
      </c>
      <c r="E36" s="72">
        <f t="shared" ca="1" si="2"/>
        <v>3.7535215932776</v>
      </c>
      <c r="F36" s="72">
        <f t="shared" ca="1" si="3"/>
        <v>465.60888660927003</v>
      </c>
      <c r="G36" s="72">
        <f t="shared" ca="1" si="4"/>
        <v>68.161612069740613</v>
      </c>
      <c r="H36" s="72">
        <f t="shared" ca="1" si="5"/>
        <v>533.77049867901064</v>
      </c>
      <c r="I36" s="72">
        <f t="shared" ca="1" si="6"/>
        <v>537.52402027228823</v>
      </c>
      <c r="J36" s="72">
        <f t="shared" ca="1" si="7"/>
        <v>71.915133663018196</v>
      </c>
    </row>
    <row r="37" spans="1:10" x14ac:dyDescent="0.3">
      <c r="A37" s="30">
        <v>24</v>
      </c>
      <c r="B37" s="72">
        <f t="shared" ca="1" si="0"/>
        <v>0.85431182935095962</v>
      </c>
      <c r="C37" s="72">
        <f t="shared" ca="1" si="0"/>
        <v>0.80750414505626966</v>
      </c>
      <c r="D37" s="72">
        <f t="shared" ca="1" si="1"/>
        <v>48.157168971428497</v>
      </c>
      <c r="E37" s="72">
        <f t="shared" ca="1" si="2"/>
        <v>36.615125738799414</v>
      </c>
      <c r="F37" s="72">
        <f t="shared" ca="1" si="3"/>
        <v>513.76605558069855</v>
      </c>
      <c r="G37" s="72">
        <f t="shared" ca="1" si="4"/>
        <v>23.757964691589677</v>
      </c>
      <c r="H37" s="72">
        <f t="shared" ca="1" si="5"/>
        <v>537.52402027228823</v>
      </c>
      <c r="I37" s="72">
        <f t="shared" ca="1" si="6"/>
        <v>574.13914601108763</v>
      </c>
      <c r="J37" s="72">
        <f t="shared" ca="1" si="7"/>
        <v>60.373090430389084</v>
      </c>
    </row>
    <row r="38" spans="1:10" x14ac:dyDescent="0.3">
      <c r="A38" s="30">
        <v>25</v>
      </c>
      <c r="B38" s="72">
        <f t="shared" ca="1" si="0"/>
        <v>0.27009800400852246</v>
      </c>
      <c r="C38" s="72">
        <f t="shared" ca="1" si="0"/>
        <v>0.51615578373977988</v>
      </c>
      <c r="D38" s="72">
        <f t="shared" ca="1" si="1"/>
        <v>7.8711251479696154</v>
      </c>
      <c r="E38" s="72">
        <f t="shared" ca="1" si="2"/>
        <v>16.133162029040673</v>
      </c>
      <c r="F38" s="72">
        <f t="shared" ca="1" si="3"/>
        <v>521.63718072866811</v>
      </c>
      <c r="G38" s="72">
        <f t="shared" ca="1" si="4"/>
        <v>52.501965282419519</v>
      </c>
      <c r="H38" s="72">
        <f t="shared" ca="1" si="5"/>
        <v>574.13914601108763</v>
      </c>
      <c r="I38" s="72">
        <f t="shared" ca="1" si="6"/>
        <v>590.27230804012834</v>
      </c>
      <c r="J38" s="72">
        <f t="shared" ca="1" si="7"/>
        <v>68.635127311460224</v>
      </c>
    </row>
    <row r="39" spans="1:10" x14ac:dyDescent="0.3">
      <c r="A39" s="30">
        <v>26</v>
      </c>
      <c r="B39" s="72">
        <f t="shared" ca="1" si="0"/>
        <v>0.73446022064862804</v>
      </c>
      <c r="C39" s="72">
        <f t="shared" ca="1" si="0"/>
        <v>0.85310433347489278</v>
      </c>
      <c r="D39" s="72">
        <f t="shared" ca="1" si="1"/>
        <v>33.1497655364454</v>
      </c>
      <c r="E39" s="72">
        <f t="shared" ca="1" si="2"/>
        <v>42.622948793914283</v>
      </c>
      <c r="F39" s="72">
        <f t="shared" ca="1" si="3"/>
        <v>554.78694626511356</v>
      </c>
      <c r="G39" s="72">
        <f t="shared" ca="1" si="4"/>
        <v>35.485361775014781</v>
      </c>
      <c r="H39" s="72">
        <f t="shared" ca="1" si="5"/>
        <v>590.27230804012834</v>
      </c>
      <c r="I39" s="72">
        <f t="shared" ca="1" si="6"/>
        <v>632.89525683404258</v>
      </c>
      <c r="J39" s="72">
        <f t="shared" ca="1" si="7"/>
        <v>78.108310568929028</v>
      </c>
    </row>
    <row r="40" spans="1:10" x14ac:dyDescent="0.3">
      <c r="A40" s="30">
        <v>27</v>
      </c>
      <c r="B40" s="72">
        <f t="shared" ca="1" si="0"/>
        <v>0.6901933583665677</v>
      </c>
      <c r="C40" s="72">
        <f t="shared" ca="1" si="0"/>
        <v>0.44678755764772271</v>
      </c>
      <c r="D40" s="72">
        <f t="shared" ca="1" si="1"/>
        <v>29.295172819348313</v>
      </c>
      <c r="E40" s="72">
        <f t="shared" ca="1" si="2"/>
        <v>13.155848618799764</v>
      </c>
      <c r="F40" s="72">
        <f t="shared" ca="1" si="3"/>
        <v>584.08211908446185</v>
      </c>
      <c r="G40" s="72">
        <f t="shared" ca="1" si="4"/>
        <v>48.813137749580733</v>
      </c>
      <c r="H40" s="72">
        <f t="shared" ca="1" si="5"/>
        <v>632.89525683404258</v>
      </c>
      <c r="I40" s="72">
        <f t="shared" ca="1" si="6"/>
        <v>646.05110545284231</v>
      </c>
      <c r="J40" s="72">
        <f t="shared" ca="1" si="7"/>
        <v>61.968986368380456</v>
      </c>
    </row>
    <row r="41" spans="1:10" x14ac:dyDescent="0.3">
      <c r="A41" s="30">
        <v>28</v>
      </c>
      <c r="B41" s="72">
        <f t="shared" ca="1" si="0"/>
        <v>0.13085644450075196</v>
      </c>
      <c r="C41" s="72">
        <f t="shared" ca="1" si="0"/>
        <v>0.73270046743585127</v>
      </c>
      <c r="D41" s="72">
        <f t="shared" ca="1" si="1"/>
        <v>3.506174278961717</v>
      </c>
      <c r="E41" s="72">
        <f t="shared" ca="1" si="2"/>
        <v>29.319675657111073</v>
      </c>
      <c r="F41" s="72">
        <f t="shared" ca="1" si="3"/>
        <v>587.58829336342353</v>
      </c>
      <c r="G41" s="72">
        <f t="shared" ca="1" si="4"/>
        <v>58.462812089418776</v>
      </c>
      <c r="H41" s="72">
        <f t="shared" ca="1" si="5"/>
        <v>646.05110545284231</v>
      </c>
      <c r="I41" s="72">
        <f t="shared" ca="1" si="6"/>
        <v>675.37078110995333</v>
      </c>
      <c r="J41" s="72">
        <f t="shared" ca="1" si="7"/>
        <v>87.782487746529796</v>
      </c>
    </row>
    <row r="42" spans="1:10" x14ac:dyDescent="0.3">
      <c r="A42" s="30">
        <v>29</v>
      </c>
      <c r="B42" s="72">
        <f t="shared" ca="1" si="0"/>
        <v>0.64063123693074375</v>
      </c>
      <c r="C42" s="72">
        <f t="shared" ca="1" si="0"/>
        <v>0.12086851008947308</v>
      </c>
      <c r="D42" s="72">
        <f t="shared" ca="1" si="1"/>
        <v>25.585155562971067</v>
      </c>
      <c r="E42" s="72">
        <f t="shared" ca="1" si="2"/>
        <v>2.8626844920574057</v>
      </c>
      <c r="F42" s="72">
        <f t="shared" ca="1" si="3"/>
        <v>613.1734489263946</v>
      </c>
      <c r="G42" s="72">
        <f t="shared" ca="1" si="4"/>
        <v>62.197332183558729</v>
      </c>
      <c r="H42" s="72">
        <f t="shared" ca="1" si="5"/>
        <v>675.37078110995333</v>
      </c>
      <c r="I42" s="72">
        <f t="shared" ca="1" si="6"/>
        <v>678.23346560201071</v>
      </c>
      <c r="J42" s="72">
        <f t="shared" ca="1" si="7"/>
        <v>65.060016675616112</v>
      </c>
    </row>
    <row r="43" spans="1:10" x14ac:dyDescent="0.3">
      <c r="A43" s="30">
        <v>30</v>
      </c>
      <c r="B43" s="72">
        <f t="shared" ca="1" si="0"/>
        <v>0.4580743778366726</v>
      </c>
      <c r="C43" s="72">
        <f t="shared" ca="1" si="0"/>
        <v>6.6500641565675922E-2</v>
      </c>
      <c r="D43" s="72">
        <f t="shared" ca="1" si="1"/>
        <v>15.315662886003151</v>
      </c>
      <c r="E43" s="72">
        <f t="shared" ca="1" si="2"/>
        <v>1.5292222948814407</v>
      </c>
      <c r="F43" s="72">
        <f t="shared" ca="1" si="3"/>
        <v>628.48911181239771</v>
      </c>
      <c r="G43" s="72">
        <f t="shared" ca="1" si="4"/>
        <v>49.744353789613001</v>
      </c>
      <c r="H43" s="72">
        <f t="shared" ca="1" si="5"/>
        <v>678.23346560201071</v>
      </c>
      <c r="I43" s="72">
        <f t="shared" ca="1" si="6"/>
        <v>679.7626878968922</v>
      </c>
      <c r="J43" s="72">
        <f t="shared" ca="1" si="7"/>
        <v>51.273576084494493</v>
      </c>
    </row>
    <row r="44" spans="1:10" x14ac:dyDescent="0.3">
      <c r="A44" s="30">
        <v>31</v>
      </c>
      <c r="B44" s="72">
        <f t="shared" ca="1" si="0"/>
        <v>0.62887643628893142</v>
      </c>
      <c r="C44" s="72">
        <f t="shared" ca="1" si="0"/>
        <v>0.97279632211238398</v>
      </c>
      <c r="D44" s="72">
        <f t="shared" ca="1" si="1"/>
        <v>24.780505400012466</v>
      </c>
      <c r="E44" s="72">
        <f t="shared" ca="1" si="2"/>
        <v>80.097846630325222</v>
      </c>
      <c r="F44" s="72">
        <f t="shared" ca="1" si="3"/>
        <v>653.26961721241014</v>
      </c>
      <c r="G44" s="72">
        <f t="shared" ca="1" si="4"/>
        <v>26.493070684482063</v>
      </c>
      <c r="H44" s="72">
        <f t="shared" ca="1" si="5"/>
        <v>679.7626878968922</v>
      </c>
      <c r="I44" s="72">
        <f t="shared" ca="1" si="6"/>
        <v>759.8605345272174</v>
      </c>
      <c r="J44" s="72">
        <f t="shared" ca="1" si="7"/>
        <v>106.59091731480726</v>
      </c>
    </row>
    <row r="45" spans="1:10" x14ac:dyDescent="0.3">
      <c r="A45" s="30">
        <v>32</v>
      </c>
      <c r="B45" s="72">
        <f t="shared" ca="1" si="0"/>
        <v>0.24790337513304794</v>
      </c>
      <c r="C45" s="72">
        <f t="shared" ca="1" si="0"/>
        <v>0.56133837881731352</v>
      </c>
      <c r="D45" s="72">
        <f t="shared" ca="1" si="1"/>
        <v>7.12226181929831</v>
      </c>
      <c r="E45" s="72">
        <f t="shared" ca="1" si="2"/>
        <v>18.311710170984622</v>
      </c>
      <c r="F45" s="72">
        <f t="shared" ca="1" si="3"/>
        <v>660.39187903170841</v>
      </c>
      <c r="G45" s="72">
        <f t="shared" ca="1" si="4"/>
        <v>99.468655495508983</v>
      </c>
      <c r="H45" s="72">
        <f t="shared" ca="1" si="5"/>
        <v>759.8605345272174</v>
      </c>
      <c r="I45" s="72">
        <f t="shared" ca="1" si="6"/>
        <v>778.17224469820201</v>
      </c>
      <c r="J45" s="72">
        <f t="shared" ca="1" si="7"/>
        <v>117.78036566649359</v>
      </c>
    </row>
    <row r="46" spans="1:10" x14ac:dyDescent="0.3">
      <c r="A46" s="30">
        <v>33</v>
      </c>
      <c r="B46" s="72">
        <f t="shared" ca="1" si="0"/>
        <v>8.7602433364593502E-2</v>
      </c>
      <c r="C46" s="72">
        <f t="shared" ca="1" si="0"/>
        <v>1.4928019857882169E-2</v>
      </c>
      <c r="D46" s="72">
        <f t="shared" ca="1" si="1"/>
        <v>2.2919863892164547</v>
      </c>
      <c r="E46" s="72">
        <f t="shared" ca="1" si="2"/>
        <v>0.3342347598572436</v>
      </c>
      <c r="F46" s="72">
        <f t="shared" ca="1" si="3"/>
        <v>662.68386542092492</v>
      </c>
      <c r="G46" s="72">
        <f t="shared" ca="1" si="4"/>
        <v>115.48837927727709</v>
      </c>
      <c r="H46" s="72">
        <f t="shared" ca="1" si="5"/>
        <v>778.17224469820201</v>
      </c>
      <c r="I46" s="72">
        <f t="shared" ca="1" si="6"/>
        <v>778.50647945805929</v>
      </c>
      <c r="J46" s="72">
        <f t="shared" ca="1" si="7"/>
        <v>115.82261403713437</v>
      </c>
    </row>
    <row r="47" spans="1:10" x14ac:dyDescent="0.3">
      <c r="A47" s="30">
        <v>34</v>
      </c>
      <c r="B47" s="72">
        <f t="shared" ca="1" si="0"/>
        <v>0.47362801833179624</v>
      </c>
      <c r="C47" s="72">
        <f t="shared" ca="1" si="0"/>
        <v>0.62557542177643299</v>
      </c>
      <c r="D47" s="72">
        <f t="shared" ca="1" si="1"/>
        <v>16.043678167545067</v>
      </c>
      <c r="E47" s="72">
        <f t="shared" ca="1" si="2"/>
        <v>21.830330879304718</v>
      </c>
      <c r="F47" s="72">
        <f t="shared" ca="1" si="3"/>
        <v>678.72754358846998</v>
      </c>
      <c r="G47" s="72">
        <f t="shared" ca="1" si="4"/>
        <v>99.778935869589304</v>
      </c>
      <c r="H47" s="72">
        <f t="shared" ca="1" si="5"/>
        <v>778.50647945805929</v>
      </c>
      <c r="I47" s="72">
        <f t="shared" ca="1" si="6"/>
        <v>800.336810337364</v>
      </c>
      <c r="J47" s="72">
        <f t="shared" ca="1" si="7"/>
        <v>121.60926674889402</v>
      </c>
    </row>
    <row r="48" spans="1:10" x14ac:dyDescent="0.3">
      <c r="A48" s="30">
        <v>35</v>
      </c>
      <c r="B48" s="72">
        <f t="shared" ref="B48:C79" ca="1" si="8">RAND()</f>
        <v>0.33667191365882287</v>
      </c>
      <c r="C48" s="72">
        <f t="shared" ca="1" si="8"/>
        <v>0.5111887307167009</v>
      </c>
      <c r="D48" s="72">
        <f t="shared" ca="1" si="1"/>
        <v>10.262139000035491</v>
      </c>
      <c r="E48" s="72">
        <f t="shared" ca="1" si="2"/>
        <v>15.906195919821061</v>
      </c>
      <c r="F48" s="72">
        <f t="shared" ca="1" si="3"/>
        <v>688.9896825885055</v>
      </c>
      <c r="G48" s="72">
        <f t="shared" ca="1" si="4"/>
        <v>111.3471277488585</v>
      </c>
      <c r="H48" s="72">
        <f t="shared" ca="1" si="5"/>
        <v>800.336810337364</v>
      </c>
      <c r="I48" s="72">
        <f t="shared" ca="1" si="6"/>
        <v>816.24300625718502</v>
      </c>
      <c r="J48" s="72">
        <f t="shared" ca="1" si="7"/>
        <v>127.25332366867951</v>
      </c>
    </row>
    <row r="49" spans="1:10" x14ac:dyDescent="0.3">
      <c r="A49" s="30">
        <v>36</v>
      </c>
      <c r="B49" s="72">
        <f t="shared" ca="1" si="8"/>
        <v>0.35973029683103541</v>
      </c>
      <c r="C49" s="72">
        <f t="shared" ca="1" si="8"/>
        <v>0.7916605723081509</v>
      </c>
      <c r="D49" s="72">
        <f t="shared" ca="1" si="1"/>
        <v>11.146644504891871</v>
      </c>
      <c r="E49" s="72">
        <f t="shared" ca="1" si="2"/>
        <v>34.857481453796176</v>
      </c>
      <c r="F49" s="72">
        <f t="shared" ca="1" si="3"/>
        <v>700.13632709339743</v>
      </c>
      <c r="G49" s="72">
        <f t="shared" ca="1" si="4"/>
        <v>116.10667916378759</v>
      </c>
      <c r="H49" s="72">
        <f t="shared" ca="1" si="5"/>
        <v>816.24300625718502</v>
      </c>
      <c r="I49" s="72">
        <f t="shared" ca="1" si="6"/>
        <v>851.10048771098116</v>
      </c>
      <c r="J49" s="72">
        <f t="shared" ca="1" si="7"/>
        <v>150.96416061758373</v>
      </c>
    </row>
    <row r="50" spans="1:10" x14ac:dyDescent="0.3">
      <c r="A50" s="30">
        <v>37</v>
      </c>
      <c r="B50" s="72">
        <f t="shared" ca="1" si="8"/>
        <v>5.1322156105530814E-2</v>
      </c>
      <c r="C50" s="72">
        <f t="shared" ca="1" si="8"/>
        <v>8.6839687726870785E-2</v>
      </c>
      <c r="D50" s="72">
        <f t="shared" ca="1" si="1"/>
        <v>1.3171501757677866</v>
      </c>
      <c r="E50" s="72">
        <f t="shared" ca="1" si="2"/>
        <v>2.0187516740221918</v>
      </c>
      <c r="F50" s="72">
        <f t="shared" ca="1" si="3"/>
        <v>701.45347726916521</v>
      </c>
      <c r="G50" s="72">
        <f t="shared" ca="1" si="4"/>
        <v>149.64701044181595</v>
      </c>
      <c r="H50" s="72">
        <f t="shared" ca="1" si="5"/>
        <v>851.10048771098116</v>
      </c>
      <c r="I50" s="72">
        <f t="shared" ca="1" si="6"/>
        <v>853.11923938500331</v>
      </c>
      <c r="J50" s="72">
        <f t="shared" ca="1" si="7"/>
        <v>151.66576211583811</v>
      </c>
    </row>
    <row r="51" spans="1:10" x14ac:dyDescent="0.3">
      <c r="A51" s="30">
        <v>38</v>
      </c>
      <c r="B51" s="72">
        <f t="shared" ca="1" si="8"/>
        <v>0.16783066950402903</v>
      </c>
      <c r="C51" s="72">
        <f t="shared" ca="1" si="8"/>
        <v>6.0069254901075952E-2</v>
      </c>
      <c r="D51" s="72">
        <f t="shared" ca="1" si="1"/>
        <v>4.5929834159508411</v>
      </c>
      <c r="E51" s="72">
        <f t="shared" ca="1" si="2"/>
        <v>1.3766462635318133</v>
      </c>
      <c r="F51" s="72">
        <f t="shared" ca="1" si="3"/>
        <v>706.04646068511602</v>
      </c>
      <c r="G51" s="72">
        <f t="shared" ca="1" si="4"/>
        <v>147.07277869988729</v>
      </c>
      <c r="H51" s="72">
        <f t="shared" ca="1" si="5"/>
        <v>853.11923938500331</v>
      </c>
      <c r="I51" s="72">
        <f t="shared" ca="1" si="6"/>
        <v>854.49588564853514</v>
      </c>
      <c r="J51" s="72">
        <f t="shared" ca="1" si="7"/>
        <v>148.44942496341912</v>
      </c>
    </row>
    <row r="52" spans="1:10" x14ac:dyDescent="0.3">
      <c r="A52" s="30">
        <v>39</v>
      </c>
      <c r="B52" s="72">
        <f t="shared" ca="1" si="8"/>
        <v>0.99735370275659152</v>
      </c>
      <c r="C52" s="72">
        <f t="shared" ca="1" si="8"/>
        <v>8.4515138582939908E-2</v>
      </c>
      <c r="D52" s="72">
        <f t="shared" ca="1" si="1"/>
        <v>148.36484706774047</v>
      </c>
      <c r="E52" s="72">
        <f t="shared" ca="1" si="2"/>
        <v>1.9622544637263908</v>
      </c>
      <c r="F52" s="72">
        <f t="shared" ca="1" si="3"/>
        <v>854.41130775285649</v>
      </c>
      <c r="G52" s="72">
        <f t="shared" ca="1" si="4"/>
        <v>8.4577895678648929E-2</v>
      </c>
      <c r="H52" s="72">
        <f t="shared" ca="1" si="5"/>
        <v>854.49588564853514</v>
      </c>
      <c r="I52" s="72">
        <f t="shared" ca="1" si="6"/>
        <v>856.4581401122615</v>
      </c>
      <c r="J52" s="72">
        <f t="shared" ca="1" si="7"/>
        <v>2.0468323594050162</v>
      </c>
    </row>
    <row r="53" spans="1:10" x14ac:dyDescent="0.3">
      <c r="A53" s="30">
        <v>40</v>
      </c>
      <c r="B53" s="72">
        <f t="shared" ca="1" si="8"/>
        <v>0.51536864822284267</v>
      </c>
      <c r="C53" s="72">
        <f t="shared" ca="1" si="8"/>
        <v>6.7335913231734157E-2</v>
      </c>
      <c r="D53" s="72">
        <f t="shared" ca="1" si="1"/>
        <v>18.109169412380808</v>
      </c>
      <c r="E53" s="72">
        <f t="shared" ca="1" si="2"/>
        <v>1.5491150795850552</v>
      </c>
      <c r="F53" s="72">
        <f t="shared" ca="1" si="3"/>
        <v>872.52047716523725</v>
      </c>
      <c r="G53" s="72">
        <f t="shared" ca="1" si="4"/>
        <v>0</v>
      </c>
      <c r="H53" s="72">
        <f t="shared" ca="1" si="5"/>
        <v>872.52047716523725</v>
      </c>
      <c r="I53" s="72">
        <f t="shared" ca="1" si="6"/>
        <v>874.06959224482227</v>
      </c>
      <c r="J53" s="72">
        <f t="shared" ca="1" si="7"/>
        <v>1.5491150795850217</v>
      </c>
    </row>
    <row r="54" spans="1:10" x14ac:dyDescent="0.3">
      <c r="A54" s="30">
        <v>41</v>
      </c>
      <c r="B54" s="72">
        <f t="shared" ca="1" si="8"/>
        <v>0.95264055891975385</v>
      </c>
      <c r="C54" s="72">
        <f t="shared" ca="1" si="8"/>
        <v>0.54543778385059405</v>
      </c>
      <c r="D54" s="72">
        <f t="shared" ca="1" si="1"/>
        <v>76.24972724977745</v>
      </c>
      <c r="E54" s="72">
        <f t="shared" ca="1" si="2"/>
        <v>17.520455233676948</v>
      </c>
      <c r="F54" s="72">
        <f t="shared" ca="1" si="3"/>
        <v>948.77020441501475</v>
      </c>
      <c r="G54" s="72">
        <f t="shared" ca="1" si="4"/>
        <v>0</v>
      </c>
      <c r="H54" s="72">
        <f t="shared" ca="1" si="5"/>
        <v>948.77020441501475</v>
      </c>
      <c r="I54" s="72">
        <f t="shared" ca="1" si="6"/>
        <v>966.29065964869164</v>
      </c>
      <c r="J54" s="72">
        <f t="shared" ca="1" si="7"/>
        <v>17.520455233676898</v>
      </c>
    </row>
    <row r="55" spans="1:10" x14ac:dyDescent="0.3">
      <c r="A55" s="30">
        <v>42</v>
      </c>
      <c r="B55" s="72">
        <f t="shared" ca="1" si="8"/>
        <v>0.23380106306801884</v>
      </c>
      <c r="C55" s="72">
        <f t="shared" ca="1" si="8"/>
        <v>0.50515885398954741</v>
      </c>
      <c r="D55" s="72">
        <f t="shared" ca="1" si="1"/>
        <v>6.6578358542887042</v>
      </c>
      <c r="E55" s="72">
        <f t="shared" ca="1" si="2"/>
        <v>15.633744112643907</v>
      </c>
      <c r="F55" s="72">
        <f t="shared" ca="1" si="3"/>
        <v>955.42804026930344</v>
      </c>
      <c r="G55" s="72">
        <f t="shared" ca="1" si="4"/>
        <v>10.862619379388207</v>
      </c>
      <c r="H55" s="72">
        <f t="shared" ca="1" si="5"/>
        <v>966.29065964869164</v>
      </c>
      <c r="I55" s="72">
        <f t="shared" ca="1" si="6"/>
        <v>981.9244037613355</v>
      </c>
      <c r="J55" s="72">
        <f t="shared" ca="1" si="7"/>
        <v>26.49636349203206</v>
      </c>
    </row>
    <row r="56" spans="1:10" x14ac:dyDescent="0.3">
      <c r="A56" s="30">
        <v>43</v>
      </c>
      <c r="B56" s="72">
        <f t="shared" ca="1" si="8"/>
        <v>0.73001713928906742</v>
      </c>
      <c r="C56" s="72">
        <f t="shared" ca="1" si="8"/>
        <v>0.43341266572576387</v>
      </c>
      <c r="D56" s="72">
        <f t="shared" ca="1" si="1"/>
        <v>32.734920021175689</v>
      </c>
      <c r="E56" s="72">
        <f t="shared" ca="1" si="2"/>
        <v>12.624978794360105</v>
      </c>
      <c r="F56" s="72">
        <f t="shared" ca="1" si="3"/>
        <v>988.16296029047908</v>
      </c>
      <c r="G56" s="72">
        <f t="shared" ca="1" si="4"/>
        <v>0</v>
      </c>
      <c r="H56" s="72">
        <f t="shared" ca="1" si="5"/>
        <v>988.16296029047908</v>
      </c>
      <c r="I56" s="72">
        <f t="shared" ca="1" si="6"/>
        <v>1000.7879390848392</v>
      </c>
      <c r="J56" s="72">
        <f t="shared" ca="1" si="7"/>
        <v>12.624978794360118</v>
      </c>
    </row>
    <row r="57" spans="1:10" x14ac:dyDescent="0.3">
      <c r="A57" s="30">
        <v>44</v>
      </c>
      <c r="B57" s="72">
        <f t="shared" ca="1" si="8"/>
        <v>0.38695488450878546</v>
      </c>
      <c r="C57" s="72">
        <f t="shared" ca="1" si="8"/>
        <v>0.78678650252075721</v>
      </c>
      <c r="D57" s="72">
        <f t="shared" ca="1" si="1"/>
        <v>12.232918697229135</v>
      </c>
      <c r="E57" s="72">
        <f t="shared" ca="1" si="2"/>
        <v>34.343583993162248</v>
      </c>
      <c r="F57" s="72">
        <f t="shared" ca="1" si="3"/>
        <v>1000.3958789877082</v>
      </c>
      <c r="G57" s="72">
        <f t="shared" ca="1" si="4"/>
        <v>0.39206009713097956</v>
      </c>
      <c r="H57" s="72">
        <f t="shared" ca="1" si="5"/>
        <v>1000.7879390848392</v>
      </c>
      <c r="I57" s="72">
        <f t="shared" ca="1" si="6"/>
        <v>1035.1315230780015</v>
      </c>
      <c r="J57" s="72">
        <f t="shared" ca="1" si="7"/>
        <v>34.735644090293249</v>
      </c>
    </row>
    <row r="58" spans="1:10" x14ac:dyDescent="0.3">
      <c r="A58" s="30">
        <v>45</v>
      </c>
      <c r="B58" s="72">
        <f t="shared" ca="1" si="8"/>
        <v>0.65269153456117934</v>
      </c>
      <c r="C58" s="72">
        <f t="shared" ca="1" si="8"/>
        <v>0.67187166753437066</v>
      </c>
      <c r="D58" s="72">
        <f t="shared" ca="1" si="1"/>
        <v>26.438548613134294</v>
      </c>
      <c r="E58" s="72">
        <f t="shared" ca="1" si="2"/>
        <v>24.76334421337987</v>
      </c>
      <c r="F58" s="72">
        <f t="shared" ca="1" si="3"/>
        <v>1026.8344276008424</v>
      </c>
      <c r="G58" s="72">
        <f t="shared" ca="1" si="4"/>
        <v>8.2970954771590186</v>
      </c>
      <c r="H58" s="72">
        <f t="shared" ca="1" si="5"/>
        <v>1035.1315230780015</v>
      </c>
      <c r="I58" s="72">
        <f t="shared" ca="1" si="6"/>
        <v>1059.8948672913814</v>
      </c>
      <c r="J58" s="72">
        <f t="shared" ca="1" si="7"/>
        <v>33.060439690538942</v>
      </c>
    </row>
    <row r="59" spans="1:10" x14ac:dyDescent="0.3">
      <c r="A59" s="30">
        <v>46</v>
      </c>
      <c r="B59" s="72">
        <f t="shared" ca="1" si="8"/>
        <v>0.15758403110455665</v>
      </c>
      <c r="C59" s="72">
        <f t="shared" ca="1" si="8"/>
        <v>0.90533042139222852</v>
      </c>
      <c r="D59" s="72">
        <f t="shared" ca="1" si="1"/>
        <v>4.2870340478363316</v>
      </c>
      <c r="E59" s="72">
        <f t="shared" ca="1" si="2"/>
        <v>52.385834889352658</v>
      </c>
      <c r="F59" s="72">
        <f t="shared" ca="1" si="3"/>
        <v>1031.1214616486789</v>
      </c>
      <c r="G59" s="72">
        <f t="shared" ca="1" si="4"/>
        <v>28.773405642702528</v>
      </c>
      <c r="H59" s="72">
        <f t="shared" ca="1" si="5"/>
        <v>1059.8948672913814</v>
      </c>
      <c r="I59" s="72">
        <f t="shared" ca="1" si="6"/>
        <v>1112.2807021807341</v>
      </c>
      <c r="J59" s="72">
        <f t="shared" ca="1" si="7"/>
        <v>81.159240532055264</v>
      </c>
    </row>
    <row r="60" spans="1:10" x14ac:dyDescent="0.3">
      <c r="A60" s="30">
        <v>47</v>
      </c>
      <c r="B60" s="72">
        <f t="shared" ca="1" si="8"/>
        <v>0.60448604087938884</v>
      </c>
      <c r="C60" s="72">
        <f t="shared" ca="1" si="8"/>
        <v>0.95963478196670493</v>
      </c>
      <c r="D60" s="72">
        <f t="shared" ca="1" si="1"/>
        <v>23.189229938211895</v>
      </c>
      <c r="E60" s="72">
        <f t="shared" ca="1" si="2"/>
        <v>71.328595657921156</v>
      </c>
      <c r="F60" s="72">
        <f t="shared" ca="1" si="3"/>
        <v>1054.3106915868907</v>
      </c>
      <c r="G60" s="72">
        <f t="shared" ca="1" si="4"/>
        <v>57.970010593843426</v>
      </c>
      <c r="H60" s="72">
        <f t="shared" ca="1" si="5"/>
        <v>1112.2807021807341</v>
      </c>
      <c r="I60" s="72">
        <f t="shared" ca="1" si="6"/>
        <v>1183.6092978386553</v>
      </c>
      <c r="J60" s="72">
        <f t="shared" ca="1" si="7"/>
        <v>129.29860625176457</v>
      </c>
    </row>
    <row r="61" spans="1:10" x14ac:dyDescent="0.3">
      <c r="A61" s="30">
        <v>48</v>
      </c>
      <c r="B61" s="72">
        <f t="shared" ca="1" si="8"/>
        <v>0.72451440484508589</v>
      </c>
      <c r="C61" s="72">
        <f t="shared" ca="1" si="8"/>
        <v>0.43570327610753923</v>
      </c>
      <c r="D61" s="72">
        <f t="shared" ca="1" si="1"/>
        <v>32.230498448629945</v>
      </c>
      <c r="E61" s="72">
        <f t="shared" ca="1" si="2"/>
        <v>12.715001325269197</v>
      </c>
      <c r="F61" s="72">
        <f t="shared" ca="1" si="3"/>
        <v>1086.5411900355207</v>
      </c>
      <c r="G61" s="72">
        <f t="shared" ca="1" si="4"/>
        <v>97.068107803134581</v>
      </c>
      <c r="H61" s="72">
        <f t="shared" ca="1" si="5"/>
        <v>1183.6092978386553</v>
      </c>
      <c r="I61" s="72">
        <f t="shared" ca="1" si="6"/>
        <v>1196.3242991639245</v>
      </c>
      <c r="J61" s="72">
        <f t="shared" ca="1" si="7"/>
        <v>109.78310912840379</v>
      </c>
    </row>
    <row r="62" spans="1:10" x14ac:dyDescent="0.3">
      <c r="A62" s="30">
        <v>49</v>
      </c>
      <c r="B62" s="72">
        <f t="shared" ca="1" si="8"/>
        <v>0.38948200756004447</v>
      </c>
      <c r="C62" s="72">
        <f t="shared" ca="1" si="8"/>
        <v>0.68082032845632434</v>
      </c>
      <c r="D62" s="72">
        <f t="shared" ca="1" si="1"/>
        <v>12.336187855488481</v>
      </c>
      <c r="E62" s="72">
        <f t="shared" ca="1" si="2"/>
        <v>25.377802246102522</v>
      </c>
      <c r="F62" s="72">
        <f t="shared" ca="1" si="3"/>
        <v>1098.8773778910092</v>
      </c>
      <c r="G62" s="72">
        <f t="shared" ca="1" si="4"/>
        <v>97.446921272915233</v>
      </c>
      <c r="H62" s="72">
        <f t="shared" ca="1" si="5"/>
        <v>1196.3242991639245</v>
      </c>
      <c r="I62" s="72">
        <f t="shared" ca="1" si="6"/>
        <v>1221.7021014100269</v>
      </c>
      <c r="J62" s="72">
        <f t="shared" ca="1" si="7"/>
        <v>122.82472351901765</v>
      </c>
    </row>
    <row r="63" spans="1:10" x14ac:dyDescent="0.3">
      <c r="A63" s="30">
        <v>50</v>
      </c>
      <c r="B63" s="72">
        <f t="shared" ca="1" si="8"/>
        <v>4.4933346147044917E-2</v>
      </c>
      <c r="C63" s="72">
        <f t="shared" ca="1" si="8"/>
        <v>0.7674072307574864</v>
      </c>
      <c r="D63" s="72">
        <f t="shared" ca="1" si="1"/>
        <v>1.1493536581628283</v>
      </c>
      <c r="E63" s="72">
        <f t="shared" ca="1" si="2"/>
        <v>32.410358356497014</v>
      </c>
      <c r="F63" s="72">
        <f t="shared" ca="1" si="3"/>
        <v>1100.0267315491722</v>
      </c>
      <c r="G63" s="72">
        <f t="shared" ca="1" si="4"/>
        <v>121.67536986085474</v>
      </c>
      <c r="H63" s="72">
        <f t="shared" ca="1" si="5"/>
        <v>1221.7021014100269</v>
      </c>
      <c r="I63" s="72">
        <f t="shared" ca="1" si="6"/>
        <v>1254.1124597665239</v>
      </c>
      <c r="J63" s="72">
        <f t="shared" ca="1" si="7"/>
        <v>154.08572821735174</v>
      </c>
    </row>
    <row r="64" spans="1:10" x14ac:dyDescent="0.3">
      <c r="A64" s="30">
        <v>51</v>
      </c>
      <c r="B64" s="72">
        <f t="shared" ca="1" si="8"/>
        <v>0.85349541613199409</v>
      </c>
      <c r="C64" s="72">
        <f t="shared" ca="1" si="8"/>
        <v>0.747211856460818</v>
      </c>
      <c r="D64" s="72">
        <f t="shared" ca="1" si="1"/>
        <v>48.017464045327664</v>
      </c>
      <c r="E64" s="72">
        <f t="shared" ca="1" si="2"/>
        <v>30.560078185918517</v>
      </c>
      <c r="F64" s="72">
        <f t="shared" ca="1" si="3"/>
        <v>1148.0441955944998</v>
      </c>
      <c r="G64" s="72">
        <f t="shared" ca="1" si="4"/>
        <v>106.0682641720241</v>
      </c>
      <c r="H64" s="72">
        <f t="shared" ca="1" si="5"/>
        <v>1254.1124597665239</v>
      </c>
      <c r="I64" s="72">
        <f t="shared" ca="1" si="6"/>
        <v>1284.6725379524423</v>
      </c>
      <c r="J64" s="72">
        <f t="shared" ca="1" si="7"/>
        <v>136.62834235794253</v>
      </c>
    </row>
    <row r="65" spans="1:10" x14ac:dyDescent="0.3">
      <c r="A65" s="30">
        <v>52</v>
      </c>
      <c r="B65" s="72">
        <f t="shared" ca="1" si="8"/>
        <v>2.8335075398674192E-2</v>
      </c>
      <c r="C65" s="72">
        <f t="shared" ca="1" si="8"/>
        <v>0.27295103571346058</v>
      </c>
      <c r="D65" s="72">
        <f t="shared" ca="1" si="1"/>
        <v>0.71860654325976925</v>
      </c>
      <c r="E65" s="72">
        <f t="shared" ca="1" si="2"/>
        <v>7.0835878347984744</v>
      </c>
      <c r="F65" s="72">
        <f t="shared" ca="1" si="3"/>
        <v>1148.7628021377595</v>
      </c>
      <c r="G65" s="72">
        <f t="shared" ca="1" si="4"/>
        <v>135.90973581468279</v>
      </c>
      <c r="H65" s="72">
        <f t="shared" ca="1" si="5"/>
        <v>1284.6725379524423</v>
      </c>
      <c r="I65" s="72">
        <f t="shared" ca="1" si="6"/>
        <v>1291.7561257872408</v>
      </c>
      <c r="J65" s="72">
        <f t="shared" ca="1" si="7"/>
        <v>142.99332364948123</v>
      </c>
    </row>
    <row r="66" spans="1:10" x14ac:dyDescent="0.3">
      <c r="A66" s="30">
        <v>53</v>
      </c>
      <c r="B66" s="72">
        <f t="shared" ca="1" si="8"/>
        <v>0.705250239310933</v>
      </c>
      <c r="C66" s="72">
        <f t="shared" ca="1" si="8"/>
        <v>0.56862582487321656</v>
      </c>
      <c r="D66" s="72">
        <f t="shared" ca="1" si="1"/>
        <v>30.540713786913713</v>
      </c>
      <c r="E66" s="72">
        <f t="shared" ca="1" si="2"/>
        <v>18.683986883578356</v>
      </c>
      <c r="F66" s="72">
        <f t="shared" ca="1" si="3"/>
        <v>1179.3035159246733</v>
      </c>
      <c r="G66" s="72">
        <f t="shared" ca="1" si="4"/>
        <v>112.45260986256744</v>
      </c>
      <c r="H66" s="72">
        <f t="shared" ca="1" si="5"/>
        <v>1291.7561257872408</v>
      </c>
      <c r="I66" s="72">
        <f t="shared" ca="1" si="6"/>
        <v>1310.4401126708192</v>
      </c>
      <c r="J66" s="72">
        <f t="shared" ca="1" si="7"/>
        <v>131.13659674614587</v>
      </c>
    </row>
    <row r="67" spans="1:10" x14ac:dyDescent="0.3">
      <c r="A67" s="30">
        <v>54</v>
      </c>
      <c r="B67" s="72">
        <f t="shared" ca="1" si="8"/>
        <v>0.18604100772419352</v>
      </c>
      <c r="C67" s="72">
        <f t="shared" ca="1" si="8"/>
        <v>0.89932276422428437</v>
      </c>
      <c r="D67" s="72">
        <f t="shared" ca="1" si="1"/>
        <v>5.1461323072040646</v>
      </c>
      <c r="E67" s="72">
        <f t="shared" ca="1" si="2"/>
        <v>51.018568103045972</v>
      </c>
      <c r="F67" s="72">
        <f t="shared" ca="1" si="3"/>
        <v>1184.4496482318773</v>
      </c>
      <c r="G67" s="72">
        <f t="shared" ca="1" si="4"/>
        <v>125.9904644389419</v>
      </c>
      <c r="H67" s="72">
        <f t="shared" ca="1" si="5"/>
        <v>1310.4401126708192</v>
      </c>
      <c r="I67" s="72">
        <f t="shared" ca="1" si="6"/>
        <v>1361.4586807738651</v>
      </c>
      <c r="J67" s="72">
        <f t="shared" ca="1" si="7"/>
        <v>177.00903254198784</v>
      </c>
    </row>
    <row r="68" spans="1:10" x14ac:dyDescent="0.3">
      <c r="A68" s="30">
        <v>55</v>
      </c>
      <c r="B68" s="72">
        <f t="shared" ca="1" si="8"/>
        <v>0.49318105649899435</v>
      </c>
      <c r="C68" s="72">
        <f t="shared" ca="1" si="8"/>
        <v>0.47493969119826041</v>
      </c>
      <c r="D68" s="72">
        <f t="shared" ca="1" si="1"/>
        <v>16.99003631453445</v>
      </c>
      <c r="E68" s="72">
        <f t="shared" ca="1" si="2"/>
        <v>14.316492201776443</v>
      </c>
      <c r="F68" s="72">
        <f t="shared" ca="1" si="3"/>
        <v>1201.4396845464116</v>
      </c>
      <c r="G68" s="72">
        <f t="shared" ca="1" si="4"/>
        <v>160.0189962274535</v>
      </c>
      <c r="H68" s="72">
        <f t="shared" ca="1" si="5"/>
        <v>1361.4586807738651</v>
      </c>
      <c r="I68" s="72">
        <f t="shared" ca="1" si="6"/>
        <v>1375.7751729756417</v>
      </c>
      <c r="J68" s="72">
        <f t="shared" ca="1" si="7"/>
        <v>174.33548842923005</v>
      </c>
    </row>
    <row r="69" spans="1:10" x14ac:dyDescent="0.3">
      <c r="A69" s="30">
        <v>56</v>
      </c>
      <c r="B69" s="72">
        <f t="shared" ca="1" si="8"/>
        <v>0.98639117853791147</v>
      </c>
      <c r="C69" s="72">
        <f t="shared" ca="1" si="8"/>
        <v>0.32534294843888367</v>
      </c>
      <c r="D69" s="72">
        <f t="shared" ca="1" si="1"/>
        <v>107.42592648989648</v>
      </c>
      <c r="E69" s="72">
        <f t="shared" ca="1" si="2"/>
        <v>8.7455730885135061</v>
      </c>
      <c r="F69" s="72">
        <f t="shared" ca="1" si="3"/>
        <v>1308.8656110363081</v>
      </c>
      <c r="G69" s="72">
        <f t="shared" ca="1" si="4"/>
        <v>66.909561939333571</v>
      </c>
      <c r="H69" s="72">
        <f t="shared" ca="1" si="5"/>
        <v>1375.7751729756417</v>
      </c>
      <c r="I69" s="72">
        <f t="shared" ca="1" si="6"/>
        <v>1384.5207460641552</v>
      </c>
      <c r="J69" s="72">
        <f t="shared" ca="1" si="7"/>
        <v>75.655135027847109</v>
      </c>
    </row>
    <row r="70" spans="1:10" x14ac:dyDescent="0.3">
      <c r="A70" s="30">
        <v>57</v>
      </c>
      <c r="B70" s="72">
        <f t="shared" ca="1" si="8"/>
        <v>0.43257433572933424</v>
      </c>
      <c r="C70" s="72">
        <f t="shared" ca="1" si="8"/>
        <v>0.96346969268565408</v>
      </c>
      <c r="D70" s="72">
        <f t="shared" ca="1" si="1"/>
        <v>14.16613815688943</v>
      </c>
      <c r="E70" s="72">
        <f t="shared" ca="1" si="2"/>
        <v>73.546956123416066</v>
      </c>
      <c r="F70" s="72">
        <f t="shared" ca="1" si="3"/>
        <v>1323.0317491931976</v>
      </c>
      <c r="G70" s="72">
        <f t="shared" ca="1" si="4"/>
        <v>61.488996870957635</v>
      </c>
      <c r="H70" s="72">
        <f t="shared" ca="1" si="5"/>
        <v>1384.5207460641552</v>
      </c>
      <c r="I70" s="72">
        <f t="shared" ca="1" si="6"/>
        <v>1458.0677021875713</v>
      </c>
      <c r="J70" s="72">
        <f t="shared" ca="1" si="7"/>
        <v>135.0359529943737</v>
      </c>
    </row>
    <row r="71" spans="1:10" x14ac:dyDescent="0.3">
      <c r="A71" s="30">
        <v>58</v>
      </c>
      <c r="B71" s="72">
        <f t="shared" ca="1" si="8"/>
        <v>0.55621509443512074</v>
      </c>
      <c r="C71" s="72">
        <f t="shared" ca="1" si="8"/>
        <v>0.52923885730441367</v>
      </c>
      <c r="D71" s="72">
        <f t="shared" ca="1" si="1"/>
        <v>20.310382021454597</v>
      </c>
      <c r="E71" s="72">
        <f t="shared" ca="1" si="2"/>
        <v>16.742320925188455</v>
      </c>
      <c r="F71" s="72">
        <f t="shared" ca="1" si="3"/>
        <v>1343.3421312146522</v>
      </c>
      <c r="G71" s="72">
        <f t="shared" ca="1" si="4"/>
        <v>114.72557097291906</v>
      </c>
      <c r="H71" s="72">
        <f t="shared" ca="1" si="5"/>
        <v>1458.0677021875713</v>
      </c>
      <c r="I71" s="72">
        <f t="shared" ca="1" si="6"/>
        <v>1474.8100231127598</v>
      </c>
      <c r="J71" s="72">
        <f t="shared" ca="1" si="7"/>
        <v>131.46789189810761</v>
      </c>
    </row>
    <row r="72" spans="1:10" x14ac:dyDescent="0.3">
      <c r="A72" s="30">
        <v>59</v>
      </c>
      <c r="B72" s="72">
        <f t="shared" ca="1" si="8"/>
        <v>0.65819925269726853</v>
      </c>
      <c r="C72" s="72">
        <f t="shared" ca="1" si="8"/>
        <v>0.30425915022750183</v>
      </c>
      <c r="D72" s="72">
        <f t="shared" ca="1" si="1"/>
        <v>26.838183048218728</v>
      </c>
      <c r="E72" s="72">
        <f t="shared" ca="1" si="2"/>
        <v>8.0617340058935483</v>
      </c>
      <c r="F72" s="72">
        <f t="shared" ca="1" si="3"/>
        <v>1370.180314262871</v>
      </c>
      <c r="G72" s="72">
        <f t="shared" ca="1" si="4"/>
        <v>104.62970884988886</v>
      </c>
      <c r="H72" s="72">
        <f t="shared" ca="1" si="5"/>
        <v>1474.8100231127598</v>
      </c>
      <c r="I72" s="72">
        <f t="shared" ca="1" si="6"/>
        <v>1482.8717571186535</v>
      </c>
      <c r="J72" s="72">
        <f t="shared" ca="1" si="7"/>
        <v>112.6914428557825</v>
      </c>
    </row>
    <row r="73" spans="1:10" x14ac:dyDescent="0.3">
      <c r="A73" s="30">
        <v>60</v>
      </c>
      <c r="B73" s="72">
        <f t="shared" ca="1" si="8"/>
        <v>5.27490884069719E-2</v>
      </c>
      <c r="C73" s="72">
        <f t="shared" ca="1" si="8"/>
        <v>0.66529377545819046</v>
      </c>
      <c r="D73" s="72">
        <f t="shared" ca="1" si="1"/>
        <v>1.35478166816275</v>
      </c>
      <c r="E73" s="72">
        <f t="shared" ca="1" si="2"/>
        <v>24.322268301368865</v>
      </c>
      <c r="F73" s="72">
        <f t="shared" ca="1" si="3"/>
        <v>1371.5350959310338</v>
      </c>
      <c r="G73" s="72">
        <f t="shared" ca="1" si="4"/>
        <v>111.33666118761971</v>
      </c>
      <c r="H73" s="72">
        <f t="shared" ca="1" si="5"/>
        <v>1482.8717571186535</v>
      </c>
      <c r="I73" s="72">
        <f t="shared" ca="1" si="6"/>
        <v>1507.1940254200224</v>
      </c>
      <c r="J73" s="72">
        <f t="shared" ca="1" si="7"/>
        <v>135.65892948898863</v>
      </c>
    </row>
    <row r="74" spans="1:10" x14ac:dyDescent="0.3">
      <c r="A74" s="30">
        <v>61</v>
      </c>
      <c r="B74" s="72">
        <f t="shared" ca="1" si="8"/>
        <v>0.33664205925624802</v>
      </c>
      <c r="C74" s="72">
        <f t="shared" ca="1" si="8"/>
        <v>0.32794232355182262</v>
      </c>
      <c r="D74" s="72">
        <f t="shared" ca="1" si="1"/>
        <v>10.261013850528734</v>
      </c>
      <c r="E74" s="72">
        <f t="shared" ca="1" si="2"/>
        <v>8.8313580909804603</v>
      </c>
      <c r="F74" s="72">
        <f t="shared" ca="1" si="3"/>
        <v>1381.7961097815626</v>
      </c>
      <c r="G74" s="72">
        <f t="shared" ca="1" si="4"/>
        <v>125.39791563845984</v>
      </c>
      <c r="H74" s="72">
        <f t="shared" ca="1" si="5"/>
        <v>1507.1940254200224</v>
      </c>
      <c r="I74" s="72">
        <f t="shared" ca="1" si="6"/>
        <v>1516.0253835110029</v>
      </c>
      <c r="J74" s="72">
        <f t="shared" ca="1" si="7"/>
        <v>134.22927372944037</v>
      </c>
    </row>
    <row r="75" spans="1:10" x14ac:dyDescent="0.3">
      <c r="A75" s="30">
        <v>62</v>
      </c>
      <c r="B75" s="72">
        <f t="shared" ca="1" si="8"/>
        <v>0.62844810110596439</v>
      </c>
      <c r="C75" s="72">
        <f t="shared" ca="1" si="8"/>
        <v>0.44707151427469238</v>
      </c>
      <c r="D75" s="72">
        <f t="shared" ca="1" si="1"/>
        <v>24.751668091387931</v>
      </c>
      <c r="E75" s="72">
        <f t="shared" ca="1" si="2"/>
        <v>13.167257919810933</v>
      </c>
      <c r="F75" s="72">
        <f t="shared" ca="1" si="3"/>
        <v>1406.5477778729505</v>
      </c>
      <c r="G75" s="72">
        <f t="shared" ca="1" si="4"/>
        <v>109.47760563805241</v>
      </c>
      <c r="H75" s="72">
        <f t="shared" ca="1" si="5"/>
        <v>1516.0253835110029</v>
      </c>
      <c r="I75" s="72">
        <f t="shared" ca="1" si="6"/>
        <v>1529.1926414308139</v>
      </c>
      <c r="J75" s="72">
        <f t="shared" ca="1" si="7"/>
        <v>122.64486355786335</v>
      </c>
    </row>
    <row r="76" spans="1:10" x14ac:dyDescent="0.3">
      <c r="A76" s="30">
        <v>63</v>
      </c>
      <c r="B76" s="72">
        <f t="shared" ca="1" si="8"/>
        <v>0.57248520573522521</v>
      </c>
      <c r="C76" s="72">
        <f t="shared" ca="1" si="8"/>
        <v>0.2822661827496894</v>
      </c>
      <c r="D76" s="72">
        <f t="shared" ca="1" si="1"/>
        <v>21.244159618420067</v>
      </c>
      <c r="E76" s="72">
        <f t="shared" ca="1" si="2"/>
        <v>7.3701445940929924</v>
      </c>
      <c r="F76" s="72">
        <f t="shared" ca="1" si="3"/>
        <v>1427.7919374913706</v>
      </c>
      <c r="G76" s="72">
        <f t="shared" ca="1" si="4"/>
        <v>101.40070393944325</v>
      </c>
      <c r="H76" s="72">
        <f t="shared" ca="1" si="5"/>
        <v>1529.1926414308139</v>
      </c>
      <c r="I76" s="72">
        <f t="shared" ca="1" si="6"/>
        <v>1536.5627860249069</v>
      </c>
      <c r="J76" s="72">
        <f t="shared" ca="1" si="7"/>
        <v>108.77084853353631</v>
      </c>
    </row>
    <row r="77" spans="1:10" x14ac:dyDescent="0.3">
      <c r="A77" s="30">
        <v>64</v>
      </c>
      <c r="B77" s="72">
        <f t="shared" ca="1" si="8"/>
        <v>0.52209711734397091</v>
      </c>
      <c r="C77" s="72">
        <f t="shared" ca="1" si="8"/>
        <v>0.29629450775635047</v>
      </c>
      <c r="D77" s="72">
        <f t="shared" ca="1" si="1"/>
        <v>18.458693537328976</v>
      </c>
      <c r="E77" s="72">
        <f t="shared" ca="1" si="2"/>
        <v>7.8087854495938194</v>
      </c>
      <c r="F77" s="72">
        <f t="shared" ca="1" si="3"/>
        <v>1446.2506310286997</v>
      </c>
      <c r="G77" s="72">
        <f t="shared" ca="1" si="4"/>
        <v>90.312154996207255</v>
      </c>
      <c r="H77" s="72">
        <f t="shared" ca="1" si="5"/>
        <v>1536.5627860249069</v>
      </c>
      <c r="I77" s="72">
        <f t="shared" ca="1" si="6"/>
        <v>1544.3715714745008</v>
      </c>
      <c r="J77" s="72">
        <f t="shared" ca="1" si="7"/>
        <v>98.120940445801125</v>
      </c>
    </row>
    <row r="78" spans="1:10" x14ac:dyDescent="0.3">
      <c r="A78" s="30">
        <v>65</v>
      </c>
      <c r="B78" s="72">
        <f t="shared" ca="1" si="8"/>
        <v>0.32519845420838578</v>
      </c>
      <c r="C78" s="72">
        <f t="shared" ca="1" si="8"/>
        <v>0.59287525555904896</v>
      </c>
      <c r="D78" s="72">
        <f t="shared" ca="1" si="1"/>
        <v>9.8334159393139728</v>
      </c>
      <c r="E78" s="72">
        <f t="shared" ca="1" si="2"/>
        <v>19.969680957830221</v>
      </c>
      <c r="F78" s="72">
        <f t="shared" ca="1" si="3"/>
        <v>1456.0840469680136</v>
      </c>
      <c r="G78" s="72">
        <f t="shared" ca="1" si="4"/>
        <v>88.287524506487216</v>
      </c>
      <c r="H78" s="72">
        <f t="shared" ca="1" si="5"/>
        <v>1544.3715714745008</v>
      </c>
      <c r="I78" s="72">
        <f t="shared" ca="1" si="6"/>
        <v>1564.341252432331</v>
      </c>
      <c r="J78" s="72">
        <f t="shared" ca="1" si="7"/>
        <v>108.25720546431739</v>
      </c>
    </row>
    <row r="79" spans="1:10" x14ac:dyDescent="0.3">
      <c r="A79" s="30">
        <v>66</v>
      </c>
      <c r="B79" s="72">
        <f t="shared" ca="1" si="8"/>
        <v>0.81236065121237888</v>
      </c>
      <c r="C79" s="72">
        <f t="shared" ca="1" si="8"/>
        <v>6.2714457161481052E-2</v>
      </c>
      <c r="D79" s="72">
        <f t="shared" ca="1" si="1"/>
        <v>41.8308379017313</v>
      </c>
      <c r="E79" s="72">
        <f t="shared" ca="1" si="2"/>
        <v>1.4392733691423982</v>
      </c>
      <c r="F79" s="72">
        <f t="shared" ca="1" si="3"/>
        <v>1497.9148848697448</v>
      </c>
      <c r="G79" s="72">
        <f t="shared" ca="1" si="4"/>
        <v>66.426367562586165</v>
      </c>
      <c r="H79" s="72">
        <f t="shared" ca="1" si="5"/>
        <v>1564.341252432331</v>
      </c>
      <c r="I79" s="72">
        <f t="shared" ca="1" si="6"/>
        <v>1565.7805258014735</v>
      </c>
      <c r="J79" s="72">
        <f t="shared" ca="1" si="7"/>
        <v>67.865640931728649</v>
      </c>
    </row>
    <row r="80" spans="1:10" x14ac:dyDescent="0.3">
      <c r="A80" s="30">
        <v>67</v>
      </c>
      <c r="B80" s="72">
        <f t="shared" ref="B80:C111" ca="1" si="9">RAND()</f>
        <v>0.24715025943345337</v>
      </c>
      <c r="C80" s="72">
        <f t="shared" ca="1" si="9"/>
        <v>0.6225774527390423</v>
      </c>
      <c r="D80" s="72">
        <f t="shared" ref="D80:D143" ca="1" si="10">(1/$F$1)*LN(1/(1-B80))</f>
        <v>7.0972404703732099</v>
      </c>
      <c r="E80" s="72">
        <f t="shared" ref="E80:E143" ca="1" si="11">(1/$J$1)*LN(1/(1-C80))</f>
        <v>21.653108981389668</v>
      </c>
      <c r="F80" s="72">
        <f t="shared" ref="F80:F143" ca="1" si="12">F79+D80</f>
        <v>1505.012125340118</v>
      </c>
      <c r="G80" s="72">
        <f t="shared" ref="G80:G143" ca="1" si="13">IF(I79&gt;F80,I79-F80,0)</f>
        <v>60.768400461355441</v>
      </c>
      <c r="H80" s="72">
        <f t="shared" ref="H80:H143" ca="1" si="14">F80+G80</f>
        <v>1565.7805258014735</v>
      </c>
      <c r="I80" s="72">
        <f t="shared" ref="I80:I143" ca="1" si="15">H80+E80</f>
        <v>1587.4336347828632</v>
      </c>
      <c r="J80" s="72">
        <f t="shared" ref="J80:J143" ca="1" si="16">I80-F80</f>
        <v>82.421509442745219</v>
      </c>
    </row>
    <row r="81" spans="1:10" x14ac:dyDescent="0.3">
      <c r="A81" s="30">
        <v>68</v>
      </c>
      <c r="B81" s="72">
        <f t="shared" ca="1" si="9"/>
        <v>0.40955472657360381</v>
      </c>
      <c r="C81" s="72">
        <f t="shared" ca="1" si="9"/>
        <v>0.46667063156536359</v>
      </c>
      <c r="D81" s="72">
        <f t="shared" ca="1" si="10"/>
        <v>13.171958150076307</v>
      </c>
      <c r="E81" s="72">
        <f t="shared" ca="1" si="11"/>
        <v>13.969246525223657</v>
      </c>
      <c r="F81" s="72">
        <f t="shared" ca="1" si="12"/>
        <v>1518.1840834901943</v>
      </c>
      <c r="G81" s="72">
        <f t="shared" ca="1" si="13"/>
        <v>69.249551292668912</v>
      </c>
      <c r="H81" s="72">
        <f t="shared" ca="1" si="14"/>
        <v>1587.4336347828632</v>
      </c>
      <c r="I81" s="72">
        <f t="shared" ca="1" si="15"/>
        <v>1601.402881308087</v>
      </c>
      <c r="J81" s="72">
        <f t="shared" ca="1" si="16"/>
        <v>83.218797817892664</v>
      </c>
    </row>
    <row r="82" spans="1:10" x14ac:dyDescent="0.3">
      <c r="A82" s="30">
        <v>69</v>
      </c>
      <c r="B82" s="72">
        <f t="shared" ca="1" si="9"/>
        <v>0.81789827470247711</v>
      </c>
      <c r="C82" s="72">
        <f t="shared" ca="1" si="9"/>
        <v>0.58280265934531716</v>
      </c>
      <c r="D82" s="72">
        <f t="shared" ca="1" si="10"/>
        <v>42.579745446062006</v>
      </c>
      <c r="E82" s="72">
        <f t="shared" ca="1" si="11"/>
        <v>19.426576225456252</v>
      </c>
      <c r="F82" s="72">
        <f t="shared" ca="1" si="12"/>
        <v>1560.7638289362562</v>
      </c>
      <c r="G82" s="72">
        <f t="shared" ca="1" si="13"/>
        <v>40.639052371830758</v>
      </c>
      <c r="H82" s="72">
        <f t="shared" ca="1" si="14"/>
        <v>1601.402881308087</v>
      </c>
      <c r="I82" s="72">
        <f t="shared" ca="1" si="15"/>
        <v>1620.8294575335433</v>
      </c>
      <c r="J82" s="72">
        <f t="shared" ca="1" si="16"/>
        <v>60.065628597287059</v>
      </c>
    </row>
    <row r="83" spans="1:10" x14ac:dyDescent="0.3">
      <c r="A83" s="30">
        <v>70</v>
      </c>
      <c r="B83" s="72">
        <f t="shared" ca="1" si="9"/>
        <v>0.9981479182951245</v>
      </c>
      <c r="C83" s="72">
        <f t="shared" ca="1" si="9"/>
        <v>3.5116139914471378E-2</v>
      </c>
      <c r="D83" s="72">
        <f t="shared" ca="1" si="10"/>
        <v>157.286125665697</v>
      </c>
      <c r="E83" s="72">
        <f t="shared" ca="1" si="11"/>
        <v>0.79438971397864178</v>
      </c>
      <c r="F83" s="72">
        <f t="shared" ca="1" si="12"/>
        <v>1718.0499546019532</v>
      </c>
      <c r="G83" s="72">
        <f t="shared" ca="1" si="13"/>
        <v>0</v>
      </c>
      <c r="H83" s="72">
        <f t="shared" ca="1" si="14"/>
        <v>1718.0499546019532</v>
      </c>
      <c r="I83" s="72">
        <f t="shared" ca="1" si="15"/>
        <v>1718.8443443159319</v>
      </c>
      <c r="J83" s="72">
        <f t="shared" ca="1" si="16"/>
        <v>0.79438971397871683</v>
      </c>
    </row>
    <row r="84" spans="1:10" x14ac:dyDescent="0.3">
      <c r="A84" s="30">
        <v>71</v>
      </c>
      <c r="B84" s="72">
        <f t="shared" ca="1" si="9"/>
        <v>0.85974088652576819</v>
      </c>
      <c r="C84" s="72">
        <f t="shared" ca="1" si="9"/>
        <v>0.45994380486308906</v>
      </c>
      <c r="D84" s="72">
        <f t="shared" ca="1" si="10"/>
        <v>49.106593912050684</v>
      </c>
      <c r="E84" s="72">
        <f t="shared" ca="1" si="11"/>
        <v>13.690712883774598</v>
      </c>
      <c r="F84" s="72">
        <f t="shared" ca="1" si="12"/>
        <v>1767.1565485140038</v>
      </c>
      <c r="G84" s="72">
        <f t="shared" ca="1" si="13"/>
        <v>0</v>
      </c>
      <c r="H84" s="72">
        <f t="shared" ca="1" si="14"/>
        <v>1767.1565485140038</v>
      </c>
      <c r="I84" s="72">
        <f t="shared" ca="1" si="15"/>
        <v>1780.8472613977783</v>
      </c>
      <c r="J84" s="72">
        <f t="shared" ca="1" si="16"/>
        <v>13.690712883774495</v>
      </c>
    </row>
    <row r="85" spans="1:10" x14ac:dyDescent="0.3">
      <c r="A85" s="30">
        <v>72</v>
      </c>
      <c r="B85" s="72">
        <f t="shared" ca="1" si="9"/>
        <v>0.83735155987270871</v>
      </c>
      <c r="C85" s="72">
        <f t="shared" ca="1" si="9"/>
        <v>0.82721597445068329</v>
      </c>
      <c r="D85" s="72">
        <f t="shared" ca="1" si="10"/>
        <v>45.404105411819742</v>
      </c>
      <c r="E85" s="72">
        <f t="shared" ca="1" si="11"/>
        <v>39.015841591626895</v>
      </c>
      <c r="F85" s="72">
        <f t="shared" ca="1" si="12"/>
        <v>1812.5606539258235</v>
      </c>
      <c r="G85" s="72">
        <f t="shared" ca="1" si="13"/>
        <v>0</v>
      </c>
      <c r="H85" s="72">
        <f t="shared" ca="1" si="14"/>
        <v>1812.5606539258235</v>
      </c>
      <c r="I85" s="72">
        <f t="shared" ca="1" si="15"/>
        <v>1851.5764955174504</v>
      </c>
      <c r="J85" s="72">
        <f t="shared" ca="1" si="16"/>
        <v>39.015841591626895</v>
      </c>
    </row>
    <row r="86" spans="1:10" x14ac:dyDescent="0.3">
      <c r="A86" s="30">
        <v>73</v>
      </c>
      <c r="B86" s="72">
        <f t="shared" ca="1" si="9"/>
        <v>0.9097901595680552</v>
      </c>
      <c r="C86" s="72">
        <f t="shared" ca="1" si="9"/>
        <v>0.70052228479214629</v>
      </c>
      <c r="D86" s="72">
        <f t="shared" ca="1" si="10"/>
        <v>60.14041905415565</v>
      </c>
      <c r="E86" s="72">
        <f t="shared" ca="1" si="11"/>
        <v>26.793672685478196</v>
      </c>
      <c r="F86" s="72">
        <f t="shared" ca="1" si="12"/>
        <v>1872.7010729799792</v>
      </c>
      <c r="G86" s="72">
        <f t="shared" ca="1" si="13"/>
        <v>0</v>
      </c>
      <c r="H86" s="72">
        <f t="shared" ca="1" si="14"/>
        <v>1872.7010729799792</v>
      </c>
      <c r="I86" s="72">
        <f t="shared" ca="1" si="15"/>
        <v>1899.4947456654575</v>
      </c>
      <c r="J86" s="72">
        <f t="shared" ca="1" si="16"/>
        <v>26.793672685478214</v>
      </c>
    </row>
    <row r="87" spans="1:10" x14ac:dyDescent="0.3">
      <c r="A87" s="30">
        <v>74</v>
      </c>
      <c r="B87" s="72">
        <f t="shared" ca="1" si="9"/>
        <v>0.89996108110559481</v>
      </c>
      <c r="C87" s="72">
        <f t="shared" ca="1" si="9"/>
        <v>8.3022756240556772E-2</v>
      </c>
      <c r="D87" s="72">
        <f t="shared" ca="1" si="10"/>
        <v>57.554899494109165</v>
      </c>
      <c r="E87" s="72">
        <f t="shared" ca="1" si="11"/>
        <v>1.9260582888734243</v>
      </c>
      <c r="F87" s="72">
        <f t="shared" ca="1" si="12"/>
        <v>1930.2559724740884</v>
      </c>
      <c r="G87" s="72">
        <f t="shared" ca="1" si="13"/>
        <v>0</v>
      </c>
      <c r="H87" s="72">
        <f t="shared" ca="1" si="14"/>
        <v>1930.2559724740884</v>
      </c>
      <c r="I87" s="72">
        <f t="shared" ca="1" si="15"/>
        <v>1932.1820307629619</v>
      </c>
      <c r="J87" s="72">
        <f t="shared" ca="1" si="16"/>
        <v>1.9260582888734916</v>
      </c>
    </row>
    <row r="88" spans="1:10" x14ac:dyDescent="0.3">
      <c r="A88" s="30">
        <v>75</v>
      </c>
      <c r="B88" s="72">
        <f t="shared" ca="1" si="9"/>
        <v>6.9296275954452535E-2</v>
      </c>
      <c r="C88" s="72">
        <f t="shared" ca="1" si="9"/>
        <v>0.4683809458887217</v>
      </c>
      <c r="D88" s="72">
        <f t="shared" ca="1" si="10"/>
        <v>1.7953571615046662</v>
      </c>
      <c r="E88" s="72">
        <f t="shared" ca="1" si="11"/>
        <v>14.040624663048028</v>
      </c>
      <c r="F88" s="72">
        <f t="shared" ca="1" si="12"/>
        <v>1932.051329635593</v>
      </c>
      <c r="G88" s="72">
        <f t="shared" ca="1" si="13"/>
        <v>0.13070112736886585</v>
      </c>
      <c r="H88" s="72">
        <f t="shared" ca="1" si="14"/>
        <v>1932.1820307629619</v>
      </c>
      <c r="I88" s="72">
        <f t="shared" ca="1" si="15"/>
        <v>1946.2226554260099</v>
      </c>
      <c r="J88" s="72">
        <f t="shared" ca="1" si="16"/>
        <v>14.171325790416859</v>
      </c>
    </row>
    <row r="89" spans="1:10" x14ac:dyDescent="0.3">
      <c r="A89" s="30">
        <v>76</v>
      </c>
      <c r="B89" s="72">
        <f t="shared" ca="1" si="9"/>
        <v>0.44367572981691572</v>
      </c>
      <c r="C89" s="72">
        <f t="shared" ca="1" si="9"/>
        <v>0.28757034017309113</v>
      </c>
      <c r="D89" s="72">
        <f t="shared" ca="1" si="10"/>
        <v>14.660098374608726</v>
      </c>
      <c r="E89" s="72">
        <f t="shared" ca="1" si="11"/>
        <v>7.5349798836161108</v>
      </c>
      <c r="F89" s="72">
        <f t="shared" ca="1" si="12"/>
        <v>1946.7114280102016</v>
      </c>
      <c r="G89" s="72">
        <f t="shared" ca="1" si="13"/>
        <v>0</v>
      </c>
      <c r="H89" s="72">
        <f t="shared" ca="1" si="14"/>
        <v>1946.7114280102016</v>
      </c>
      <c r="I89" s="72">
        <f t="shared" ca="1" si="15"/>
        <v>1954.2464078938178</v>
      </c>
      <c r="J89" s="72">
        <f t="shared" ca="1" si="16"/>
        <v>7.5349798836161881</v>
      </c>
    </row>
    <row r="90" spans="1:10" x14ac:dyDescent="0.3">
      <c r="A90" s="30">
        <v>77</v>
      </c>
      <c r="B90" s="72">
        <f t="shared" ca="1" si="9"/>
        <v>0.81993801607452199</v>
      </c>
      <c r="C90" s="72">
        <f t="shared" ca="1" si="9"/>
        <v>0.63004703148162022</v>
      </c>
      <c r="D90" s="72">
        <f t="shared" ca="1" si="10"/>
        <v>42.861353305675152</v>
      </c>
      <c r="E90" s="72">
        <f t="shared" ca="1" si="11"/>
        <v>22.097319856350737</v>
      </c>
      <c r="F90" s="72">
        <f t="shared" ca="1" si="12"/>
        <v>1989.5727813158769</v>
      </c>
      <c r="G90" s="72">
        <f t="shared" ca="1" si="13"/>
        <v>0</v>
      </c>
      <c r="H90" s="72">
        <f t="shared" ca="1" si="14"/>
        <v>1989.5727813158769</v>
      </c>
      <c r="I90" s="72">
        <f t="shared" ca="1" si="15"/>
        <v>2011.6701011722275</v>
      </c>
      <c r="J90" s="72">
        <f t="shared" ca="1" si="16"/>
        <v>22.097319856350623</v>
      </c>
    </row>
    <row r="91" spans="1:10" x14ac:dyDescent="0.3">
      <c r="A91" s="30">
        <v>78</v>
      </c>
      <c r="B91" s="72">
        <f t="shared" ca="1" si="9"/>
        <v>0.67402518447465598</v>
      </c>
      <c r="C91" s="72">
        <f t="shared" ca="1" si="9"/>
        <v>8.0411663663276789E-3</v>
      </c>
      <c r="D91" s="72">
        <f t="shared" ca="1" si="10"/>
        <v>28.023378839733436</v>
      </c>
      <c r="E91" s="72">
        <f t="shared" ca="1" si="11"/>
        <v>0.17941490914439207</v>
      </c>
      <c r="F91" s="72">
        <f t="shared" ca="1" si="12"/>
        <v>2017.5961601556103</v>
      </c>
      <c r="G91" s="72">
        <f t="shared" ca="1" si="13"/>
        <v>0</v>
      </c>
      <c r="H91" s="72">
        <f t="shared" ca="1" si="14"/>
        <v>2017.5961601556103</v>
      </c>
      <c r="I91" s="72">
        <f t="shared" ca="1" si="15"/>
        <v>2017.7755750647548</v>
      </c>
      <c r="J91" s="72">
        <f t="shared" ca="1" si="16"/>
        <v>0.17941490914449787</v>
      </c>
    </row>
    <row r="92" spans="1:10" x14ac:dyDescent="0.3">
      <c r="A92" s="30">
        <v>79</v>
      </c>
      <c r="B92" s="72">
        <f t="shared" ca="1" si="9"/>
        <v>0.41011504103782048</v>
      </c>
      <c r="C92" s="72">
        <f t="shared" ca="1" si="9"/>
        <v>0.91692003960062363</v>
      </c>
      <c r="D92" s="72">
        <f t="shared" ca="1" si="10"/>
        <v>13.195693647606166</v>
      </c>
      <c r="E92" s="72">
        <f t="shared" ca="1" si="11"/>
        <v>55.287816814019067</v>
      </c>
      <c r="F92" s="72">
        <f t="shared" ca="1" si="12"/>
        <v>2030.7918538032166</v>
      </c>
      <c r="G92" s="72">
        <f t="shared" ca="1" si="13"/>
        <v>0</v>
      </c>
      <c r="H92" s="72">
        <f t="shared" ca="1" si="14"/>
        <v>2030.7918538032166</v>
      </c>
      <c r="I92" s="72">
        <f t="shared" ca="1" si="15"/>
        <v>2086.0796706172355</v>
      </c>
      <c r="J92" s="72">
        <f t="shared" ca="1" si="16"/>
        <v>55.287816814018925</v>
      </c>
    </row>
    <row r="93" spans="1:10" x14ac:dyDescent="0.3">
      <c r="A93" s="30">
        <v>80</v>
      </c>
      <c r="B93" s="72">
        <f t="shared" ca="1" si="9"/>
        <v>0.64828937627118777</v>
      </c>
      <c r="C93" s="72">
        <f t="shared" ca="1" si="9"/>
        <v>0.84964590582161847</v>
      </c>
      <c r="D93" s="72">
        <f t="shared" ca="1" si="10"/>
        <v>26.123663329155729</v>
      </c>
      <c r="E93" s="72">
        <f t="shared" ca="1" si="11"/>
        <v>42.10582530966164</v>
      </c>
      <c r="F93" s="72">
        <f t="shared" ca="1" si="12"/>
        <v>2056.9155171323723</v>
      </c>
      <c r="G93" s="72">
        <f t="shared" ca="1" si="13"/>
        <v>29.164153484863164</v>
      </c>
      <c r="H93" s="72">
        <f t="shared" ca="1" si="14"/>
        <v>2086.0796706172355</v>
      </c>
      <c r="I93" s="72">
        <f t="shared" ca="1" si="15"/>
        <v>2128.1854959268971</v>
      </c>
      <c r="J93" s="72">
        <f t="shared" ca="1" si="16"/>
        <v>71.269978794524832</v>
      </c>
    </row>
    <row r="94" spans="1:10" x14ac:dyDescent="0.3">
      <c r="A94" s="30">
        <v>81</v>
      </c>
      <c r="B94" s="72">
        <f t="shared" ca="1" si="9"/>
        <v>3.1734793827863039E-2</v>
      </c>
      <c r="C94" s="72">
        <f t="shared" ca="1" si="9"/>
        <v>0.76539781164334841</v>
      </c>
      <c r="D94" s="72">
        <f t="shared" ca="1" si="10"/>
        <v>0.80623139777681896</v>
      </c>
      <c r="E94" s="72">
        <f t="shared" ca="1" si="11"/>
        <v>32.219200328284437</v>
      </c>
      <c r="F94" s="72">
        <f t="shared" ca="1" si="12"/>
        <v>2057.7217485301489</v>
      </c>
      <c r="G94" s="72">
        <f t="shared" ca="1" si="13"/>
        <v>70.463747396748204</v>
      </c>
      <c r="H94" s="72">
        <f t="shared" ca="1" si="14"/>
        <v>2128.1854959268971</v>
      </c>
      <c r="I94" s="72">
        <f t="shared" ca="1" si="15"/>
        <v>2160.4046962551815</v>
      </c>
      <c r="J94" s="72">
        <f t="shared" ca="1" si="16"/>
        <v>102.68294772503259</v>
      </c>
    </row>
    <row r="95" spans="1:10" x14ac:dyDescent="0.3">
      <c r="A95" s="30">
        <v>82</v>
      </c>
      <c r="B95" s="72">
        <f t="shared" ca="1" si="9"/>
        <v>0.75775602150280386</v>
      </c>
      <c r="C95" s="72">
        <f t="shared" ca="1" si="9"/>
        <v>0.5022276361403043</v>
      </c>
      <c r="D95" s="72">
        <f t="shared" ca="1" si="10"/>
        <v>35.445247127122819</v>
      </c>
      <c r="E95" s="72">
        <f t="shared" ca="1" si="11"/>
        <v>15.502497936515335</v>
      </c>
      <c r="F95" s="72">
        <f t="shared" ca="1" si="12"/>
        <v>2093.1669956572719</v>
      </c>
      <c r="G95" s="72">
        <f t="shared" ca="1" si="13"/>
        <v>67.237700597909679</v>
      </c>
      <c r="H95" s="72">
        <f t="shared" ca="1" si="14"/>
        <v>2160.4046962551815</v>
      </c>
      <c r="I95" s="72">
        <f t="shared" ca="1" si="15"/>
        <v>2175.9071941916968</v>
      </c>
      <c r="J95" s="72">
        <f t="shared" ca="1" si="16"/>
        <v>82.740198534424962</v>
      </c>
    </row>
    <row r="96" spans="1:10" x14ac:dyDescent="0.3">
      <c r="A96" s="30">
        <v>83</v>
      </c>
      <c r="B96" s="72">
        <f t="shared" ca="1" si="9"/>
        <v>0.40847875043334492</v>
      </c>
      <c r="C96" s="72">
        <f t="shared" ca="1" si="9"/>
        <v>0.24482399567703161</v>
      </c>
      <c r="D96" s="72">
        <f t="shared" ca="1" si="10"/>
        <v>13.126441783218759</v>
      </c>
      <c r="E96" s="72">
        <f t="shared" ca="1" si="11"/>
        <v>6.2400986353865706</v>
      </c>
      <c r="F96" s="72">
        <f t="shared" ca="1" si="12"/>
        <v>2106.2934374404908</v>
      </c>
      <c r="G96" s="72">
        <f t="shared" ca="1" si="13"/>
        <v>69.613756751205983</v>
      </c>
      <c r="H96" s="72">
        <f t="shared" ca="1" si="14"/>
        <v>2175.9071941916968</v>
      </c>
      <c r="I96" s="72">
        <f t="shared" ca="1" si="15"/>
        <v>2182.1472928270832</v>
      </c>
      <c r="J96" s="72">
        <f t="shared" ca="1" si="16"/>
        <v>75.853855386592386</v>
      </c>
    </row>
    <row r="97" spans="1:10" x14ac:dyDescent="0.3">
      <c r="A97" s="30">
        <v>84</v>
      </c>
      <c r="B97" s="72">
        <f t="shared" ca="1" si="9"/>
        <v>0.32875535117264765</v>
      </c>
      <c r="C97" s="72">
        <f t="shared" ca="1" si="9"/>
        <v>0.54969892396296682</v>
      </c>
      <c r="D97" s="72">
        <f t="shared" ca="1" si="10"/>
        <v>9.9655401285660403</v>
      </c>
      <c r="E97" s="72">
        <f t="shared" ca="1" si="11"/>
        <v>17.729752490602802</v>
      </c>
      <c r="F97" s="72">
        <f t="shared" ca="1" si="12"/>
        <v>2116.2589775690567</v>
      </c>
      <c r="G97" s="72">
        <f t="shared" ca="1" si="13"/>
        <v>65.888315258026523</v>
      </c>
      <c r="H97" s="72">
        <f t="shared" ca="1" si="14"/>
        <v>2182.1472928270832</v>
      </c>
      <c r="I97" s="72">
        <f t="shared" ca="1" si="15"/>
        <v>2199.8770453176862</v>
      </c>
      <c r="J97" s="72">
        <f t="shared" ca="1" si="16"/>
        <v>83.618067748629528</v>
      </c>
    </row>
    <row r="98" spans="1:10" x14ac:dyDescent="0.3">
      <c r="A98" s="30">
        <v>85</v>
      </c>
      <c r="B98" s="72">
        <f t="shared" ca="1" si="9"/>
        <v>0.58459390167425218</v>
      </c>
      <c r="C98" s="72">
        <f t="shared" ca="1" si="9"/>
        <v>0.39880018228841518</v>
      </c>
      <c r="D98" s="72">
        <f t="shared" ca="1" si="10"/>
        <v>21.962467175925813</v>
      </c>
      <c r="E98" s="72">
        <f t="shared" ca="1" si="11"/>
        <v>11.307287206910527</v>
      </c>
      <c r="F98" s="72">
        <f t="shared" ca="1" si="12"/>
        <v>2138.2214447449824</v>
      </c>
      <c r="G98" s="72">
        <f t="shared" ca="1" si="13"/>
        <v>61.655600572703861</v>
      </c>
      <c r="H98" s="72">
        <f t="shared" ca="1" si="14"/>
        <v>2199.8770453176862</v>
      </c>
      <c r="I98" s="72">
        <f t="shared" ca="1" si="15"/>
        <v>2211.1843325245968</v>
      </c>
      <c r="J98" s="72">
        <f t="shared" ca="1" si="16"/>
        <v>72.962887779614448</v>
      </c>
    </row>
    <row r="99" spans="1:10" x14ac:dyDescent="0.3">
      <c r="A99" s="30">
        <v>86</v>
      </c>
      <c r="B99" s="72">
        <f t="shared" ca="1" si="9"/>
        <v>0.7899887869044645</v>
      </c>
      <c r="C99" s="72">
        <f t="shared" ca="1" si="9"/>
        <v>0.13940503842117957</v>
      </c>
      <c r="D99" s="72">
        <f t="shared" ca="1" si="10"/>
        <v>39.014858849928537</v>
      </c>
      <c r="E99" s="72">
        <f t="shared" ca="1" si="11"/>
        <v>3.3362514030997366</v>
      </c>
      <c r="F99" s="72">
        <f t="shared" ca="1" si="12"/>
        <v>2177.2363035949111</v>
      </c>
      <c r="G99" s="72">
        <f t="shared" ca="1" si="13"/>
        <v>33.948028929685734</v>
      </c>
      <c r="H99" s="72">
        <f t="shared" ca="1" si="14"/>
        <v>2211.1843325245968</v>
      </c>
      <c r="I99" s="72">
        <f t="shared" ca="1" si="15"/>
        <v>2214.5205839276964</v>
      </c>
      <c r="J99" s="72">
        <f t="shared" ca="1" si="16"/>
        <v>37.284280332785329</v>
      </c>
    </row>
    <row r="100" spans="1:10" x14ac:dyDescent="0.3">
      <c r="A100" s="30">
        <v>87</v>
      </c>
      <c r="B100" s="72">
        <f t="shared" ca="1" si="9"/>
        <v>2.9578465116809838E-2</v>
      </c>
      <c r="C100" s="72">
        <f t="shared" ca="1" si="9"/>
        <v>0.89758405408982145</v>
      </c>
      <c r="D100" s="72">
        <f t="shared" ca="1" si="10"/>
        <v>0.75061824598164351</v>
      </c>
      <c r="E100" s="72">
        <f t="shared" ca="1" si="11"/>
        <v>50.638063482689333</v>
      </c>
      <c r="F100" s="72">
        <f t="shared" ca="1" si="12"/>
        <v>2177.9869218408926</v>
      </c>
      <c r="G100" s="72">
        <f t="shared" ca="1" si="13"/>
        <v>36.533662086803815</v>
      </c>
      <c r="H100" s="72">
        <f t="shared" ca="1" si="14"/>
        <v>2214.5205839276964</v>
      </c>
      <c r="I100" s="72">
        <f t="shared" ca="1" si="15"/>
        <v>2265.1586474103856</v>
      </c>
      <c r="J100" s="72">
        <f t="shared" ca="1" si="16"/>
        <v>87.171725569492992</v>
      </c>
    </row>
    <row r="101" spans="1:10" x14ac:dyDescent="0.3">
      <c r="A101" s="30">
        <v>88</v>
      </c>
      <c r="B101" s="72">
        <f t="shared" ca="1" si="9"/>
        <v>0.26119500029599885</v>
      </c>
      <c r="C101" s="72">
        <f t="shared" ca="1" si="9"/>
        <v>0.18034296659035143</v>
      </c>
      <c r="D101" s="72">
        <f t="shared" ca="1" si="10"/>
        <v>7.568031583728553</v>
      </c>
      <c r="E101" s="72">
        <f t="shared" ca="1" si="11"/>
        <v>4.4193172923340036</v>
      </c>
      <c r="F101" s="72">
        <f t="shared" ca="1" si="12"/>
        <v>2185.5549534246211</v>
      </c>
      <c r="G101" s="72">
        <f t="shared" ca="1" si="13"/>
        <v>79.603693985764494</v>
      </c>
      <c r="H101" s="72">
        <f t="shared" ca="1" si="14"/>
        <v>2265.1586474103856</v>
      </c>
      <c r="I101" s="72">
        <f t="shared" ca="1" si="15"/>
        <v>2269.5779647027198</v>
      </c>
      <c r="J101" s="72">
        <f t="shared" ca="1" si="16"/>
        <v>84.023011278098693</v>
      </c>
    </row>
    <row r="102" spans="1:10" x14ac:dyDescent="0.3">
      <c r="A102" s="30">
        <v>89</v>
      </c>
      <c r="B102" s="72">
        <f t="shared" ca="1" si="9"/>
        <v>0.64950358074786463</v>
      </c>
      <c r="C102" s="72">
        <f t="shared" ca="1" si="9"/>
        <v>8.2136582710071737E-2</v>
      </c>
      <c r="D102" s="72">
        <f t="shared" ca="1" si="10"/>
        <v>26.21011971683534</v>
      </c>
      <c r="E102" s="72">
        <f t="shared" ca="1" si="11"/>
        <v>1.9045929408776989</v>
      </c>
      <c r="F102" s="72">
        <f t="shared" ca="1" si="12"/>
        <v>2211.7650731414565</v>
      </c>
      <c r="G102" s="72">
        <f t="shared" ca="1" si="13"/>
        <v>57.812891561263314</v>
      </c>
      <c r="H102" s="72">
        <f t="shared" ca="1" si="14"/>
        <v>2269.5779647027198</v>
      </c>
      <c r="I102" s="72">
        <f t="shared" ca="1" si="15"/>
        <v>2271.4825576435974</v>
      </c>
      <c r="J102" s="72">
        <f t="shared" ca="1" si="16"/>
        <v>59.717484502140906</v>
      </c>
    </row>
    <row r="103" spans="1:10" x14ac:dyDescent="0.3">
      <c r="A103" s="30">
        <v>90</v>
      </c>
      <c r="B103" s="72">
        <f t="shared" ca="1" si="9"/>
        <v>0.59210592974555087</v>
      </c>
      <c r="C103" s="72">
        <f t="shared" ca="1" si="9"/>
        <v>0.34596842508445724</v>
      </c>
      <c r="D103" s="72">
        <f t="shared" ca="1" si="10"/>
        <v>22.418694250435479</v>
      </c>
      <c r="E103" s="72">
        <f t="shared" ca="1" si="11"/>
        <v>9.4355477556220144</v>
      </c>
      <c r="F103" s="72">
        <f t="shared" ca="1" si="12"/>
        <v>2234.1837673918922</v>
      </c>
      <c r="G103" s="72">
        <f t="shared" ca="1" si="13"/>
        <v>37.298790251705213</v>
      </c>
      <c r="H103" s="72">
        <f t="shared" ca="1" si="14"/>
        <v>2271.4825576435974</v>
      </c>
      <c r="I103" s="72">
        <f t="shared" ca="1" si="15"/>
        <v>2280.9181053992193</v>
      </c>
      <c r="J103" s="72">
        <f t="shared" ca="1" si="16"/>
        <v>46.734338007327096</v>
      </c>
    </row>
    <row r="104" spans="1:10" x14ac:dyDescent="0.3">
      <c r="A104" s="30">
        <v>91</v>
      </c>
      <c r="B104" s="72">
        <f t="shared" ca="1" si="9"/>
        <v>0.70435028115168963</v>
      </c>
      <c r="C104" s="72">
        <f t="shared" ca="1" si="9"/>
        <v>0.45385433060122782</v>
      </c>
      <c r="D104" s="72">
        <f t="shared" ca="1" si="10"/>
        <v>30.464497691924674</v>
      </c>
      <c r="E104" s="72">
        <f t="shared" ca="1" si="11"/>
        <v>13.441545445549249</v>
      </c>
      <c r="F104" s="72">
        <f t="shared" ca="1" si="12"/>
        <v>2264.648265083817</v>
      </c>
      <c r="G104" s="72">
        <f t="shared" ca="1" si="13"/>
        <v>16.269840315402234</v>
      </c>
      <c r="H104" s="72">
        <f t="shared" ca="1" si="14"/>
        <v>2280.9181053992193</v>
      </c>
      <c r="I104" s="72">
        <f t="shared" ca="1" si="15"/>
        <v>2294.3596508447686</v>
      </c>
      <c r="J104" s="72">
        <f t="shared" ca="1" si="16"/>
        <v>29.711385760951543</v>
      </c>
    </row>
    <row r="105" spans="1:10" x14ac:dyDescent="0.3">
      <c r="A105" s="30">
        <v>92</v>
      </c>
      <c r="B105" s="72">
        <f t="shared" ca="1" si="9"/>
        <v>0.13449000959764368</v>
      </c>
      <c r="C105" s="72">
        <f t="shared" ca="1" si="9"/>
        <v>0.7316481340504476</v>
      </c>
      <c r="D105" s="72">
        <f t="shared" ca="1" si="10"/>
        <v>3.610909037665095</v>
      </c>
      <c r="E105" s="72">
        <f t="shared" ca="1" si="11"/>
        <v>29.232360599246658</v>
      </c>
      <c r="F105" s="72">
        <f t="shared" ca="1" si="12"/>
        <v>2268.2591741214819</v>
      </c>
      <c r="G105" s="72">
        <f t="shared" ca="1" si="13"/>
        <v>26.100476723286647</v>
      </c>
      <c r="H105" s="72">
        <f t="shared" ca="1" si="14"/>
        <v>2294.3596508447686</v>
      </c>
      <c r="I105" s="72">
        <f t="shared" ca="1" si="15"/>
        <v>2323.592011444015</v>
      </c>
      <c r="J105" s="72">
        <f t="shared" ca="1" si="16"/>
        <v>55.332837322533123</v>
      </c>
    </row>
    <row r="106" spans="1:10" x14ac:dyDescent="0.3">
      <c r="A106" s="30">
        <v>93</v>
      </c>
      <c r="B106" s="72">
        <f t="shared" ca="1" si="9"/>
        <v>0.57608863722876613</v>
      </c>
      <c r="C106" s="72">
        <f t="shared" ca="1" si="9"/>
        <v>4.7990237527999247E-2</v>
      </c>
      <c r="D106" s="72">
        <f t="shared" ca="1" si="10"/>
        <v>21.455772391800878</v>
      </c>
      <c r="E106" s="72">
        <f t="shared" ca="1" si="11"/>
        <v>1.0928886565749121</v>
      </c>
      <c r="F106" s="72">
        <f t="shared" ca="1" si="12"/>
        <v>2289.7149465132829</v>
      </c>
      <c r="G106" s="72">
        <f t="shared" ca="1" si="13"/>
        <v>33.877064930732104</v>
      </c>
      <c r="H106" s="72">
        <f t="shared" ca="1" si="14"/>
        <v>2323.592011444015</v>
      </c>
      <c r="I106" s="72">
        <f t="shared" ca="1" si="15"/>
        <v>2324.6849001005899</v>
      </c>
      <c r="J106" s="72">
        <f t="shared" ca="1" si="16"/>
        <v>34.969953587306918</v>
      </c>
    </row>
    <row r="107" spans="1:10" x14ac:dyDescent="0.3">
      <c r="A107" s="30">
        <v>94</v>
      </c>
      <c r="B107" s="72">
        <f t="shared" ca="1" si="9"/>
        <v>0.65498474727310974</v>
      </c>
      <c r="C107" s="72">
        <f t="shared" ca="1" si="9"/>
        <v>0.80175705883989146</v>
      </c>
      <c r="D107" s="72">
        <f t="shared" ca="1" si="10"/>
        <v>26.60416630313664</v>
      </c>
      <c r="E107" s="72">
        <f t="shared" ca="1" si="11"/>
        <v>35.961378330018825</v>
      </c>
      <c r="F107" s="72">
        <f t="shared" ca="1" si="12"/>
        <v>2316.3191128164194</v>
      </c>
      <c r="G107" s="72">
        <f t="shared" ca="1" si="13"/>
        <v>8.3657872841704375</v>
      </c>
      <c r="H107" s="72">
        <f t="shared" ca="1" si="14"/>
        <v>2324.6849001005899</v>
      </c>
      <c r="I107" s="72">
        <f t="shared" ca="1" si="15"/>
        <v>2360.6462784306086</v>
      </c>
      <c r="J107" s="72">
        <f t="shared" ca="1" si="16"/>
        <v>44.327165614189198</v>
      </c>
    </row>
    <row r="108" spans="1:10" x14ac:dyDescent="0.3">
      <c r="A108" s="30">
        <v>95</v>
      </c>
      <c r="B108" s="72">
        <f t="shared" ca="1" si="9"/>
        <v>0.27771082291918259</v>
      </c>
      <c r="C108" s="72">
        <f t="shared" ca="1" si="9"/>
        <v>0.84544810928032721</v>
      </c>
      <c r="D108" s="72">
        <f t="shared" ca="1" si="10"/>
        <v>8.1332424501086358</v>
      </c>
      <c r="E108" s="72">
        <f t="shared" ca="1" si="11"/>
        <v>41.493897261559709</v>
      </c>
      <c r="F108" s="72">
        <f t="shared" ca="1" si="12"/>
        <v>2324.4523552665282</v>
      </c>
      <c r="G108" s="72">
        <f t="shared" ca="1" si="13"/>
        <v>36.193923164080388</v>
      </c>
      <c r="H108" s="72">
        <f t="shared" ca="1" si="14"/>
        <v>2360.6462784306086</v>
      </c>
      <c r="I108" s="72">
        <f t="shared" ca="1" si="15"/>
        <v>2402.1401756921682</v>
      </c>
      <c r="J108" s="72">
        <f t="shared" ca="1" si="16"/>
        <v>77.687820425639984</v>
      </c>
    </row>
    <row r="109" spans="1:10" x14ac:dyDescent="0.3">
      <c r="A109" s="30">
        <v>96</v>
      </c>
      <c r="B109" s="72">
        <f t="shared" ca="1" si="9"/>
        <v>0.30631811026864764</v>
      </c>
      <c r="C109" s="72">
        <f t="shared" ca="1" si="9"/>
        <v>0.72508587881971998</v>
      </c>
      <c r="D109" s="72">
        <f t="shared" ca="1" si="10"/>
        <v>9.1435448926245702</v>
      </c>
      <c r="E109" s="72">
        <f t="shared" ca="1" si="11"/>
        <v>28.695478148985533</v>
      </c>
      <c r="F109" s="72">
        <f t="shared" ca="1" si="12"/>
        <v>2333.5959001591527</v>
      </c>
      <c r="G109" s="72">
        <f t="shared" ca="1" si="13"/>
        <v>68.54427553301548</v>
      </c>
      <c r="H109" s="72">
        <f t="shared" ca="1" si="14"/>
        <v>2402.1401756921682</v>
      </c>
      <c r="I109" s="72">
        <f t="shared" ca="1" si="15"/>
        <v>2430.8356538411535</v>
      </c>
      <c r="J109" s="72">
        <f t="shared" ca="1" si="16"/>
        <v>97.23975368200081</v>
      </c>
    </row>
    <row r="110" spans="1:10" x14ac:dyDescent="0.3">
      <c r="A110" s="30">
        <v>97</v>
      </c>
      <c r="B110" s="72">
        <f t="shared" ca="1" si="9"/>
        <v>0.8868064125878059</v>
      </c>
      <c r="C110" s="72">
        <f t="shared" ca="1" si="9"/>
        <v>0.82191774298021325</v>
      </c>
      <c r="D110" s="72">
        <f t="shared" ca="1" si="10"/>
        <v>54.466394077995062</v>
      </c>
      <c r="E110" s="72">
        <f t="shared" ca="1" si="11"/>
        <v>38.34466038544538</v>
      </c>
      <c r="F110" s="72">
        <f t="shared" ca="1" si="12"/>
        <v>2388.0622942371479</v>
      </c>
      <c r="G110" s="72">
        <f t="shared" ca="1" si="13"/>
        <v>42.773359604005691</v>
      </c>
      <c r="H110" s="72">
        <f t="shared" ca="1" si="14"/>
        <v>2430.8356538411535</v>
      </c>
      <c r="I110" s="72">
        <f t="shared" ca="1" si="15"/>
        <v>2469.180314226599</v>
      </c>
      <c r="J110" s="72">
        <f t="shared" ca="1" si="16"/>
        <v>81.118019989451113</v>
      </c>
    </row>
    <row r="111" spans="1:10" x14ac:dyDescent="0.3">
      <c r="A111" s="30">
        <v>98</v>
      </c>
      <c r="B111" s="72">
        <f t="shared" ca="1" si="9"/>
        <v>0.88056314054784046</v>
      </c>
      <c r="C111" s="72">
        <f t="shared" ca="1" si="9"/>
        <v>0.80952543586833026</v>
      </c>
      <c r="D111" s="72">
        <f t="shared" ca="1" si="10"/>
        <v>53.124185500848434</v>
      </c>
      <c r="E111" s="72">
        <f t="shared" ca="1" si="11"/>
        <v>36.849702554415948</v>
      </c>
      <c r="F111" s="72">
        <f t="shared" ca="1" si="12"/>
        <v>2441.1864797379963</v>
      </c>
      <c r="G111" s="72">
        <f t="shared" ca="1" si="13"/>
        <v>27.993834488602715</v>
      </c>
      <c r="H111" s="72">
        <f t="shared" ca="1" si="14"/>
        <v>2469.180314226599</v>
      </c>
      <c r="I111" s="72">
        <f t="shared" ca="1" si="15"/>
        <v>2506.0300167810151</v>
      </c>
      <c r="J111" s="72">
        <f t="shared" ca="1" si="16"/>
        <v>64.843537043018841</v>
      </c>
    </row>
    <row r="112" spans="1:10" x14ac:dyDescent="0.3">
      <c r="A112" s="30">
        <v>99</v>
      </c>
      <c r="B112" s="72">
        <f t="shared" ref="B112:C143" ca="1" si="17">RAND()</f>
        <v>0.88309668481553116</v>
      </c>
      <c r="C112" s="72">
        <f t="shared" ca="1" si="17"/>
        <v>0.80675078258736621</v>
      </c>
      <c r="D112" s="72">
        <f t="shared" ca="1" si="10"/>
        <v>53.660201293941221</v>
      </c>
      <c r="E112" s="72">
        <f t="shared" ca="1" si="11"/>
        <v>36.528325358533664</v>
      </c>
      <c r="F112" s="72">
        <f t="shared" ca="1" si="12"/>
        <v>2494.8466810319374</v>
      </c>
      <c r="G112" s="72">
        <f t="shared" ca="1" si="13"/>
        <v>11.183335749077742</v>
      </c>
      <c r="H112" s="72">
        <f t="shared" ca="1" si="14"/>
        <v>2506.0300167810151</v>
      </c>
      <c r="I112" s="72">
        <f t="shared" ca="1" si="15"/>
        <v>2542.5583421395486</v>
      </c>
      <c r="J112" s="72">
        <f t="shared" ca="1" si="16"/>
        <v>47.711661107611235</v>
      </c>
    </row>
    <row r="113" spans="1:10" x14ac:dyDescent="0.3">
      <c r="A113" s="30">
        <v>100</v>
      </c>
      <c r="B113" s="72">
        <f t="shared" ca="1" si="17"/>
        <v>0.94667065310380472</v>
      </c>
      <c r="C113" s="72">
        <f t="shared" ca="1" si="17"/>
        <v>0.37335160330831563</v>
      </c>
      <c r="D113" s="72">
        <f t="shared" ca="1" si="10"/>
        <v>73.281712522658921</v>
      </c>
      <c r="E113" s="72">
        <f t="shared" ca="1" si="11"/>
        <v>10.385992588147589</v>
      </c>
      <c r="F113" s="72">
        <f t="shared" ca="1" si="12"/>
        <v>2568.1283935545962</v>
      </c>
      <c r="G113" s="72">
        <f t="shared" ca="1" si="13"/>
        <v>0</v>
      </c>
      <c r="H113" s="72">
        <f t="shared" ca="1" si="14"/>
        <v>2568.1283935545962</v>
      </c>
      <c r="I113" s="72">
        <f t="shared" ca="1" si="15"/>
        <v>2578.5143861427437</v>
      </c>
      <c r="J113" s="72">
        <f t="shared" ca="1" si="16"/>
        <v>10.385992588147474</v>
      </c>
    </row>
    <row r="114" spans="1:10" x14ac:dyDescent="0.3">
      <c r="A114" s="30">
        <v>101</v>
      </c>
      <c r="B114" s="72">
        <f t="shared" ca="1" si="17"/>
        <v>0.53054257320492193</v>
      </c>
      <c r="C114" s="72">
        <f t="shared" ca="1" si="17"/>
        <v>0.78191014310924478</v>
      </c>
      <c r="D114" s="72">
        <f t="shared" ca="1" si="10"/>
        <v>18.904441554951443</v>
      </c>
      <c r="E114" s="72">
        <f t="shared" ca="1" si="11"/>
        <v>33.841069189927502</v>
      </c>
      <c r="F114" s="72">
        <f t="shared" ca="1" si="12"/>
        <v>2587.0328351095477</v>
      </c>
      <c r="G114" s="72">
        <f t="shared" ca="1" si="13"/>
        <v>0</v>
      </c>
      <c r="H114" s="72">
        <f t="shared" ca="1" si="14"/>
        <v>2587.0328351095477</v>
      </c>
      <c r="I114" s="72">
        <f t="shared" ca="1" si="15"/>
        <v>2620.8739042994753</v>
      </c>
      <c r="J114" s="72">
        <f t="shared" ca="1" si="16"/>
        <v>33.841069189927566</v>
      </c>
    </row>
    <row r="115" spans="1:10" x14ac:dyDescent="0.3">
      <c r="A115" s="30">
        <v>102</v>
      </c>
      <c r="B115" s="72">
        <f t="shared" ca="1" si="17"/>
        <v>0.31089440553969316</v>
      </c>
      <c r="C115" s="72">
        <f t="shared" ca="1" si="17"/>
        <v>0.89417110077894024</v>
      </c>
      <c r="D115" s="72">
        <f t="shared" ca="1" si="10"/>
        <v>9.3090190537272477</v>
      </c>
      <c r="E115" s="72">
        <f t="shared" ca="1" si="11"/>
        <v>49.909592162645644</v>
      </c>
      <c r="F115" s="72">
        <f t="shared" ca="1" si="12"/>
        <v>2596.341854163275</v>
      </c>
      <c r="G115" s="72">
        <f t="shared" ca="1" si="13"/>
        <v>24.532050136200269</v>
      </c>
      <c r="H115" s="72">
        <f t="shared" ca="1" si="14"/>
        <v>2620.8739042994753</v>
      </c>
      <c r="I115" s="72">
        <f t="shared" ca="1" si="15"/>
        <v>2670.7834964621211</v>
      </c>
      <c r="J115" s="72">
        <f t="shared" ca="1" si="16"/>
        <v>74.441642298846091</v>
      </c>
    </row>
    <row r="116" spans="1:10" x14ac:dyDescent="0.3">
      <c r="A116" s="30">
        <v>103</v>
      </c>
      <c r="B116" s="72">
        <f t="shared" ca="1" si="17"/>
        <v>6.9128598039933764E-2</v>
      </c>
      <c r="C116" s="72">
        <f t="shared" ca="1" si="17"/>
        <v>0.93480932538572348</v>
      </c>
      <c r="D116" s="72">
        <f t="shared" ca="1" si="10"/>
        <v>1.7908535045576572</v>
      </c>
      <c r="E116" s="72">
        <f t="shared" ca="1" si="11"/>
        <v>60.676418837051528</v>
      </c>
      <c r="F116" s="72">
        <f t="shared" ca="1" si="12"/>
        <v>2598.1327076678326</v>
      </c>
      <c r="G116" s="72">
        <f t="shared" ca="1" si="13"/>
        <v>72.650788794288474</v>
      </c>
      <c r="H116" s="72">
        <f t="shared" ca="1" si="14"/>
        <v>2670.7834964621211</v>
      </c>
      <c r="I116" s="72">
        <f t="shared" ca="1" si="15"/>
        <v>2731.4599152991727</v>
      </c>
      <c r="J116" s="72">
        <f t="shared" ca="1" si="16"/>
        <v>133.32720763134012</v>
      </c>
    </row>
    <row r="117" spans="1:10" x14ac:dyDescent="0.3">
      <c r="A117" s="30">
        <v>104</v>
      </c>
      <c r="B117" s="72">
        <f t="shared" ca="1" si="17"/>
        <v>0.25184627054968034</v>
      </c>
      <c r="C117" s="72">
        <f t="shared" ca="1" si="17"/>
        <v>0.52681836721498498</v>
      </c>
      <c r="D117" s="72">
        <f t="shared" ca="1" si="10"/>
        <v>7.2536700367157243</v>
      </c>
      <c r="E117" s="72">
        <f t="shared" ca="1" si="11"/>
        <v>16.628354723118246</v>
      </c>
      <c r="F117" s="72">
        <f t="shared" ca="1" si="12"/>
        <v>2605.3863777045485</v>
      </c>
      <c r="G117" s="72">
        <f t="shared" ca="1" si="13"/>
        <v>126.07353759462421</v>
      </c>
      <c r="H117" s="72">
        <f t="shared" ca="1" si="14"/>
        <v>2731.4599152991727</v>
      </c>
      <c r="I117" s="72">
        <f t="shared" ca="1" si="15"/>
        <v>2748.088270022291</v>
      </c>
      <c r="J117" s="72">
        <f t="shared" ca="1" si="16"/>
        <v>142.70189231774248</v>
      </c>
    </row>
    <row r="118" spans="1:10" x14ac:dyDescent="0.3">
      <c r="A118" s="30">
        <v>105</v>
      </c>
      <c r="B118" s="72">
        <f t="shared" ca="1" si="17"/>
        <v>0.66180096939488064</v>
      </c>
      <c r="C118" s="72">
        <f t="shared" ca="1" si="17"/>
        <v>0.86823810992712713</v>
      </c>
      <c r="D118" s="72">
        <f t="shared" ca="1" si="10"/>
        <v>27.103017721447486</v>
      </c>
      <c r="E118" s="72">
        <f t="shared" ca="1" si="11"/>
        <v>45.039085520005997</v>
      </c>
      <c r="F118" s="72">
        <f t="shared" ca="1" si="12"/>
        <v>2632.489395425996</v>
      </c>
      <c r="G118" s="72">
        <f t="shared" ca="1" si="13"/>
        <v>115.59887459629499</v>
      </c>
      <c r="H118" s="72">
        <f t="shared" ca="1" si="14"/>
        <v>2748.088270022291</v>
      </c>
      <c r="I118" s="72">
        <f t="shared" ca="1" si="15"/>
        <v>2793.1273555422972</v>
      </c>
      <c r="J118" s="72">
        <f t="shared" ca="1" si="16"/>
        <v>160.6379601163012</v>
      </c>
    </row>
    <row r="119" spans="1:10" x14ac:dyDescent="0.3">
      <c r="A119" s="30">
        <v>106</v>
      </c>
      <c r="B119" s="72">
        <f t="shared" ca="1" si="17"/>
        <v>0.6471161105808596</v>
      </c>
      <c r="C119" s="72">
        <f t="shared" ca="1" si="17"/>
        <v>0.64981543775244388</v>
      </c>
      <c r="D119" s="72">
        <f t="shared" ca="1" si="10"/>
        <v>26.040405032870694</v>
      </c>
      <c r="E119" s="72">
        <f t="shared" ca="1" si="11"/>
        <v>23.317665395024026</v>
      </c>
      <c r="F119" s="72">
        <f t="shared" ca="1" si="12"/>
        <v>2658.5298004588667</v>
      </c>
      <c r="G119" s="72">
        <f t="shared" ca="1" si="13"/>
        <v>134.59755508343051</v>
      </c>
      <c r="H119" s="72">
        <f t="shared" ca="1" si="14"/>
        <v>2793.1273555422972</v>
      </c>
      <c r="I119" s="72">
        <f t="shared" ca="1" si="15"/>
        <v>2816.4450209373213</v>
      </c>
      <c r="J119" s="72">
        <f t="shared" ca="1" si="16"/>
        <v>157.91522047845456</v>
      </c>
    </row>
    <row r="120" spans="1:10" x14ac:dyDescent="0.3">
      <c r="A120" s="30">
        <v>107</v>
      </c>
      <c r="B120" s="72">
        <f t="shared" ca="1" si="17"/>
        <v>0.22776149610340146</v>
      </c>
      <c r="C120" s="72">
        <f t="shared" ca="1" si="17"/>
        <v>0.79668250188710665</v>
      </c>
      <c r="D120" s="72">
        <f t="shared" ca="1" si="10"/>
        <v>6.4615458449785335</v>
      </c>
      <c r="E120" s="72">
        <f t="shared" ca="1" si="11"/>
        <v>35.399699814419122</v>
      </c>
      <c r="F120" s="72">
        <f t="shared" ca="1" si="12"/>
        <v>2664.9913463038451</v>
      </c>
      <c r="G120" s="72">
        <f t="shared" ca="1" si="13"/>
        <v>151.45367463347611</v>
      </c>
      <c r="H120" s="72">
        <f t="shared" ca="1" si="14"/>
        <v>2816.4450209373213</v>
      </c>
      <c r="I120" s="72">
        <f t="shared" ca="1" si="15"/>
        <v>2851.8447207517402</v>
      </c>
      <c r="J120" s="72">
        <f t="shared" ca="1" si="16"/>
        <v>186.85337444789502</v>
      </c>
    </row>
    <row r="121" spans="1:10" x14ac:dyDescent="0.3">
      <c r="A121" s="30">
        <v>108</v>
      </c>
      <c r="B121" s="72">
        <f t="shared" ca="1" si="17"/>
        <v>0.29360882954471768</v>
      </c>
      <c r="C121" s="72">
        <f t="shared" ca="1" si="17"/>
        <v>0.54574023618550627</v>
      </c>
      <c r="D121" s="72">
        <f t="shared" ca="1" si="10"/>
        <v>8.689653228149842</v>
      </c>
      <c r="E121" s="72">
        <f t="shared" ca="1" si="11"/>
        <v>17.535246168302994</v>
      </c>
      <c r="F121" s="72">
        <f t="shared" ca="1" si="12"/>
        <v>2673.680999531995</v>
      </c>
      <c r="G121" s="72">
        <f t="shared" ca="1" si="13"/>
        <v>178.16372121974518</v>
      </c>
      <c r="H121" s="72">
        <f t="shared" ca="1" si="14"/>
        <v>2851.8447207517402</v>
      </c>
      <c r="I121" s="72">
        <f t="shared" ca="1" si="15"/>
        <v>2869.379966920043</v>
      </c>
      <c r="J121" s="72">
        <f t="shared" ca="1" si="16"/>
        <v>195.698967388048</v>
      </c>
    </row>
    <row r="122" spans="1:10" x14ac:dyDescent="0.3">
      <c r="A122" s="30">
        <v>109</v>
      </c>
      <c r="B122" s="72">
        <f t="shared" ca="1" si="17"/>
        <v>0.52751024505232891</v>
      </c>
      <c r="C122" s="72">
        <f t="shared" ca="1" si="17"/>
        <v>0.94861556927216195</v>
      </c>
      <c r="D122" s="72">
        <f t="shared" ca="1" si="10"/>
        <v>18.743480373346081</v>
      </c>
      <c r="E122" s="72">
        <f t="shared" ca="1" si="11"/>
        <v>65.964890145186743</v>
      </c>
      <c r="F122" s="72">
        <f t="shared" ca="1" si="12"/>
        <v>2692.4244799053413</v>
      </c>
      <c r="G122" s="72">
        <f t="shared" ca="1" si="13"/>
        <v>176.9554870147017</v>
      </c>
      <c r="H122" s="72">
        <f t="shared" ca="1" si="14"/>
        <v>2869.379966920043</v>
      </c>
      <c r="I122" s="72">
        <f t="shared" ca="1" si="15"/>
        <v>2935.3448570652299</v>
      </c>
      <c r="J122" s="72">
        <f t="shared" ca="1" si="16"/>
        <v>242.92037715988863</v>
      </c>
    </row>
    <row r="123" spans="1:10" x14ac:dyDescent="0.3">
      <c r="A123" s="30">
        <v>110</v>
      </c>
      <c r="B123" s="72">
        <f t="shared" ca="1" si="17"/>
        <v>0.72898290155855938</v>
      </c>
      <c r="C123" s="72">
        <f t="shared" ca="1" si="17"/>
        <v>0.42630929715885857</v>
      </c>
      <c r="D123" s="72">
        <f t="shared" ca="1" si="10"/>
        <v>32.639334155322913</v>
      </c>
      <c r="E123" s="72">
        <f t="shared" ca="1" si="11"/>
        <v>12.348108291473865</v>
      </c>
      <c r="F123" s="72">
        <f t="shared" ca="1" si="12"/>
        <v>2725.0638140606643</v>
      </c>
      <c r="G123" s="72">
        <f t="shared" ca="1" si="13"/>
        <v>210.28104300456562</v>
      </c>
      <c r="H123" s="72">
        <f t="shared" ca="1" si="14"/>
        <v>2935.3448570652299</v>
      </c>
      <c r="I123" s="72">
        <f t="shared" ca="1" si="15"/>
        <v>2947.692965356704</v>
      </c>
      <c r="J123" s="72">
        <f t="shared" ca="1" si="16"/>
        <v>222.62915129603971</v>
      </c>
    </row>
    <row r="124" spans="1:10" x14ac:dyDescent="0.3">
      <c r="A124" s="30">
        <v>111</v>
      </c>
      <c r="B124" s="72">
        <f t="shared" ca="1" si="17"/>
        <v>0.61089198202823991</v>
      </c>
      <c r="C124" s="72">
        <f t="shared" ca="1" si="17"/>
        <v>0.61675608513831515</v>
      </c>
      <c r="D124" s="72">
        <f t="shared" ca="1" si="10"/>
        <v>23.597457318715797</v>
      </c>
      <c r="E124" s="72">
        <f t="shared" ca="1" si="11"/>
        <v>21.312969757373576</v>
      </c>
      <c r="F124" s="72">
        <f t="shared" ca="1" si="12"/>
        <v>2748.6612713793802</v>
      </c>
      <c r="G124" s="72">
        <f t="shared" ca="1" si="13"/>
        <v>199.03169397732381</v>
      </c>
      <c r="H124" s="72">
        <f t="shared" ca="1" si="14"/>
        <v>2947.692965356704</v>
      </c>
      <c r="I124" s="72">
        <f t="shared" ca="1" si="15"/>
        <v>2969.0059351140776</v>
      </c>
      <c r="J124" s="72">
        <f t="shared" ca="1" si="16"/>
        <v>220.34466373469741</v>
      </c>
    </row>
    <row r="125" spans="1:10" x14ac:dyDescent="0.3">
      <c r="A125" s="30">
        <v>112</v>
      </c>
      <c r="B125" s="72">
        <f t="shared" ca="1" si="17"/>
        <v>0.34951138225701772</v>
      </c>
      <c r="C125" s="72">
        <f t="shared" ca="1" si="17"/>
        <v>8.6421926931407156E-2</v>
      </c>
      <c r="D125" s="72">
        <f t="shared" ca="1" si="10"/>
        <v>10.750786972188333</v>
      </c>
      <c r="E125" s="72">
        <f t="shared" ca="1" si="11"/>
        <v>2.0085875766682819</v>
      </c>
      <c r="F125" s="72">
        <f t="shared" ca="1" si="12"/>
        <v>2759.4120583515687</v>
      </c>
      <c r="G125" s="72">
        <f t="shared" ca="1" si="13"/>
        <v>209.5938767625089</v>
      </c>
      <c r="H125" s="72">
        <f t="shared" ca="1" si="14"/>
        <v>2969.0059351140776</v>
      </c>
      <c r="I125" s="72">
        <f t="shared" ca="1" si="15"/>
        <v>2971.0145226907457</v>
      </c>
      <c r="J125" s="72">
        <f t="shared" ca="1" si="16"/>
        <v>211.602464339177</v>
      </c>
    </row>
    <row r="126" spans="1:10" x14ac:dyDescent="0.3">
      <c r="A126" s="30">
        <v>113</v>
      </c>
      <c r="B126" s="72">
        <f t="shared" ca="1" si="17"/>
        <v>0.78543418499233519</v>
      </c>
      <c r="C126" s="72">
        <f t="shared" ca="1" si="17"/>
        <v>0.30252780650159572</v>
      </c>
      <c r="D126" s="72">
        <f t="shared" ca="1" si="10"/>
        <v>38.478468945104019</v>
      </c>
      <c r="E126" s="72">
        <f t="shared" ca="1" si="11"/>
        <v>8.006502934075403</v>
      </c>
      <c r="F126" s="72">
        <f t="shared" ca="1" si="12"/>
        <v>2797.8905272966726</v>
      </c>
      <c r="G126" s="72">
        <f t="shared" ca="1" si="13"/>
        <v>173.12399539407306</v>
      </c>
      <c r="H126" s="72">
        <f t="shared" ca="1" si="14"/>
        <v>2971.0145226907457</v>
      </c>
      <c r="I126" s="72">
        <f t="shared" ca="1" si="15"/>
        <v>2979.021025624821</v>
      </c>
      <c r="J126" s="72">
        <f t="shared" ca="1" si="16"/>
        <v>181.13049832814841</v>
      </c>
    </row>
    <row r="127" spans="1:10" x14ac:dyDescent="0.3">
      <c r="A127" s="30">
        <v>114</v>
      </c>
      <c r="B127" s="72">
        <f t="shared" ca="1" si="17"/>
        <v>0.87295670566335071</v>
      </c>
      <c r="C127" s="72">
        <f t="shared" ca="1" si="17"/>
        <v>0.50049386114842154</v>
      </c>
      <c r="D127" s="72">
        <f t="shared" ca="1" si="10"/>
        <v>51.580683758206746</v>
      </c>
      <c r="E127" s="72">
        <f t="shared" ca="1" si="11"/>
        <v>15.425230910575555</v>
      </c>
      <c r="F127" s="72">
        <f t="shared" ca="1" si="12"/>
        <v>2849.4712110548794</v>
      </c>
      <c r="G127" s="72">
        <f t="shared" ca="1" si="13"/>
        <v>129.54981456994165</v>
      </c>
      <c r="H127" s="72">
        <f t="shared" ca="1" si="14"/>
        <v>2979.021025624821</v>
      </c>
      <c r="I127" s="72">
        <f t="shared" ca="1" si="15"/>
        <v>2994.4462565353965</v>
      </c>
      <c r="J127" s="72">
        <f t="shared" ca="1" si="16"/>
        <v>144.97504548051711</v>
      </c>
    </row>
    <row r="128" spans="1:10" x14ac:dyDescent="0.3">
      <c r="A128" s="30">
        <v>115</v>
      </c>
      <c r="B128" s="72">
        <f t="shared" ca="1" si="17"/>
        <v>0.3081738804749018</v>
      </c>
      <c r="C128" s="72">
        <f t="shared" ca="1" si="17"/>
        <v>0.65629811624602685</v>
      </c>
      <c r="D128" s="72">
        <f t="shared" ca="1" si="10"/>
        <v>9.2105156825307919</v>
      </c>
      <c r="E128" s="72">
        <f t="shared" ca="1" si="11"/>
        <v>23.732902540724478</v>
      </c>
      <c r="F128" s="72">
        <f t="shared" ca="1" si="12"/>
        <v>2858.6817267374104</v>
      </c>
      <c r="G128" s="72">
        <f t="shared" ca="1" si="13"/>
        <v>135.76452979798614</v>
      </c>
      <c r="H128" s="72">
        <f t="shared" ca="1" si="14"/>
        <v>2994.4462565353965</v>
      </c>
      <c r="I128" s="72">
        <f t="shared" ca="1" si="15"/>
        <v>3018.1791590761209</v>
      </c>
      <c r="J128" s="72">
        <f t="shared" ca="1" si="16"/>
        <v>159.4974323387105</v>
      </c>
    </row>
    <row r="129" spans="1:10" x14ac:dyDescent="0.3">
      <c r="A129" s="30">
        <v>116</v>
      </c>
      <c r="B129" s="72">
        <f t="shared" ca="1" si="17"/>
        <v>0.83750946855733266</v>
      </c>
      <c r="C129" s="72">
        <f t="shared" ca="1" si="17"/>
        <v>0.41594923037011644</v>
      </c>
      <c r="D129" s="72">
        <f t="shared" ca="1" si="10"/>
        <v>45.428388673877933</v>
      </c>
      <c r="E129" s="72">
        <f t="shared" ca="1" si="11"/>
        <v>11.950385902994027</v>
      </c>
      <c r="F129" s="72">
        <f t="shared" ca="1" si="12"/>
        <v>2904.1101154112885</v>
      </c>
      <c r="G129" s="72">
        <f t="shared" ca="1" si="13"/>
        <v>114.06904366483241</v>
      </c>
      <c r="H129" s="72">
        <f t="shared" ca="1" si="14"/>
        <v>3018.1791590761209</v>
      </c>
      <c r="I129" s="72">
        <f t="shared" ca="1" si="15"/>
        <v>3030.1295449791151</v>
      </c>
      <c r="J129" s="72">
        <f t="shared" ca="1" si="16"/>
        <v>126.01942956782659</v>
      </c>
    </row>
    <row r="130" spans="1:10" x14ac:dyDescent="0.3">
      <c r="A130" s="30">
        <v>117</v>
      </c>
      <c r="B130" s="72">
        <f t="shared" ca="1" si="17"/>
        <v>0.83759004855645225</v>
      </c>
      <c r="C130" s="72">
        <f t="shared" ca="1" si="17"/>
        <v>0.8154073393850112</v>
      </c>
      <c r="D130" s="72">
        <f t="shared" ca="1" si="10"/>
        <v>45.440789394254828</v>
      </c>
      <c r="E130" s="72">
        <f t="shared" ca="1" si="11"/>
        <v>37.546749244868998</v>
      </c>
      <c r="F130" s="72">
        <f t="shared" ca="1" si="12"/>
        <v>2949.5509048055433</v>
      </c>
      <c r="G130" s="72">
        <f t="shared" ca="1" si="13"/>
        <v>80.578640173571785</v>
      </c>
      <c r="H130" s="72">
        <f t="shared" ca="1" si="14"/>
        <v>3030.1295449791151</v>
      </c>
      <c r="I130" s="72">
        <f t="shared" ca="1" si="15"/>
        <v>3067.6762942239839</v>
      </c>
      <c r="J130" s="72">
        <f t="shared" ca="1" si="16"/>
        <v>118.12538941844059</v>
      </c>
    </row>
    <row r="131" spans="1:10" x14ac:dyDescent="0.3">
      <c r="A131" s="30">
        <v>118</v>
      </c>
      <c r="B131" s="72">
        <f t="shared" ca="1" si="17"/>
        <v>0.48151645303255131</v>
      </c>
      <c r="C131" s="72">
        <f t="shared" ca="1" si="17"/>
        <v>0.68939520275181632</v>
      </c>
      <c r="D131" s="72">
        <f t="shared" ca="1" si="10"/>
        <v>16.421174594945047</v>
      </c>
      <c r="E131" s="72">
        <f t="shared" ca="1" si="11"/>
        <v>25.982976073031701</v>
      </c>
      <c r="F131" s="72">
        <f t="shared" ca="1" si="12"/>
        <v>2965.9720794004884</v>
      </c>
      <c r="G131" s="72">
        <f t="shared" ca="1" si="13"/>
        <v>101.70421482349548</v>
      </c>
      <c r="H131" s="72">
        <f t="shared" ca="1" si="14"/>
        <v>3067.6762942239839</v>
      </c>
      <c r="I131" s="72">
        <f t="shared" ca="1" si="15"/>
        <v>3093.6592702970156</v>
      </c>
      <c r="J131" s="72">
        <f t="shared" ca="1" si="16"/>
        <v>127.68719089652723</v>
      </c>
    </row>
    <row r="132" spans="1:10" x14ac:dyDescent="0.3">
      <c r="A132" s="30">
        <v>119</v>
      </c>
      <c r="B132" s="72">
        <f t="shared" ca="1" si="17"/>
        <v>0.41054033013538993</v>
      </c>
      <c r="C132" s="72">
        <f t="shared" ca="1" si="17"/>
        <v>0.39617809550138605</v>
      </c>
      <c r="D132" s="72">
        <f t="shared" ca="1" si="10"/>
        <v>13.213724387120696</v>
      </c>
      <c r="E132" s="72">
        <f t="shared" ca="1" si="11"/>
        <v>11.210577436194257</v>
      </c>
      <c r="F132" s="72">
        <f t="shared" ca="1" si="12"/>
        <v>2979.1858037876091</v>
      </c>
      <c r="G132" s="72">
        <f t="shared" ca="1" si="13"/>
        <v>114.47346650940653</v>
      </c>
      <c r="H132" s="72">
        <f t="shared" ca="1" si="14"/>
        <v>3093.6592702970156</v>
      </c>
      <c r="I132" s="72">
        <f t="shared" ca="1" si="15"/>
        <v>3104.86984773321</v>
      </c>
      <c r="J132" s="72">
        <f t="shared" ca="1" si="16"/>
        <v>125.68404394560093</v>
      </c>
    </row>
    <row r="133" spans="1:10" x14ac:dyDescent="0.3">
      <c r="A133" s="30">
        <v>120</v>
      </c>
      <c r="B133" s="72">
        <f t="shared" ca="1" si="17"/>
        <v>0.14807993597987512</v>
      </c>
      <c r="C133" s="72">
        <f t="shared" ca="1" si="17"/>
        <v>0.81142229285254563</v>
      </c>
      <c r="D133" s="72">
        <f t="shared" ca="1" si="10"/>
        <v>4.0065644531740956</v>
      </c>
      <c r="E133" s="72">
        <f t="shared" ca="1" si="11"/>
        <v>37.072113722942021</v>
      </c>
      <c r="F133" s="72">
        <f t="shared" ca="1" si="12"/>
        <v>2983.1923682407833</v>
      </c>
      <c r="G133" s="72">
        <f t="shared" ca="1" si="13"/>
        <v>121.67747949242676</v>
      </c>
      <c r="H133" s="72">
        <f t="shared" ca="1" si="14"/>
        <v>3104.86984773321</v>
      </c>
      <c r="I133" s="72">
        <f t="shared" ca="1" si="15"/>
        <v>3141.9419614561521</v>
      </c>
      <c r="J133" s="72">
        <f t="shared" ca="1" si="16"/>
        <v>158.7495932153688</v>
      </c>
    </row>
    <row r="134" spans="1:10" x14ac:dyDescent="0.3">
      <c r="A134" s="30">
        <v>121</v>
      </c>
      <c r="B134" s="72">
        <f t="shared" ca="1" si="17"/>
        <v>0.14023370763106913</v>
      </c>
      <c r="C134" s="72">
        <f t="shared" ca="1" si="17"/>
        <v>0.49570619450265563</v>
      </c>
      <c r="D134" s="72">
        <f t="shared" ca="1" si="10"/>
        <v>3.7773669931379983</v>
      </c>
      <c r="E134" s="72">
        <f t="shared" ca="1" si="11"/>
        <v>15.213249629849823</v>
      </c>
      <c r="F134" s="72">
        <f t="shared" ca="1" si="12"/>
        <v>2986.9697352339213</v>
      </c>
      <c r="G134" s="72">
        <f t="shared" ca="1" si="13"/>
        <v>154.9722262222308</v>
      </c>
      <c r="H134" s="72">
        <f t="shared" ca="1" si="14"/>
        <v>3141.9419614561521</v>
      </c>
      <c r="I134" s="72">
        <f t="shared" ca="1" si="15"/>
        <v>3157.1552110860021</v>
      </c>
      <c r="J134" s="72">
        <f t="shared" ca="1" si="16"/>
        <v>170.1854758520808</v>
      </c>
    </row>
    <row r="135" spans="1:10" x14ac:dyDescent="0.3">
      <c r="A135" s="30">
        <v>122</v>
      </c>
      <c r="B135" s="72">
        <f t="shared" ca="1" si="17"/>
        <v>0.58195330593673256</v>
      </c>
      <c r="C135" s="72">
        <f t="shared" ca="1" si="17"/>
        <v>5.7807836642916888E-3</v>
      </c>
      <c r="D135" s="72">
        <f t="shared" ca="1" si="10"/>
        <v>21.804053610273947</v>
      </c>
      <c r="E135" s="72">
        <f t="shared" ca="1" si="11"/>
        <v>0.12883460150427886</v>
      </c>
      <c r="F135" s="72">
        <f t="shared" ca="1" si="12"/>
        <v>3008.7737888441952</v>
      </c>
      <c r="G135" s="72">
        <f t="shared" ca="1" si="13"/>
        <v>148.38142224180683</v>
      </c>
      <c r="H135" s="72">
        <f t="shared" ca="1" si="14"/>
        <v>3157.1552110860021</v>
      </c>
      <c r="I135" s="72">
        <f t="shared" ca="1" si="15"/>
        <v>3157.2840456875065</v>
      </c>
      <c r="J135" s="72">
        <f t="shared" ca="1" si="16"/>
        <v>148.51025684331125</v>
      </c>
    </row>
    <row r="136" spans="1:10" x14ac:dyDescent="0.3">
      <c r="A136" s="30">
        <v>123</v>
      </c>
      <c r="B136" s="72">
        <f t="shared" ca="1" si="17"/>
        <v>0.80349165406755529</v>
      </c>
      <c r="C136" s="72">
        <f t="shared" ca="1" si="17"/>
        <v>0.66310230126711445</v>
      </c>
      <c r="D136" s="72">
        <f t="shared" ca="1" si="10"/>
        <v>40.676259390903027</v>
      </c>
      <c r="E136" s="72">
        <f t="shared" ca="1" si="11"/>
        <v>24.177243540126145</v>
      </c>
      <c r="F136" s="72">
        <f t="shared" ca="1" si="12"/>
        <v>3049.4500482350982</v>
      </c>
      <c r="G136" s="72">
        <f t="shared" ca="1" si="13"/>
        <v>107.83399745240831</v>
      </c>
      <c r="H136" s="72">
        <f t="shared" ca="1" si="14"/>
        <v>3157.2840456875065</v>
      </c>
      <c r="I136" s="72">
        <f t="shared" ca="1" si="15"/>
        <v>3181.4612892276327</v>
      </c>
      <c r="J136" s="72">
        <f t="shared" ca="1" si="16"/>
        <v>132.01124099253457</v>
      </c>
    </row>
    <row r="137" spans="1:10" x14ac:dyDescent="0.3">
      <c r="A137" s="30">
        <v>124</v>
      </c>
      <c r="B137" s="72">
        <f t="shared" ca="1" si="17"/>
        <v>0.41380658847483132</v>
      </c>
      <c r="C137" s="72">
        <f t="shared" ca="1" si="17"/>
        <v>0.42837091222113211</v>
      </c>
      <c r="D137" s="72">
        <f t="shared" ca="1" si="10"/>
        <v>13.352637251592023</v>
      </c>
      <c r="E137" s="72">
        <f t="shared" ca="1" si="11"/>
        <v>12.428109908326173</v>
      </c>
      <c r="F137" s="72">
        <f t="shared" ca="1" si="12"/>
        <v>3062.8026854866903</v>
      </c>
      <c r="G137" s="72">
        <f t="shared" ca="1" si="13"/>
        <v>118.65860374094245</v>
      </c>
      <c r="H137" s="72">
        <f t="shared" ca="1" si="14"/>
        <v>3181.4612892276327</v>
      </c>
      <c r="I137" s="72">
        <f t="shared" ca="1" si="15"/>
        <v>3193.8893991359587</v>
      </c>
      <c r="J137" s="72">
        <f t="shared" ca="1" si="16"/>
        <v>131.0867136492684</v>
      </c>
    </row>
    <row r="138" spans="1:10" x14ac:dyDescent="0.3">
      <c r="A138" s="30">
        <v>125</v>
      </c>
      <c r="B138" s="72">
        <f t="shared" ca="1" si="17"/>
        <v>3.8006168243385763E-2</v>
      </c>
      <c r="C138" s="72">
        <f t="shared" ca="1" si="17"/>
        <v>0.72223593082862436</v>
      </c>
      <c r="D138" s="72">
        <f t="shared" ca="1" si="10"/>
        <v>0.96868100580995709</v>
      </c>
      <c r="E138" s="72">
        <f t="shared" ca="1" si="11"/>
        <v>28.466293281398038</v>
      </c>
      <c r="F138" s="72">
        <f t="shared" ca="1" si="12"/>
        <v>3063.7713664925004</v>
      </c>
      <c r="G138" s="72">
        <f t="shared" ca="1" si="13"/>
        <v>130.11803264345826</v>
      </c>
      <c r="H138" s="72">
        <f t="shared" ca="1" si="14"/>
        <v>3193.8893991359587</v>
      </c>
      <c r="I138" s="72">
        <f t="shared" ca="1" si="15"/>
        <v>3222.3556924173567</v>
      </c>
      <c r="J138" s="72">
        <f t="shared" ca="1" si="16"/>
        <v>158.58432592485633</v>
      </c>
    </row>
    <row r="139" spans="1:10" x14ac:dyDescent="0.3">
      <c r="A139" s="30">
        <v>126</v>
      </c>
      <c r="B139" s="72">
        <f t="shared" ca="1" si="17"/>
        <v>0.27567518440847971</v>
      </c>
      <c r="C139" s="72">
        <f t="shared" ca="1" si="17"/>
        <v>0.29100059338057316</v>
      </c>
      <c r="D139" s="72">
        <f t="shared" ca="1" si="10"/>
        <v>8.0628836721404795</v>
      </c>
      <c r="E139" s="72">
        <f t="shared" ca="1" si="11"/>
        <v>7.6422353194758896</v>
      </c>
      <c r="F139" s="72">
        <f t="shared" ca="1" si="12"/>
        <v>3071.8342501646407</v>
      </c>
      <c r="G139" s="72">
        <f t="shared" ca="1" si="13"/>
        <v>150.52144225271604</v>
      </c>
      <c r="H139" s="72">
        <f t="shared" ca="1" si="14"/>
        <v>3222.3556924173567</v>
      </c>
      <c r="I139" s="72">
        <f t="shared" ca="1" si="15"/>
        <v>3229.9979277368325</v>
      </c>
      <c r="J139" s="72">
        <f t="shared" ca="1" si="16"/>
        <v>158.16367757219177</v>
      </c>
    </row>
    <row r="140" spans="1:10" x14ac:dyDescent="0.3">
      <c r="A140" s="30">
        <v>127</v>
      </c>
      <c r="B140" s="72">
        <f t="shared" ca="1" si="17"/>
        <v>1.6025919692787771E-2</v>
      </c>
      <c r="C140" s="72">
        <f t="shared" ca="1" si="17"/>
        <v>0.30589975160862026</v>
      </c>
      <c r="D140" s="72">
        <f t="shared" ca="1" si="10"/>
        <v>0.40389308570062549</v>
      </c>
      <c r="E140" s="72">
        <f t="shared" ca="1" si="11"/>
        <v>8.1141973061239359</v>
      </c>
      <c r="F140" s="72">
        <f t="shared" ca="1" si="12"/>
        <v>3072.2381432503412</v>
      </c>
      <c r="G140" s="72">
        <f t="shared" ca="1" si="13"/>
        <v>157.7597844864913</v>
      </c>
      <c r="H140" s="72">
        <f t="shared" ca="1" si="14"/>
        <v>3229.9979277368325</v>
      </c>
      <c r="I140" s="72">
        <f t="shared" ca="1" si="15"/>
        <v>3238.1121250429564</v>
      </c>
      <c r="J140" s="72">
        <f t="shared" ca="1" si="16"/>
        <v>165.87398179261527</v>
      </c>
    </row>
    <row r="141" spans="1:10" x14ac:dyDescent="0.3">
      <c r="A141" s="30">
        <v>128</v>
      </c>
      <c r="B141" s="72">
        <f t="shared" ca="1" si="17"/>
        <v>0.24786303545877442</v>
      </c>
      <c r="C141" s="72">
        <f t="shared" ca="1" si="17"/>
        <v>0.58248242753536306</v>
      </c>
      <c r="D141" s="72">
        <f t="shared" ca="1" si="10"/>
        <v>7.1209209479546853</v>
      </c>
      <c r="E141" s="72">
        <f t="shared" ca="1" si="11"/>
        <v>19.40952546314039</v>
      </c>
      <c r="F141" s="72">
        <f t="shared" ca="1" si="12"/>
        <v>3079.359064198296</v>
      </c>
      <c r="G141" s="72">
        <f t="shared" ca="1" si="13"/>
        <v>158.75306084466047</v>
      </c>
      <c r="H141" s="72">
        <f t="shared" ca="1" si="14"/>
        <v>3238.1121250429564</v>
      </c>
      <c r="I141" s="72">
        <f t="shared" ca="1" si="15"/>
        <v>3257.5216505060966</v>
      </c>
      <c r="J141" s="72">
        <f t="shared" ca="1" si="16"/>
        <v>178.16258630780067</v>
      </c>
    </row>
    <row r="142" spans="1:10" x14ac:dyDescent="0.3">
      <c r="A142" s="30">
        <v>129</v>
      </c>
      <c r="B142" s="72">
        <f t="shared" ca="1" si="17"/>
        <v>0.29270872283324922</v>
      </c>
      <c r="C142" s="72">
        <f t="shared" ca="1" si="17"/>
        <v>0.80194236778467365</v>
      </c>
      <c r="D142" s="72">
        <f t="shared" ca="1" si="10"/>
        <v>8.6578176898853219</v>
      </c>
      <c r="E142" s="72">
        <f t="shared" ca="1" si="11"/>
        <v>35.982160418804462</v>
      </c>
      <c r="F142" s="72">
        <f t="shared" ca="1" si="12"/>
        <v>3088.0168818881812</v>
      </c>
      <c r="G142" s="72">
        <f t="shared" ca="1" si="13"/>
        <v>169.50476861791549</v>
      </c>
      <c r="H142" s="72">
        <f t="shared" ca="1" si="14"/>
        <v>3257.5216505060966</v>
      </c>
      <c r="I142" s="72">
        <f t="shared" ca="1" si="15"/>
        <v>3293.5038109249012</v>
      </c>
      <c r="J142" s="72">
        <f t="shared" ca="1" si="16"/>
        <v>205.48692903672008</v>
      </c>
    </row>
    <row r="143" spans="1:10" x14ac:dyDescent="0.3">
      <c r="A143" s="30">
        <v>130</v>
      </c>
      <c r="B143" s="72">
        <f t="shared" ca="1" si="17"/>
        <v>0.96893796932234844</v>
      </c>
      <c r="C143" s="72">
        <f t="shared" ca="1" si="17"/>
        <v>0.14344041535192809</v>
      </c>
      <c r="D143" s="72">
        <f t="shared" ca="1" si="10"/>
        <v>86.79422710520987</v>
      </c>
      <c r="E143" s="72">
        <f t="shared" ca="1" si="11"/>
        <v>3.440697689760583</v>
      </c>
      <c r="F143" s="72">
        <f t="shared" ca="1" si="12"/>
        <v>3174.8111089933909</v>
      </c>
      <c r="G143" s="72">
        <f t="shared" ca="1" si="13"/>
        <v>118.69270193151033</v>
      </c>
      <c r="H143" s="72">
        <f t="shared" ca="1" si="14"/>
        <v>3293.5038109249012</v>
      </c>
      <c r="I143" s="72">
        <f t="shared" ca="1" si="15"/>
        <v>3296.944508614662</v>
      </c>
      <c r="J143" s="72">
        <f t="shared" ca="1" si="16"/>
        <v>122.13339962127111</v>
      </c>
    </row>
    <row r="144" spans="1:10" x14ac:dyDescent="0.3">
      <c r="A144" s="30">
        <v>131</v>
      </c>
      <c r="B144" s="72">
        <f t="shared" ref="B144:C175" ca="1" si="18">RAND()</f>
        <v>0.37595131601157628</v>
      </c>
      <c r="C144" s="72">
        <f t="shared" ca="1" si="18"/>
        <v>0.86315458850507332</v>
      </c>
      <c r="D144" s="72">
        <f t="shared" ref="D144:D207" ca="1" si="19">(1/$F$1)*LN(1/(1-B144))</f>
        <v>11.788172361095807</v>
      </c>
      <c r="E144" s="72">
        <f t="shared" ref="E144:E207" ca="1" si="20">(1/$J$1)*LN(1/(1-C144))</f>
        <v>44.197852744586896</v>
      </c>
      <c r="F144" s="72">
        <f t="shared" ref="F144:F207" ca="1" si="21">F143+D144</f>
        <v>3186.5992813544867</v>
      </c>
      <c r="G144" s="72">
        <f t="shared" ref="G144:G207" ca="1" si="22">IF(I143&gt;F144,I143-F144,0)</f>
        <v>110.34522726017531</v>
      </c>
      <c r="H144" s="72">
        <f t="shared" ref="H144:H207" ca="1" si="23">F144+G144</f>
        <v>3296.944508614662</v>
      </c>
      <c r="I144" s="72">
        <f t="shared" ref="I144:I207" ca="1" si="24">H144+E144</f>
        <v>3341.1423613592488</v>
      </c>
      <c r="J144" s="72">
        <f t="shared" ref="J144:J207" ca="1" si="25">I144-F144</f>
        <v>154.54308000476203</v>
      </c>
    </row>
    <row r="145" spans="1:10" x14ac:dyDescent="0.3">
      <c r="A145" s="30">
        <v>132</v>
      </c>
      <c r="B145" s="72">
        <f t="shared" ca="1" si="18"/>
        <v>0.34005597602185389</v>
      </c>
      <c r="C145" s="72">
        <f t="shared" ca="1" si="18"/>
        <v>0.49084347797739125</v>
      </c>
      <c r="D145" s="72">
        <f t="shared" ca="1" si="19"/>
        <v>10.3900064928186</v>
      </c>
      <c r="E145" s="72">
        <f t="shared" ca="1" si="20"/>
        <v>14.99999557372219</v>
      </c>
      <c r="F145" s="72">
        <f t="shared" ca="1" si="21"/>
        <v>3196.9892878473051</v>
      </c>
      <c r="G145" s="72">
        <f t="shared" ca="1" si="22"/>
        <v>144.1530735119436</v>
      </c>
      <c r="H145" s="72">
        <f t="shared" ca="1" si="23"/>
        <v>3341.1423613592488</v>
      </c>
      <c r="I145" s="72">
        <f t="shared" ca="1" si="24"/>
        <v>3356.1423569329709</v>
      </c>
      <c r="J145" s="72">
        <f t="shared" ca="1" si="25"/>
        <v>159.15306908566572</v>
      </c>
    </row>
    <row r="146" spans="1:10" x14ac:dyDescent="0.3">
      <c r="A146" s="30">
        <v>133</v>
      </c>
      <c r="B146" s="72">
        <f t="shared" ca="1" si="18"/>
        <v>0.20014549325977271</v>
      </c>
      <c r="C146" s="72">
        <f t="shared" ca="1" si="18"/>
        <v>0.25289334227508631</v>
      </c>
      <c r="D146" s="72">
        <f t="shared" ca="1" si="19"/>
        <v>5.5831358607164114</v>
      </c>
      <c r="E146" s="72">
        <f t="shared" ca="1" si="20"/>
        <v>6.4788293914673343</v>
      </c>
      <c r="F146" s="72">
        <f t="shared" ca="1" si="21"/>
        <v>3202.5724237080217</v>
      </c>
      <c r="G146" s="72">
        <f t="shared" ca="1" si="22"/>
        <v>153.56993322494918</v>
      </c>
      <c r="H146" s="72">
        <f t="shared" ca="1" si="23"/>
        <v>3356.1423569329709</v>
      </c>
      <c r="I146" s="72">
        <f t="shared" ca="1" si="24"/>
        <v>3362.621186324438</v>
      </c>
      <c r="J146" s="72">
        <f t="shared" ca="1" si="25"/>
        <v>160.0487626164163</v>
      </c>
    </row>
    <row r="147" spans="1:10" x14ac:dyDescent="0.3">
      <c r="A147" s="30">
        <v>134</v>
      </c>
      <c r="B147" s="72">
        <f t="shared" ca="1" si="18"/>
        <v>0.51339700708250224</v>
      </c>
      <c r="C147" s="72">
        <f t="shared" ca="1" si="18"/>
        <v>0.70046142338095563</v>
      </c>
      <c r="D147" s="72">
        <f t="shared" ca="1" si="19"/>
        <v>18.007667449464932</v>
      </c>
      <c r="E147" s="72">
        <f t="shared" ca="1" si="20"/>
        <v>26.789157029302078</v>
      </c>
      <c r="F147" s="72">
        <f t="shared" ca="1" si="21"/>
        <v>3220.5800911574865</v>
      </c>
      <c r="G147" s="72">
        <f t="shared" ca="1" si="22"/>
        <v>142.04109516695144</v>
      </c>
      <c r="H147" s="72">
        <f t="shared" ca="1" si="23"/>
        <v>3362.621186324438</v>
      </c>
      <c r="I147" s="72">
        <f t="shared" ca="1" si="24"/>
        <v>3389.4103433537402</v>
      </c>
      <c r="J147" s="72">
        <f t="shared" ca="1" si="25"/>
        <v>168.8302521962537</v>
      </c>
    </row>
    <row r="148" spans="1:10" x14ac:dyDescent="0.3">
      <c r="A148" s="30">
        <v>135</v>
      </c>
      <c r="B148" s="72">
        <f t="shared" ca="1" si="18"/>
        <v>0.29827460161565811</v>
      </c>
      <c r="C148" s="72">
        <f t="shared" ca="1" si="18"/>
        <v>0.38738195387682905</v>
      </c>
      <c r="D148" s="72">
        <f t="shared" ca="1" si="19"/>
        <v>8.8553280469024163</v>
      </c>
      <c r="E148" s="72">
        <f t="shared" ca="1" si="20"/>
        <v>10.889191705969326</v>
      </c>
      <c r="F148" s="72">
        <f t="shared" ca="1" si="21"/>
        <v>3229.4354192043888</v>
      </c>
      <c r="G148" s="72">
        <f t="shared" ca="1" si="22"/>
        <v>159.97492414935141</v>
      </c>
      <c r="H148" s="72">
        <f t="shared" ca="1" si="23"/>
        <v>3389.4103433537402</v>
      </c>
      <c r="I148" s="72">
        <f t="shared" ca="1" si="24"/>
        <v>3400.2995350597098</v>
      </c>
      <c r="J148" s="72">
        <f t="shared" ca="1" si="25"/>
        <v>170.86411585532096</v>
      </c>
    </row>
    <row r="149" spans="1:10" x14ac:dyDescent="0.3">
      <c r="A149" s="30">
        <v>136</v>
      </c>
      <c r="B149" s="72">
        <f t="shared" ca="1" si="18"/>
        <v>0.46045542232043102</v>
      </c>
      <c r="C149" s="72">
        <f t="shared" ca="1" si="18"/>
        <v>0.30836022204686409</v>
      </c>
      <c r="D149" s="72">
        <f t="shared" ca="1" si="19"/>
        <v>15.425746748294552</v>
      </c>
      <c r="E149" s="72">
        <f t="shared" ca="1" si="20"/>
        <v>8.1931113553241843</v>
      </c>
      <c r="F149" s="72">
        <f t="shared" ca="1" si="21"/>
        <v>3244.8611659526832</v>
      </c>
      <c r="G149" s="72">
        <f t="shared" ca="1" si="22"/>
        <v>155.43836910702657</v>
      </c>
      <c r="H149" s="72">
        <f t="shared" ca="1" si="23"/>
        <v>3400.2995350597098</v>
      </c>
      <c r="I149" s="72">
        <f t="shared" ca="1" si="24"/>
        <v>3408.492646415034</v>
      </c>
      <c r="J149" s="72">
        <f t="shared" ca="1" si="25"/>
        <v>163.63148046235074</v>
      </c>
    </row>
    <row r="150" spans="1:10" x14ac:dyDescent="0.3">
      <c r="A150" s="30">
        <v>137</v>
      </c>
      <c r="B150" s="72">
        <f t="shared" ca="1" si="18"/>
        <v>4.9300476297261975E-2</v>
      </c>
      <c r="C150" s="72">
        <f t="shared" ca="1" si="18"/>
        <v>0.95574890325703432</v>
      </c>
      <c r="D150" s="72">
        <f t="shared" ca="1" si="19"/>
        <v>1.2639306153415388</v>
      </c>
      <c r="E150" s="72">
        <f t="shared" ca="1" si="20"/>
        <v>69.286113837412856</v>
      </c>
      <c r="F150" s="72">
        <f t="shared" ca="1" si="21"/>
        <v>3246.1250965680247</v>
      </c>
      <c r="G150" s="72">
        <f t="shared" ca="1" si="22"/>
        <v>162.36754984700929</v>
      </c>
      <c r="H150" s="72">
        <f t="shared" ca="1" si="23"/>
        <v>3408.492646415034</v>
      </c>
      <c r="I150" s="72">
        <f t="shared" ca="1" si="24"/>
        <v>3477.7787602524468</v>
      </c>
      <c r="J150" s="72">
        <f t="shared" ca="1" si="25"/>
        <v>231.6536636844221</v>
      </c>
    </row>
    <row r="151" spans="1:10" x14ac:dyDescent="0.3">
      <c r="A151" s="30">
        <v>138</v>
      </c>
      <c r="B151" s="72">
        <f t="shared" ca="1" si="18"/>
        <v>0.50964289894271908</v>
      </c>
      <c r="C151" s="72">
        <f t="shared" ca="1" si="18"/>
        <v>0.52314031915884252</v>
      </c>
      <c r="D151" s="72">
        <f t="shared" ca="1" si="19"/>
        <v>17.815534390975937</v>
      </c>
      <c r="E151" s="72">
        <f t="shared" ca="1" si="20"/>
        <v>16.456288922547643</v>
      </c>
      <c r="F151" s="72">
        <f t="shared" ca="1" si="21"/>
        <v>3263.9406309590008</v>
      </c>
      <c r="G151" s="72">
        <f t="shared" ca="1" si="22"/>
        <v>213.83812929344595</v>
      </c>
      <c r="H151" s="72">
        <f t="shared" ca="1" si="23"/>
        <v>3477.7787602524468</v>
      </c>
      <c r="I151" s="72">
        <f t="shared" ca="1" si="24"/>
        <v>3494.2350491749944</v>
      </c>
      <c r="J151" s="72">
        <f t="shared" ca="1" si="25"/>
        <v>230.29441821599357</v>
      </c>
    </row>
    <row r="152" spans="1:10" x14ac:dyDescent="0.3">
      <c r="A152" s="30">
        <v>139</v>
      </c>
      <c r="B152" s="72">
        <f t="shared" ca="1" si="18"/>
        <v>0.49698664566386108</v>
      </c>
      <c r="C152" s="72">
        <f t="shared" ca="1" si="18"/>
        <v>0.469916665908923</v>
      </c>
      <c r="D152" s="72">
        <f t="shared" ca="1" si="19"/>
        <v>17.178463996470114</v>
      </c>
      <c r="E152" s="72">
        <f t="shared" ca="1" si="20"/>
        <v>14.104912236930062</v>
      </c>
      <c r="F152" s="72">
        <f t="shared" ca="1" si="21"/>
        <v>3281.1190949554712</v>
      </c>
      <c r="G152" s="72">
        <f t="shared" ca="1" si="22"/>
        <v>213.11595421952325</v>
      </c>
      <c r="H152" s="72">
        <f t="shared" ca="1" si="23"/>
        <v>3494.2350491749944</v>
      </c>
      <c r="I152" s="72">
        <f t="shared" ca="1" si="24"/>
        <v>3508.3399614119244</v>
      </c>
      <c r="J152" s="72">
        <f t="shared" ca="1" si="25"/>
        <v>227.22086645645322</v>
      </c>
    </row>
    <row r="153" spans="1:10" x14ac:dyDescent="0.3">
      <c r="A153" s="30">
        <v>140</v>
      </c>
      <c r="B153" s="72">
        <f t="shared" ca="1" si="18"/>
        <v>0.88102196557333212</v>
      </c>
      <c r="C153" s="72">
        <f t="shared" ca="1" si="18"/>
        <v>0.92035605855251945</v>
      </c>
      <c r="D153" s="72">
        <f t="shared" ca="1" si="19"/>
        <v>53.220409688957517</v>
      </c>
      <c r="E153" s="72">
        <f t="shared" ca="1" si="20"/>
        <v>56.22642911574787</v>
      </c>
      <c r="F153" s="72">
        <f t="shared" ca="1" si="21"/>
        <v>3334.3395046444289</v>
      </c>
      <c r="G153" s="72">
        <f t="shared" ca="1" si="22"/>
        <v>174.00045676749551</v>
      </c>
      <c r="H153" s="72">
        <f t="shared" ca="1" si="23"/>
        <v>3508.3399614119244</v>
      </c>
      <c r="I153" s="72">
        <f t="shared" ca="1" si="24"/>
        <v>3564.5663905276724</v>
      </c>
      <c r="J153" s="72">
        <f t="shared" ca="1" si="25"/>
        <v>230.22688588324354</v>
      </c>
    </row>
    <row r="154" spans="1:10" x14ac:dyDescent="0.3">
      <c r="A154" s="30">
        <v>141</v>
      </c>
      <c r="B154" s="72">
        <f t="shared" ca="1" si="18"/>
        <v>0.42564025377678238</v>
      </c>
      <c r="C154" s="72">
        <f t="shared" ca="1" si="18"/>
        <v>0.20421032947928153</v>
      </c>
      <c r="D154" s="72">
        <f t="shared" ca="1" si="19"/>
        <v>13.862483584969365</v>
      </c>
      <c r="E154" s="72">
        <f t="shared" ca="1" si="20"/>
        <v>5.0760080237248983</v>
      </c>
      <c r="F154" s="72">
        <f t="shared" ca="1" si="21"/>
        <v>3348.201988229398</v>
      </c>
      <c r="G154" s="72">
        <f t="shared" ca="1" si="22"/>
        <v>216.3644022982744</v>
      </c>
      <c r="H154" s="72">
        <f t="shared" ca="1" si="23"/>
        <v>3564.5663905276724</v>
      </c>
      <c r="I154" s="72">
        <f t="shared" ca="1" si="24"/>
        <v>3569.6423985513975</v>
      </c>
      <c r="J154" s="72">
        <f t="shared" ca="1" si="25"/>
        <v>221.44041032199948</v>
      </c>
    </row>
    <row r="155" spans="1:10" x14ac:dyDescent="0.3">
      <c r="A155" s="30">
        <v>142</v>
      </c>
      <c r="B155" s="72">
        <f t="shared" ca="1" si="18"/>
        <v>0.47165139765621888</v>
      </c>
      <c r="C155" s="72">
        <f t="shared" ca="1" si="18"/>
        <v>6.2304066603110608E-2</v>
      </c>
      <c r="D155" s="72">
        <f t="shared" ca="1" si="19"/>
        <v>15.949974535531</v>
      </c>
      <c r="E155" s="72">
        <f t="shared" ca="1" si="20"/>
        <v>1.4295454966836738</v>
      </c>
      <c r="F155" s="72">
        <f t="shared" ca="1" si="21"/>
        <v>3364.1519627649291</v>
      </c>
      <c r="G155" s="72">
        <f t="shared" ca="1" si="22"/>
        <v>205.49043578646842</v>
      </c>
      <c r="H155" s="72">
        <f t="shared" ca="1" si="23"/>
        <v>3569.6423985513975</v>
      </c>
      <c r="I155" s="72">
        <f t="shared" ca="1" si="24"/>
        <v>3571.0719440480811</v>
      </c>
      <c r="J155" s="72">
        <f t="shared" ca="1" si="25"/>
        <v>206.91998128315208</v>
      </c>
    </row>
    <row r="156" spans="1:10" x14ac:dyDescent="0.3">
      <c r="A156" s="30">
        <v>143</v>
      </c>
      <c r="B156" s="72">
        <f t="shared" ca="1" si="18"/>
        <v>0.42681485738754765</v>
      </c>
      <c r="C156" s="72">
        <f t="shared" ca="1" si="18"/>
        <v>0.60964285918184291</v>
      </c>
      <c r="D156" s="72">
        <f t="shared" ca="1" si="19"/>
        <v>13.913662586000603</v>
      </c>
      <c r="E156" s="72">
        <f t="shared" ca="1" si="20"/>
        <v>20.904293626892045</v>
      </c>
      <c r="F156" s="72">
        <f t="shared" ca="1" si="21"/>
        <v>3378.0656253509296</v>
      </c>
      <c r="G156" s="72">
        <f t="shared" ca="1" si="22"/>
        <v>193.00631869715153</v>
      </c>
      <c r="H156" s="72">
        <f t="shared" ca="1" si="23"/>
        <v>3571.0719440480811</v>
      </c>
      <c r="I156" s="72">
        <f t="shared" ca="1" si="24"/>
        <v>3591.9762376749732</v>
      </c>
      <c r="J156" s="72">
        <f t="shared" ca="1" si="25"/>
        <v>213.91061232404354</v>
      </c>
    </row>
    <row r="157" spans="1:10" x14ac:dyDescent="0.3">
      <c r="A157" s="30">
        <v>144</v>
      </c>
      <c r="B157" s="72">
        <f t="shared" ca="1" si="18"/>
        <v>0.20111055930276522</v>
      </c>
      <c r="C157" s="72">
        <f t="shared" ca="1" si="18"/>
        <v>0.39171014066071463</v>
      </c>
      <c r="D157" s="72">
        <f t="shared" ca="1" si="19"/>
        <v>5.6133178720934289</v>
      </c>
      <c r="E157" s="72">
        <f t="shared" ca="1" si="20"/>
        <v>11.046750406380895</v>
      </c>
      <c r="F157" s="72">
        <f t="shared" ca="1" si="21"/>
        <v>3383.678943223023</v>
      </c>
      <c r="G157" s="72">
        <f t="shared" ca="1" si="22"/>
        <v>208.29729445195017</v>
      </c>
      <c r="H157" s="72">
        <f t="shared" ca="1" si="23"/>
        <v>3591.9762376749732</v>
      </c>
      <c r="I157" s="72">
        <f t="shared" ca="1" si="24"/>
        <v>3603.022988081354</v>
      </c>
      <c r="J157" s="72">
        <f t="shared" ca="1" si="25"/>
        <v>219.34404485833102</v>
      </c>
    </row>
    <row r="158" spans="1:10" x14ac:dyDescent="0.3">
      <c r="A158" s="30">
        <v>145</v>
      </c>
      <c r="B158" s="72">
        <f t="shared" ca="1" si="18"/>
        <v>0.64677016242745444</v>
      </c>
      <c r="C158" s="72">
        <f t="shared" ca="1" si="18"/>
        <v>0.63941624767565197</v>
      </c>
      <c r="D158" s="72">
        <f t="shared" ca="1" si="19"/>
        <v>26.015908399547989</v>
      </c>
      <c r="E158" s="72">
        <f t="shared" ca="1" si="20"/>
        <v>22.667356145885282</v>
      </c>
      <c r="F158" s="72">
        <f t="shared" ca="1" si="21"/>
        <v>3409.6948516225712</v>
      </c>
      <c r="G158" s="72">
        <f t="shared" ca="1" si="22"/>
        <v>193.32813645878286</v>
      </c>
      <c r="H158" s="72">
        <f t="shared" ca="1" si="23"/>
        <v>3603.022988081354</v>
      </c>
      <c r="I158" s="72">
        <f t="shared" ca="1" si="24"/>
        <v>3625.6903442272392</v>
      </c>
      <c r="J158" s="72">
        <f t="shared" ca="1" si="25"/>
        <v>215.99549260466802</v>
      </c>
    </row>
    <row r="159" spans="1:10" x14ac:dyDescent="0.3">
      <c r="A159" s="30">
        <v>146</v>
      </c>
      <c r="B159" s="72">
        <f t="shared" ca="1" si="18"/>
        <v>0.62589409473463331</v>
      </c>
      <c r="C159" s="72">
        <f t="shared" ca="1" si="18"/>
        <v>0.96679932117271239</v>
      </c>
      <c r="D159" s="72">
        <f t="shared" ca="1" si="19"/>
        <v>24.580408812342249</v>
      </c>
      <c r="E159" s="72">
        <f t="shared" ca="1" si="20"/>
        <v>75.670776814748322</v>
      </c>
      <c r="F159" s="72">
        <f t="shared" ca="1" si="21"/>
        <v>3434.2752604349134</v>
      </c>
      <c r="G159" s="72">
        <f t="shared" ca="1" si="22"/>
        <v>191.41508379232573</v>
      </c>
      <c r="H159" s="72">
        <f t="shared" ca="1" si="23"/>
        <v>3625.6903442272392</v>
      </c>
      <c r="I159" s="72">
        <f t="shared" ca="1" si="24"/>
        <v>3701.3611210419876</v>
      </c>
      <c r="J159" s="72">
        <f t="shared" ca="1" si="25"/>
        <v>267.08586060707421</v>
      </c>
    </row>
    <row r="160" spans="1:10" x14ac:dyDescent="0.3">
      <c r="A160" s="30">
        <v>147</v>
      </c>
      <c r="B160" s="72">
        <f t="shared" ca="1" si="18"/>
        <v>0.6454398100644908</v>
      </c>
      <c r="C160" s="72">
        <f t="shared" ca="1" si="18"/>
        <v>9.1340004235332728E-2</v>
      </c>
      <c r="D160" s="72">
        <f t="shared" ca="1" si="19"/>
        <v>25.921928979246367</v>
      </c>
      <c r="E160" s="72">
        <f t="shared" ca="1" si="20"/>
        <v>2.1285399297535927</v>
      </c>
      <c r="F160" s="72">
        <f t="shared" ca="1" si="21"/>
        <v>3460.1971894141598</v>
      </c>
      <c r="G160" s="72">
        <f t="shared" ca="1" si="22"/>
        <v>241.16393162782788</v>
      </c>
      <c r="H160" s="72">
        <f t="shared" ca="1" si="23"/>
        <v>3701.3611210419876</v>
      </c>
      <c r="I160" s="72">
        <f t="shared" ca="1" si="24"/>
        <v>3703.4896609717412</v>
      </c>
      <c r="J160" s="72">
        <f t="shared" ca="1" si="25"/>
        <v>243.29247155758139</v>
      </c>
    </row>
    <row r="161" spans="1:10" x14ac:dyDescent="0.3">
      <c r="A161" s="30">
        <v>148</v>
      </c>
      <c r="B161" s="72">
        <f t="shared" ca="1" si="18"/>
        <v>0.13290002278259982</v>
      </c>
      <c r="C161" s="72">
        <f t="shared" ca="1" si="18"/>
        <v>0.86973940674632366</v>
      </c>
      <c r="D161" s="72">
        <f t="shared" ca="1" si="19"/>
        <v>3.5650248718375162</v>
      </c>
      <c r="E161" s="72">
        <f t="shared" ca="1" si="20"/>
        <v>45.293739366515481</v>
      </c>
      <c r="F161" s="72">
        <f t="shared" ca="1" si="21"/>
        <v>3463.7622142859973</v>
      </c>
      <c r="G161" s="72">
        <f t="shared" ca="1" si="22"/>
        <v>239.72744668574387</v>
      </c>
      <c r="H161" s="72">
        <f t="shared" ca="1" si="23"/>
        <v>3703.4896609717412</v>
      </c>
      <c r="I161" s="72">
        <f t="shared" ca="1" si="24"/>
        <v>3748.7834003382568</v>
      </c>
      <c r="J161" s="72">
        <f t="shared" ca="1" si="25"/>
        <v>285.02118605225951</v>
      </c>
    </row>
    <row r="162" spans="1:10" x14ac:dyDescent="0.3">
      <c r="A162" s="30">
        <v>149</v>
      </c>
      <c r="B162" s="72">
        <f t="shared" ca="1" si="18"/>
        <v>0.77654525098309524</v>
      </c>
      <c r="C162" s="72">
        <f t="shared" ca="1" si="18"/>
        <v>0.15484661720265558</v>
      </c>
      <c r="D162" s="72">
        <f t="shared" ca="1" si="19"/>
        <v>37.463658766902931</v>
      </c>
      <c r="E162" s="72">
        <f t="shared" ca="1" si="20"/>
        <v>3.7386033332003259</v>
      </c>
      <c r="F162" s="72">
        <f t="shared" ca="1" si="21"/>
        <v>3501.2258730529002</v>
      </c>
      <c r="G162" s="72">
        <f t="shared" ca="1" si="22"/>
        <v>247.55752728535663</v>
      </c>
      <c r="H162" s="72">
        <f t="shared" ca="1" si="23"/>
        <v>3748.7834003382568</v>
      </c>
      <c r="I162" s="72">
        <f t="shared" ca="1" si="24"/>
        <v>3752.5220036714572</v>
      </c>
      <c r="J162" s="72">
        <f t="shared" ca="1" si="25"/>
        <v>251.29613061855707</v>
      </c>
    </row>
    <row r="163" spans="1:10" x14ac:dyDescent="0.3">
      <c r="A163" s="30">
        <v>150</v>
      </c>
      <c r="B163" s="72">
        <f t="shared" ca="1" si="18"/>
        <v>0.18211013394340048</v>
      </c>
      <c r="C163" s="72">
        <f t="shared" ca="1" si="18"/>
        <v>0.46423078149615793</v>
      </c>
      <c r="D163" s="72">
        <f t="shared" ca="1" si="19"/>
        <v>5.025689737913142</v>
      </c>
      <c r="E163" s="72">
        <f t="shared" ca="1" si="20"/>
        <v>13.867817180506936</v>
      </c>
      <c r="F163" s="72">
        <f t="shared" ca="1" si="21"/>
        <v>3506.2515627908133</v>
      </c>
      <c r="G163" s="72">
        <f t="shared" ca="1" si="22"/>
        <v>246.27044088064395</v>
      </c>
      <c r="H163" s="72">
        <f t="shared" ca="1" si="23"/>
        <v>3752.5220036714572</v>
      </c>
      <c r="I163" s="72">
        <f t="shared" ca="1" si="24"/>
        <v>3766.389820851964</v>
      </c>
      <c r="J163" s="72">
        <f t="shared" ca="1" si="25"/>
        <v>260.13825806115074</v>
      </c>
    </row>
    <row r="164" spans="1:10" x14ac:dyDescent="0.3">
      <c r="A164" s="30">
        <v>151</v>
      </c>
      <c r="B164" s="72">
        <f t="shared" ca="1" si="18"/>
        <v>4.842680878313077E-4</v>
      </c>
      <c r="C164" s="72">
        <f t="shared" ca="1" si="18"/>
        <v>0.53342300149458954</v>
      </c>
      <c r="D164" s="72">
        <f t="shared" ca="1" si="19"/>
        <v>1.2109634587292908E-2</v>
      </c>
      <c r="E164" s="72">
        <f t="shared" ca="1" si="20"/>
        <v>16.940715923758901</v>
      </c>
      <c r="F164" s="72">
        <f t="shared" ca="1" si="21"/>
        <v>3506.2636724254007</v>
      </c>
      <c r="G164" s="72">
        <f t="shared" ca="1" si="22"/>
        <v>260.1261484265633</v>
      </c>
      <c r="H164" s="72">
        <f t="shared" ca="1" si="23"/>
        <v>3766.389820851964</v>
      </c>
      <c r="I164" s="72">
        <f t="shared" ca="1" si="24"/>
        <v>3783.330536775723</v>
      </c>
      <c r="J164" s="72">
        <f t="shared" ca="1" si="25"/>
        <v>277.06686435032225</v>
      </c>
    </row>
    <row r="165" spans="1:10" x14ac:dyDescent="0.3">
      <c r="A165" s="30">
        <v>152</v>
      </c>
      <c r="B165" s="72">
        <f t="shared" ca="1" si="18"/>
        <v>0.97332865086120068</v>
      </c>
      <c r="C165" s="72">
        <f t="shared" ca="1" si="18"/>
        <v>3.856029794409277E-2</v>
      </c>
      <c r="D165" s="72">
        <f t="shared" ca="1" si="19"/>
        <v>90.604133892149633</v>
      </c>
      <c r="E165" s="72">
        <f t="shared" ca="1" si="20"/>
        <v>0.87385396200348564</v>
      </c>
      <c r="F165" s="72">
        <f t="shared" ca="1" si="21"/>
        <v>3596.8678063175503</v>
      </c>
      <c r="G165" s="72">
        <f t="shared" ca="1" si="22"/>
        <v>186.4627304581727</v>
      </c>
      <c r="H165" s="72">
        <f t="shared" ca="1" si="23"/>
        <v>3783.330536775723</v>
      </c>
      <c r="I165" s="72">
        <f t="shared" ca="1" si="24"/>
        <v>3784.2043907377265</v>
      </c>
      <c r="J165" s="72">
        <f t="shared" ca="1" si="25"/>
        <v>187.33658442017622</v>
      </c>
    </row>
    <row r="166" spans="1:10" x14ac:dyDescent="0.3">
      <c r="A166" s="30">
        <v>153</v>
      </c>
      <c r="B166" s="72">
        <f t="shared" ca="1" si="18"/>
        <v>0.92367435112227747</v>
      </c>
      <c r="C166" s="72">
        <f t="shared" ca="1" si="18"/>
        <v>0.81898146828312735</v>
      </c>
      <c r="D166" s="72">
        <f t="shared" ca="1" si="19"/>
        <v>64.318655972192573</v>
      </c>
      <c r="E166" s="72">
        <f t="shared" ca="1" si="20"/>
        <v>37.981241506249418</v>
      </c>
      <c r="F166" s="72">
        <f t="shared" ca="1" si="21"/>
        <v>3661.1864622897428</v>
      </c>
      <c r="G166" s="72">
        <f t="shared" ca="1" si="22"/>
        <v>123.01792844798365</v>
      </c>
      <c r="H166" s="72">
        <f t="shared" ca="1" si="23"/>
        <v>3784.2043907377265</v>
      </c>
      <c r="I166" s="72">
        <f t="shared" ca="1" si="24"/>
        <v>3822.1856322439758</v>
      </c>
      <c r="J166" s="72">
        <f t="shared" ca="1" si="25"/>
        <v>160.99916995423291</v>
      </c>
    </row>
    <row r="167" spans="1:10" x14ac:dyDescent="0.3">
      <c r="A167" s="30">
        <v>154</v>
      </c>
      <c r="B167" s="72">
        <f t="shared" ca="1" si="18"/>
        <v>0.10988332957031677</v>
      </c>
      <c r="C167" s="72">
        <f t="shared" ca="1" si="18"/>
        <v>0.955000885907897</v>
      </c>
      <c r="D167" s="72">
        <f t="shared" ca="1" si="19"/>
        <v>2.9100683619278178</v>
      </c>
      <c r="E167" s="72">
        <f t="shared" ca="1" si="20"/>
        <v>68.913610583283585</v>
      </c>
      <c r="F167" s="72">
        <f t="shared" ca="1" si="21"/>
        <v>3664.0965306516705</v>
      </c>
      <c r="G167" s="72">
        <f t="shared" ca="1" si="22"/>
        <v>158.08910159230527</v>
      </c>
      <c r="H167" s="72">
        <f t="shared" ca="1" si="23"/>
        <v>3822.1856322439758</v>
      </c>
      <c r="I167" s="72">
        <f t="shared" ca="1" si="24"/>
        <v>3891.0992428272593</v>
      </c>
      <c r="J167" s="72">
        <f t="shared" ca="1" si="25"/>
        <v>227.00271217558884</v>
      </c>
    </row>
    <row r="168" spans="1:10" x14ac:dyDescent="0.3">
      <c r="A168" s="30">
        <v>155</v>
      </c>
      <c r="B168" s="72">
        <f t="shared" ca="1" si="18"/>
        <v>0.35528783491126592</v>
      </c>
      <c r="C168" s="72">
        <f t="shared" ca="1" si="18"/>
        <v>0.48766891587867189</v>
      </c>
      <c r="D168" s="72">
        <f t="shared" ca="1" si="19"/>
        <v>10.973782936611078</v>
      </c>
      <c r="E168" s="72">
        <f t="shared" ca="1" si="20"/>
        <v>14.861871427896112</v>
      </c>
      <c r="F168" s="72">
        <f t="shared" ca="1" si="21"/>
        <v>3675.0703135882814</v>
      </c>
      <c r="G168" s="72">
        <f t="shared" ca="1" si="22"/>
        <v>216.02892923897798</v>
      </c>
      <c r="H168" s="72">
        <f t="shared" ca="1" si="23"/>
        <v>3891.0992428272593</v>
      </c>
      <c r="I168" s="72">
        <f t="shared" ca="1" si="24"/>
        <v>3905.9611142551553</v>
      </c>
      <c r="J168" s="72">
        <f t="shared" ca="1" si="25"/>
        <v>230.89080066687393</v>
      </c>
    </row>
    <row r="169" spans="1:10" x14ac:dyDescent="0.3">
      <c r="A169" s="30">
        <v>156</v>
      </c>
      <c r="B169" s="72">
        <f t="shared" ca="1" si="18"/>
        <v>0.79705654851841024</v>
      </c>
      <c r="C169" s="72">
        <f t="shared" ca="1" si="18"/>
        <v>3.2796742576187476E-2</v>
      </c>
      <c r="D169" s="72">
        <f t="shared" ca="1" si="19"/>
        <v>39.870697571916089</v>
      </c>
      <c r="E169" s="72">
        <f t="shared" ca="1" si="20"/>
        <v>0.74103581770223126</v>
      </c>
      <c r="F169" s="72">
        <f t="shared" ca="1" si="21"/>
        <v>3714.9410111601974</v>
      </c>
      <c r="G169" s="72">
        <f t="shared" ca="1" si="22"/>
        <v>191.0201030949579</v>
      </c>
      <c r="H169" s="72">
        <f t="shared" ca="1" si="23"/>
        <v>3905.9611142551553</v>
      </c>
      <c r="I169" s="72">
        <f t="shared" ca="1" si="24"/>
        <v>3906.7021500728574</v>
      </c>
      <c r="J169" s="72">
        <f t="shared" ca="1" si="25"/>
        <v>191.76113891266004</v>
      </c>
    </row>
    <row r="170" spans="1:10" x14ac:dyDescent="0.3">
      <c r="A170" s="30">
        <v>157</v>
      </c>
      <c r="B170" s="72">
        <f t="shared" ca="1" si="18"/>
        <v>0.40739783600695079</v>
      </c>
      <c r="C170" s="72">
        <f t="shared" ca="1" si="18"/>
        <v>0.86364652117453145</v>
      </c>
      <c r="D170" s="72">
        <f t="shared" ca="1" si="19"/>
        <v>13.080799803917879</v>
      </c>
      <c r="E170" s="72">
        <f t="shared" ca="1" si="20"/>
        <v>44.277881246174474</v>
      </c>
      <c r="F170" s="72">
        <f t="shared" ca="1" si="21"/>
        <v>3728.021810964115</v>
      </c>
      <c r="G170" s="72">
        <f t="shared" ca="1" si="22"/>
        <v>178.68033910874237</v>
      </c>
      <c r="H170" s="72">
        <f t="shared" ca="1" si="23"/>
        <v>3906.7021500728574</v>
      </c>
      <c r="I170" s="72">
        <f t="shared" ca="1" si="24"/>
        <v>3950.9800313190317</v>
      </c>
      <c r="J170" s="72">
        <f t="shared" ca="1" si="25"/>
        <v>222.95822035491665</v>
      </c>
    </row>
    <row r="171" spans="1:10" x14ac:dyDescent="0.3">
      <c r="A171" s="30">
        <v>158</v>
      </c>
      <c r="B171" s="72">
        <f t="shared" ca="1" si="18"/>
        <v>0.20352107598770353</v>
      </c>
      <c r="C171" s="72">
        <f t="shared" ca="1" si="18"/>
        <v>2.8936485142311286E-2</v>
      </c>
      <c r="D171" s="72">
        <f t="shared" ca="1" si="19"/>
        <v>5.6888652683134522</v>
      </c>
      <c r="E171" s="72">
        <f t="shared" ca="1" si="20"/>
        <v>0.65252002289300459</v>
      </c>
      <c r="F171" s="72">
        <f t="shared" ca="1" si="21"/>
        <v>3733.7106762324283</v>
      </c>
      <c r="G171" s="72">
        <f t="shared" ca="1" si="22"/>
        <v>217.26935508660335</v>
      </c>
      <c r="H171" s="72">
        <f t="shared" ca="1" si="23"/>
        <v>3950.9800313190317</v>
      </c>
      <c r="I171" s="72">
        <f t="shared" ca="1" si="24"/>
        <v>3951.6325513419247</v>
      </c>
      <c r="J171" s="72">
        <f t="shared" ca="1" si="25"/>
        <v>217.92187510949634</v>
      </c>
    </row>
    <row r="172" spans="1:10" x14ac:dyDescent="0.3">
      <c r="A172" s="30">
        <v>159</v>
      </c>
      <c r="B172" s="72">
        <f t="shared" ca="1" si="18"/>
        <v>0.51390514951383737</v>
      </c>
      <c r="C172" s="72">
        <f t="shared" ca="1" si="18"/>
        <v>0.89902550491648869</v>
      </c>
      <c r="D172" s="72">
        <f t="shared" ca="1" si="19"/>
        <v>18.033787712864626</v>
      </c>
      <c r="E172" s="72">
        <f t="shared" ca="1" si="20"/>
        <v>50.953051510134301</v>
      </c>
      <c r="F172" s="72">
        <f t="shared" ca="1" si="21"/>
        <v>3751.7444639452929</v>
      </c>
      <c r="G172" s="72">
        <f t="shared" ca="1" si="22"/>
        <v>199.88808739663182</v>
      </c>
      <c r="H172" s="72">
        <f t="shared" ca="1" si="23"/>
        <v>3951.6325513419247</v>
      </c>
      <c r="I172" s="72">
        <f t="shared" ca="1" si="24"/>
        <v>4002.5856028520589</v>
      </c>
      <c r="J172" s="72">
        <f t="shared" ca="1" si="25"/>
        <v>250.84113890676599</v>
      </c>
    </row>
    <row r="173" spans="1:10" x14ac:dyDescent="0.3">
      <c r="A173" s="30">
        <v>160</v>
      </c>
      <c r="B173" s="72">
        <f t="shared" ca="1" si="18"/>
        <v>0.28843365605201043</v>
      </c>
      <c r="C173" s="72">
        <f t="shared" ca="1" si="18"/>
        <v>0.93541022223378667</v>
      </c>
      <c r="D173" s="72">
        <f t="shared" ca="1" si="19"/>
        <v>8.5071655153972792</v>
      </c>
      <c r="E173" s="72">
        <f t="shared" ca="1" si="20"/>
        <v>60.882202658395215</v>
      </c>
      <c r="F173" s="72">
        <f t="shared" ca="1" si="21"/>
        <v>3760.2516294606903</v>
      </c>
      <c r="G173" s="72">
        <f t="shared" ca="1" si="22"/>
        <v>242.33397339136854</v>
      </c>
      <c r="H173" s="72">
        <f t="shared" ca="1" si="23"/>
        <v>4002.5856028520589</v>
      </c>
      <c r="I173" s="72">
        <f t="shared" ca="1" si="24"/>
        <v>4063.4678055104541</v>
      </c>
      <c r="J173" s="72">
        <f t="shared" ca="1" si="25"/>
        <v>303.21617604976382</v>
      </c>
    </row>
    <row r="174" spans="1:10" x14ac:dyDescent="0.3">
      <c r="A174" s="30">
        <v>161</v>
      </c>
      <c r="B174" s="72">
        <f t="shared" ca="1" si="18"/>
        <v>7.1336666246950897E-2</v>
      </c>
      <c r="C174" s="72">
        <f t="shared" ca="1" si="18"/>
        <v>0.44726707706395541</v>
      </c>
      <c r="D174" s="72">
        <f t="shared" ca="1" si="19"/>
        <v>1.8502250560107361</v>
      </c>
      <c r="E174" s="72">
        <f t="shared" ca="1" si="20"/>
        <v>13.175118987896834</v>
      </c>
      <c r="F174" s="72">
        <f t="shared" ca="1" si="21"/>
        <v>3762.1018545167012</v>
      </c>
      <c r="G174" s="72">
        <f t="shared" ca="1" si="22"/>
        <v>301.3659509937529</v>
      </c>
      <c r="H174" s="72">
        <f t="shared" ca="1" si="23"/>
        <v>4063.4678055104541</v>
      </c>
      <c r="I174" s="72">
        <f t="shared" ca="1" si="24"/>
        <v>4076.642924498351</v>
      </c>
      <c r="J174" s="72">
        <f t="shared" ca="1" si="25"/>
        <v>314.5410699816498</v>
      </c>
    </row>
    <row r="175" spans="1:10" x14ac:dyDescent="0.3">
      <c r="A175" s="30">
        <v>162</v>
      </c>
      <c r="B175" s="72">
        <f t="shared" ca="1" si="18"/>
        <v>0.99691839852172559</v>
      </c>
      <c r="C175" s="72">
        <f t="shared" ca="1" si="18"/>
        <v>0.54984411439798897</v>
      </c>
      <c r="D175" s="72">
        <f t="shared" ca="1" si="19"/>
        <v>144.55764641626396</v>
      </c>
      <c r="E175" s="72">
        <f t="shared" ca="1" si="20"/>
        <v>17.736918750128833</v>
      </c>
      <c r="F175" s="72">
        <f t="shared" ca="1" si="21"/>
        <v>3906.6595009329653</v>
      </c>
      <c r="G175" s="72">
        <f t="shared" ca="1" si="22"/>
        <v>169.98342356538569</v>
      </c>
      <c r="H175" s="72">
        <f t="shared" ca="1" si="23"/>
        <v>4076.642924498351</v>
      </c>
      <c r="I175" s="72">
        <f t="shared" ca="1" si="24"/>
        <v>4094.37984324848</v>
      </c>
      <c r="J175" s="72">
        <f t="shared" ca="1" si="25"/>
        <v>187.7203423155147</v>
      </c>
    </row>
    <row r="176" spans="1:10" x14ac:dyDescent="0.3">
      <c r="A176" s="30">
        <v>163</v>
      </c>
      <c r="B176" s="72">
        <f t="shared" ref="B176:C213" ca="1" si="26">RAND()</f>
        <v>0.49146739339050738</v>
      </c>
      <c r="C176" s="72">
        <f t="shared" ca="1" si="26"/>
        <v>0.51430480772781617</v>
      </c>
      <c r="D176" s="72">
        <f t="shared" ca="1" si="19"/>
        <v>16.905648560586908</v>
      </c>
      <c r="E176" s="72">
        <f t="shared" ca="1" si="20"/>
        <v>16.048311738526969</v>
      </c>
      <c r="F176" s="72">
        <f t="shared" ca="1" si="21"/>
        <v>3923.5651494935523</v>
      </c>
      <c r="G176" s="72">
        <f t="shared" ca="1" si="22"/>
        <v>170.8146937549277</v>
      </c>
      <c r="H176" s="72">
        <f t="shared" ca="1" si="23"/>
        <v>4094.37984324848</v>
      </c>
      <c r="I176" s="72">
        <f t="shared" ca="1" si="24"/>
        <v>4110.4281549870066</v>
      </c>
      <c r="J176" s="72">
        <f t="shared" ca="1" si="25"/>
        <v>186.86300549345424</v>
      </c>
    </row>
    <row r="177" spans="1:10" x14ac:dyDescent="0.3">
      <c r="A177" s="30">
        <v>164</v>
      </c>
      <c r="B177" s="72">
        <f t="shared" ca="1" si="26"/>
        <v>0.67351759018320712</v>
      </c>
      <c r="C177" s="72">
        <f t="shared" ca="1" si="26"/>
        <v>0.3687171198752619</v>
      </c>
      <c r="D177" s="72">
        <f t="shared" ca="1" si="19"/>
        <v>27.984480167595311</v>
      </c>
      <c r="E177" s="72">
        <f t="shared" ca="1" si="20"/>
        <v>10.22224916494994</v>
      </c>
      <c r="F177" s="72">
        <f t="shared" ca="1" si="21"/>
        <v>3951.5496296611477</v>
      </c>
      <c r="G177" s="72">
        <f t="shared" ca="1" si="22"/>
        <v>158.87852532585885</v>
      </c>
      <c r="H177" s="72">
        <f t="shared" ca="1" si="23"/>
        <v>4110.4281549870066</v>
      </c>
      <c r="I177" s="72">
        <f t="shared" ca="1" si="24"/>
        <v>4120.6504041519565</v>
      </c>
      <c r="J177" s="72">
        <f t="shared" ca="1" si="25"/>
        <v>169.10077449080882</v>
      </c>
    </row>
    <row r="178" spans="1:10" x14ac:dyDescent="0.3">
      <c r="A178" s="30">
        <v>165</v>
      </c>
      <c r="B178" s="72">
        <f t="shared" ca="1" si="26"/>
        <v>0.58110774194408099</v>
      </c>
      <c r="C178" s="72">
        <f t="shared" ca="1" si="26"/>
        <v>0.62023851093430993</v>
      </c>
      <c r="D178" s="72">
        <f t="shared" ca="1" si="19"/>
        <v>21.753538320108241</v>
      </c>
      <c r="E178" s="72">
        <f t="shared" ca="1" si="20"/>
        <v>21.515819637252775</v>
      </c>
      <c r="F178" s="72">
        <f t="shared" ca="1" si="21"/>
        <v>3973.3031679812561</v>
      </c>
      <c r="G178" s="72">
        <f t="shared" ca="1" si="22"/>
        <v>147.3472361707004</v>
      </c>
      <c r="H178" s="72">
        <f t="shared" ca="1" si="23"/>
        <v>4120.6504041519565</v>
      </c>
      <c r="I178" s="72">
        <f t="shared" ca="1" si="24"/>
        <v>4142.1662237892097</v>
      </c>
      <c r="J178" s="72">
        <f t="shared" ca="1" si="25"/>
        <v>168.86305580795351</v>
      </c>
    </row>
    <row r="179" spans="1:10" x14ac:dyDescent="0.3">
      <c r="A179" s="30">
        <v>166</v>
      </c>
      <c r="B179" s="72">
        <f t="shared" ca="1" si="26"/>
        <v>0.70273043042505701</v>
      </c>
      <c r="C179" s="72">
        <f t="shared" ca="1" si="26"/>
        <v>0.13996576850929465</v>
      </c>
      <c r="D179" s="72">
        <f t="shared" ca="1" si="19"/>
        <v>30.327897754264683</v>
      </c>
      <c r="E179" s="72">
        <f t="shared" ca="1" si="20"/>
        <v>3.3507352548396527</v>
      </c>
      <c r="F179" s="72">
        <f t="shared" ca="1" si="21"/>
        <v>4003.6310657355207</v>
      </c>
      <c r="G179" s="72">
        <f t="shared" ca="1" si="22"/>
        <v>138.53515805368897</v>
      </c>
      <c r="H179" s="72">
        <f t="shared" ca="1" si="23"/>
        <v>4142.1662237892097</v>
      </c>
      <c r="I179" s="72">
        <f t="shared" ca="1" si="24"/>
        <v>4145.5169590440491</v>
      </c>
      <c r="J179" s="72">
        <f t="shared" ca="1" si="25"/>
        <v>141.88589330852847</v>
      </c>
    </row>
    <row r="180" spans="1:10" x14ac:dyDescent="0.3">
      <c r="A180" s="30">
        <v>167</v>
      </c>
      <c r="B180" s="72">
        <f t="shared" ca="1" si="26"/>
        <v>0.3883590262429869</v>
      </c>
      <c r="C180" s="72">
        <f t="shared" ca="1" si="26"/>
        <v>0.76817283705653239</v>
      </c>
      <c r="D180" s="72">
        <f t="shared" ca="1" si="19"/>
        <v>12.290245320018187</v>
      </c>
      <c r="E180" s="72">
        <f t="shared" ca="1" si="20"/>
        <v>32.483626050431468</v>
      </c>
      <c r="F180" s="72">
        <f t="shared" ca="1" si="21"/>
        <v>4015.9213110555388</v>
      </c>
      <c r="G180" s="72">
        <f t="shared" ca="1" si="22"/>
        <v>129.59564798851034</v>
      </c>
      <c r="H180" s="72">
        <f t="shared" ca="1" si="23"/>
        <v>4145.5169590440491</v>
      </c>
      <c r="I180" s="72">
        <f t="shared" ca="1" si="24"/>
        <v>4178.0005850944808</v>
      </c>
      <c r="J180" s="72">
        <f t="shared" ca="1" si="25"/>
        <v>162.079274038942</v>
      </c>
    </row>
    <row r="181" spans="1:10" x14ac:dyDescent="0.3">
      <c r="A181" s="30">
        <v>168</v>
      </c>
      <c r="B181" s="72">
        <f t="shared" ca="1" si="26"/>
        <v>0.78040214360598559</v>
      </c>
      <c r="C181" s="72">
        <f t="shared" ca="1" si="26"/>
        <v>0.41356773496009591</v>
      </c>
      <c r="D181" s="72">
        <f t="shared" ca="1" si="19"/>
        <v>37.898933270149904</v>
      </c>
      <c r="E181" s="72">
        <f t="shared" ca="1" si="20"/>
        <v>11.859957948581021</v>
      </c>
      <c r="F181" s="72">
        <f t="shared" ca="1" si="21"/>
        <v>4053.8202443256887</v>
      </c>
      <c r="G181" s="72">
        <f t="shared" ca="1" si="22"/>
        <v>124.18034076879212</v>
      </c>
      <c r="H181" s="72">
        <f t="shared" ca="1" si="23"/>
        <v>4178.0005850944808</v>
      </c>
      <c r="I181" s="72">
        <f t="shared" ca="1" si="24"/>
        <v>4189.8605430430616</v>
      </c>
      <c r="J181" s="72">
        <f t="shared" ca="1" si="25"/>
        <v>136.04029871737293</v>
      </c>
    </row>
    <row r="182" spans="1:10" x14ac:dyDescent="0.3">
      <c r="A182" s="30">
        <v>169</v>
      </c>
      <c r="B182" s="72">
        <f t="shared" ca="1" si="26"/>
        <v>0.94996143274607026</v>
      </c>
      <c r="C182" s="72">
        <f t="shared" ca="1" si="26"/>
        <v>0.71016621485658527</v>
      </c>
      <c r="D182" s="72">
        <f t="shared" ca="1" si="19"/>
        <v>74.874030645228075</v>
      </c>
      <c r="E182" s="72">
        <f t="shared" ca="1" si="20"/>
        <v>27.521059444342853</v>
      </c>
      <c r="F182" s="72">
        <f t="shared" ca="1" si="21"/>
        <v>4128.6942749709169</v>
      </c>
      <c r="G182" s="72">
        <f t="shared" ca="1" si="22"/>
        <v>61.166268072144703</v>
      </c>
      <c r="H182" s="72">
        <f t="shared" ca="1" si="23"/>
        <v>4189.8605430430616</v>
      </c>
      <c r="I182" s="72">
        <f t="shared" ca="1" si="24"/>
        <v>4217.3816024874041</v>
      </c>
      <c r="J182" s="72">
        <f t="shared" ca="1" si="25"/>
        <v>88.68732751648713</v>
      </c>
    </row>
    <row r="183" spans="1:10" x14ac:dyDescent="0.3">
      <c r="A183" s="30">
        <v>170</v>
      </c>
      <c r="B183" s="72">
        <f t="shared" ca="1" si="26"/>
        <v>0.99473498573545183</v>
      </c>
      <c r="C183" s="72">
        <f t="shared" ca="1" si="26"/>
        <v>0.7932940076424484</v>
      </c>
      <c r="D183" s="72">
        <f t="shared" ca="1" si="19"/>
        <v>131.1667856020994</v>
      </c>
      <c r="E183" s="72">
        <f t="shared" ca="1" si="20"/>
        <v>35.032396046934707</v>
      </c>
      <c r="F183" s="72">
        <f t="shared" ca="1" si="21"/>
        <v>4259.8610605730164</v>
      </c>
      <c r="G183" s="72">
        <f t="shared" ca="1" si="22"/>
        <v>0</v>
      </c>
      <c r="H183" s="72">
        <f t="shared" ca="1" si="23"/>
        <v>4259.8610605730164</v>
      </c>
      <c r="I183" s="72">
        <f t="shared" ca="1" si="24"/>
        <v>4294.8934566199514</v>
      </c>
      <c r="J183" s="72">
        <f t="shared" ca="1" si="25"/>
        <v>35.032396046934991</v>
      </c>
    </row>
    <row r="184" spans="1:10" x14ac:dyDescent="0.3">
      <c r="A184" s="30">
        <v>171</v>
      </c>
      <c r="B184" s="72">
        <f t="shared" ca="1" si="26"/>
        <v>0.79494879230149296</v>
      </c>
      <c r="C184" s="72">
        <f t="shared" ca="1" si="26"/>
        <v>0.30324831507945404</v>
      </c>
      <c r="D184" s="72">
        <f t="shared" ca="1" si="19"/>
        <v>39.612388434642867</v>
      </c>
      <c r="E184" s="72">
        <f t="shared" ca="1" si="20"/>
        <v>8.0294709859117877</v>
      </c>
      <c r="F184" s="72">
        <f t="shared" ca="1" si="21"/>
        <v>4299.4734490076589</v>
      </c>
      <c r="G184" s="72">
        <f t="shared" ca="1" si="22"/>
        <v>0</v>
      </c>
      <c r="H184" s="72">
        <f t="shared" ca="1" si="23"/>
        <v>4299.4734490076589</v>
      </c>
      <c r="I184" s="72">
        <f t="shared" ca="1" si="24"/>
        <v>4307.5029199935707</v>
      </c>
      <c r="J184" s="72">
        <f t="shared" ca="1" si="25"/>
        <v>8.0294709859117575</v>
      </c>
    </row>
    <row r="185" spans="1:10" x14ac:dyDescent="0.3">
      <c r="A185" s="30">
        <v>172</v>
      </c>
      <c r="B185" s="72">
        <f t="shared" ca="1" si="26"/>
        <v>0.42963224795541621</v>
      </c>
      <c r="C185" s="72">
        <f t="shared" ca="1" si="26"/>
        <v>0.25224430933614039</v>
      </c>
      <c r="D185" s="72">
        <f t="shared" ca="1" si="19"/>
        <v>14.036848679161665</v>
      </c>
      <c r="E185" s="72">
        <f t="shared" ca="1" si="20"/>
        <v>6.4595326915128162</v>
      </c>
      <c r="F185" s="72">
        <f t="shared" ca="1" si="21"/>
        <v>4313.5102976868202</v>
      </c>
      <c r="G185" s="72">
        <f t="shared" ca="1" si="22"/>
        <v>0</v>
      </c>
      <c r="H185" s="72">
        <f t="shared" ca="1" si="23"/>
        <v>4313.5102976868202</v>
      </c>
      <c r="I185" s="72">
        <f t="shared" ca="1" si="24"/>
        <v>4319.9698303783334</v>
      </c>
      <c r="J185" s="72">
        <f t="shared" ca="1" si="25"/>
        <v>6.4595326915132318</v>
      </c>
    </row>
    <row r="186" spans="1:10" x14ac:dyDescent="0.3">
      <c r="A186" s="30">
        <v>173</v>
      </c>
      <c r="B186" s="72">
        <f t="shared" ca="1" si="26"/>
        <v>0.30151274866582234</v>
      </c>
      <c r="C186" s="72">
        <f t="shared" ca="1" si="26"/>
        <v>0.43754847746656522</v>
      </c>
      <c r="D186" s="72">
        <f t="shared" ca="1" si="19"/>
        <v>8.9709587985440784</v>
      </c>
      <c r="E186" s="72">
        <f t="shared" ca="1" si="20"/>
        <v>12.787785128449787</v>
      </c>
      <c r="F186" s="72">
        <f t="shared" ca="1" si="21"/>
        <v>4322.4812564853646</v>
      </c>
      <c r="G186" s="72">
        <f t="shared" ca="1" si="22"/>
        <v>0</v>
      </c>
      <c r="H186" s="72">
        <f t="shared" ca="1" si="23"/>
        <v>4322.4812564853646</v>
      </c>
      <c r="I186" s="72">
        <f t="shared" ca="1" si="24"/>
        <v>4335.2690416138148</v>
      </c>
      <c r="J186" s="72">
        <f t="shared" ca="1" si="25"/>
        <v>12.787785128450196</v>
      </c>
    </row>
    <row r="187" spans="1:10" x14ac:dyDescent="0.3">
      <c r="A187" s="30">
        <v>174</v>
      </c>
      <c r="B187" s="72">
        <f t="shared" ca="1" si="26"/>
        <v>0.12900801167663245</v>
      </c>
      <c r="C187" s="72">
        <f t="shared" ca="1" si="26"/>
        <v>9.9793610684280609E-2</v>
      </c>
      <c r="D187" s="72">
        <f t="shared" ca="1" si="19"/>
        <v>3.4530625105737891</v>
      </c>
      <c r="E187" s="72">
        <f t="shared" ca="1" si="20"/>
        <v>2.3362493441347358</v>
      </c>
      <c r="F187" s="72">
        <f t="shared" ca="1" si="21"/>
        <v>4325.9343189959382</v>
      </c>
      <c r="G187" s="72">
        <f t="shared" ca="1" si="22"/>
        <v>9.3347226178766505</v>
      </c>
      <c r="H187" s="72">
        <f t="shared" ca="1" si="23"/>
        <v>4335.2690416138148</v>
      </c>
      <c r="I187" s="72">
        <f t="shared" ca="1" si="24"/>
        <v>4337.6052909579494</v>
      </c>
      <c r="J187" s="72">
        <f t="shared" ca="1" si="25"/>
        <v>11.670971962011208</v>
      </c>
    </row>
    <row r="188" spans="1:10" x14ac:dyDescent="0.3">
      <c r="A188" s="30">
        <v>175</v>
      </c>
      <c r="B188" s="72">
        <f t="shared" ca="1" si="26"/>
        <v>0.32398200233036623</v>
      </c>
      <c r="C188" s="72">
        <f t="shared" ca="1" si="26"/>
        <v>3.0101506790412458E-2</v>
      </c>
      <c r="D188" s="72">
        <f t="shared" ca="1" si="19"/>
        <v>9.7883894880482938</v>
      </c>
      <c r="E188" s="72">
        <f t="shared" ca="1" si="20"/>
        <v>0.67919686969298965</v>
      </c>
      <c r="F188" s="72">
        <f t="shared" ca="1" si="21"/>
        <v>4335.722708483986</v>
      </c>
      <c r="G188" s="72">
        <f t="shared" ca="1" si="22"/>
        <v>1.882582473963339</v>
      </c>
      <c r="H188" s="72">
        <f t="shared" ca="1" si="23"/>
        <v>4337.6052909579494</v>
      </c>
      <c r="I188" s="72">
        <f t="shared" ca="1" si="24"/>
        <v>4338.2844878276428</v>
      </c>
      <c r="J188" s="72">
        <f t="shared" ca="1" si="25"/>
        <v>2.5617793436567808</v>
      </c>
    </row>
    <row r="189" spans="1:10" x14ac:dyDescent="0.3">
      <c r="A189" s="30">
        <v>176</v>
      </c>
      <c r="B189" s="72">
        <f t="shared" ca="1" si="26"/>
        <v>0.13108494364705958</v>
      </c>
      <c r="C189" s="72">
        <f t="shared" ca="1" si="26"/>
        <v>6.9043656698096423E-2</v>
      </c>
      <c r="D189" s="72">
        <f t="shared" ca="1" si="19"/>
        <v>3.5127476806314251</v>
      </c>
      <c r="E189" s="72">
        <f t="shared" ca="1" si="20"/>
        <v>1.5898421126418256</v>
      </c>
      <c r="F189" s="72">
        <f t="shared" ca="1" si="21"/>
        <v>4339.2354561646171</v>
      </c>
      <c r="G189" s="72">
        <f t="shared" ca="1" si="22"/>
        <v>0</v>
      </c>
      <c r="H189" s="72">
        <f t="shared" ca="1" si="23"/>
        <v>4339.2354561646171</v>
      </c>
      <c r="I189" s="72">
        <f t="shared" ca="1" si="24"/>
        <v>4340.8252982772592</v>
      </c>
      <c r="J189" s="72">
        <f t="shared" ca="1" si="25"/>
        <v>1.5898421126421454</v>
      </c>
    </row>
    <row r="190" spans="1:10" x14ac:dyDescent="0.3">
      <c r="A190" s="30">
        <v>177</v>
      </c>
      <c r="B190" s="72">
        <f t="shared" ca="1" si="26"/>
        <v>0.73288990662063769</v>
      </c>
      <c r="C190" s="72">
        <f t="shared" ca="1" si="26"/>
        <v>0.35306500877978098</v>
      </c>
      <c r="D190" s="72">
        <f t="shared" ca="1" si="19"/>
        <v>33.002359270358376</v>
      </c>
      <c r="E190" s="72">
        <f t="shared" ca="1" si="20"/>
        <v>9.6779881506203456</v>
      </c>
      <c r="F190" s="72">
        <f t="shared" ca="1" si="21"/>
        <v>4372.2378154349753</v>
      </c>
      <c r="G190" s="72">
        <f t="shared" ca="1" si="22"/>
        <v>0</v>
      </c>
      <c r="H190" s="72">
        <f t="shared" ca="1" si="23"/>
        <v>4372.2378154349753</v>
      </c>
      <c r="I190" s="72">
        <f t="shared" ca="1" si="24"/>
        <v>4381.9158035855953</v>
      </c>
      <c r="J190" s="72">
        <f t="shared" ca="1" si="25"/>
        <v>9.6779881506199672</v>
      </c>
    </row>
    <row r="191" spans="1:10" x14ac:dyDescent="0.3">
      <c r="A191" s="30">
        <v>178</v>
      </c>
      <c r="B191" s="72">
        <f t="shared" ca="1" si="26"/>
        <v>0.28356365010975282</v>
      </c>
      <c r="C191" s="72">
        <f t="shared" ca="1" si="26"/>
        <v>0.80703260009617594</v>
      </c>
      <c r="D191" s="72">
        <f t="shared" ca="1" si="19"/>
        <v>8.3366467606457952</v>
      </c>
      <c r="E191" s="72">
        <f t="shared" ca="1" si="20"/>
        <v>36.560755927999544</v>
      </c>
      <c r="F191" s="72">
        <f t="shared" ca="1" si="21"/>
        <v>4380.574462195621</v>
      </c>
      <c r="G191" s="72">
        <f t="shared" ca="1" si="22"/>
        <v>1.3413413899743318</v>
      </c>
      <c r="H191" s="72">
        <f t="shared" ca="1" si="23"/>
        <v>4381.9158035855953</v>
      </c>
      <c r="I191" s="72">
        <f t="shared" ca="1" si="24"/>
        <v>4418.476559513595</v>
      </c>
      <c r="J191" s="72">
        <f t="shared" ca="1" si="25"/>
        <v>37.902097317974039</v>
      </c>
    </row>
    <row r="192" spans="1:10" x14ac:dyDescent="0.3">
      <c r="A192" s="30">
        <v>179</v>
      </c>
      <c r="B192" s="72">
        <f t="shared" ca="1" si="26"/>
        <v>0.37765890907714372</v>
      </c>
      <c r="C192" s="72">
        <f t="shared" ca="1" si="26"/>
        <v>0.153539159375502</v>
      </c>
      <c r="D192" s="72">
        <f t="shared" ca="1" si="19"/>
        <v>11.856673971439418</v>
      </c>
      <c r="E192" s="72">
        <f t="shared" ca="1" si="20"/>
        <v>3.704251973694733</v>
      </c>
      <c r="F192" s="72">
        <f t="shared" ca="1" si="21"/>
        <v>4392.4311361670607</v>
      </c>
      <c r="G192" s="72">
        <f t="shared" ca="1" si="22"/>
        <v>26.045423346534335</v>
      </c>
      <c r="H192" s="72">
        <f t="shared" ca="1" si="23"/>
        <v>4418.476559513595</v>
      </c>
      <c r="I192" s="72">
        <f t="shared" ca="1" si="24"/>
        <v>4422.1808114872902</v>
      </c>
      <c r="J192" s="72">
        <f t="shared" ca="1" si="25"/>
        <v>29.749675320229471</v>
      </c>
    </row>
    <row r="193" spans="1:10" x14ac:dyDescent="0.3">
      <c r="A193" s="30">
        <v>180</v>
      </c>
      <c r="B193" s="72">
        <f t="shared" ca="1" si="26"/>
        <v>0.67629795248746327</v>
      </c>
      <c r="C193" s="72">
        <f t="shared" ca="1" si="26"/>
        <v>0.25168617215156486</v>
      </c>
      <c r="D193" s="72">
        <f t="shared" ca="1" si="19"/>
        <v>28.198294818250226</v>
      </c>
      <c r="E193" s="72">
        <f t="shared" ca="1" si="20"/>
        <v>6.4429518455453429</v>
      </c>
      <c r="F193" s="72">
        <f t="shared" ca="1" si="21"/>
        <v>4420.629430985311</v>
      </c>
      <c r="G193" s="72">
        <f t="shared" ca="1" si="22"/>
        <v>1.5513805019791107</v>
      </c>
      <c r="H193" s="72">
        <f t="shared" ca="1" si="23"/>
        <v>4422.1808114872902</v>
      </c>
      <c r="I193" s="72">
        <f t="shared" ca="1" si="24"/>
        <v>4428.6237633328356</v>
      </c>
      <c r="J193" s="72">
        <f t="shared" ca="1" si="25"/>
        <v>7.9943323475245052</v>
      </c>
    </row>
    <row r="194" spans="1:10" x14ac:dyDescent="0.3">
      <c r="A194" s="30">
        <v>181</v>
      </c>
      <c r="B194" s="72">
        <f t="shared" ca="1" si="26"/>
        <v>9.6130494077107942E-2</v>
      </c>
      <c r="C194" s="72">
        <f t="shared" ca="1" si="26"/>
        <v>0.83731446584607416</v>
      </c>
      <c r="D194" s="72">
        <f t="shared" ca="1" si="19"/>
        <v>2.5267570216225077</v>
      </c>
      <c r="E194" s="72">
        <f t="shared" ca="1" si="20"/>
        <v>40.354137330490659</v>
      </c>
      <c r="F194" s="72">
        <f t="shared" ca="1" si="21"/>
        <v>4423.1561880069339</v>
      </c>
      <c r="G194" s="72">
        <f t="shared" ca="1" si="22"/>
        <v>5.4675753259016346</v>
      </c>
      <c r="H194" s="72">
        <f t="shared" ca="1" si="23"/>
        <v>4428.6237633328356</v>
      </c>
      <c r="I194" s="72">
        <f t="shared" ca="1" si="24"/>
        <v>4468.9779006633262</v>
      </c>
      <c r="J194" s="72">
        <f t="shared" ca="1" si="25"/>
        <v>45.821712656392265</v>
      </c>
    </row>
    <row r="195" spans="1:10" x14ac:dyDescent="0.3">
      <c r="A195" s="30">
        <v>182</v>
      </c>
      <c r="B195" s="72">
        <f t="shared" ca="1" si="26"/>
        <v>0.93196318784969567</v>
      </c>
      <c r="C195" s="72">
        <f t="shared" ca="1" si="26"/>
        <v>6.7799927615424416E-2</v>
      </c>
      <c r="D195" s="72">
        <f t="shared" ca="1" si="19"/>
        <v>67.192659128358329</v>
      </c>
      <c r="E195" s="72">
        <f t="shared" ca="1" si="20"/>
        <v>1.5601737198735279</v>
      </c>
      <c r="F195" s="72">
        <f t="shared" ca="1" si="21"/>
        <v>4490.3488471352921</v>
      </c>
      <c r="G195" s="72">
        <f t="shared" ca="1" si="22"/>
        <v>0</v>
      </c>
      <c r="H195" s="72">
        <f t="shared" ca="1" si="23"/>
        <v>4490.3488471352921</v>
      </c>
      <c r="I195" s="72">
        <f t="shared" ca="1" si="24"/>
        <v>4491.9090208551652</v>
      </c>
      <c r="J195" s="72">
        <f t="shared" ca="1" si="25"/>
        <v>1.5601737198730916</v>
      </c>
    </row>
    <row r="196" spans="1:10" x14ac:dyDescent="0.3">
      <c r="A196" s="30">
        <v>183</v>
      </c>
      <c r="B196" s="72">
        <f t="shared" ca="1" si="26"/>
        <v>0.68000338453127929</v>
      </c>
      <c r="C196" s="72">
        <f t="shared" ca="1" si="26"/>
        <v>0.26371846198457927</v>
      </c>
      <c r="D196" s="72">
        <f t="shared" ca="1" si="19"/>
        <v>28.486121497613642</v>
      </c>
      <c r="E196" s="72">
        <f t="shared" ca="1" si="20"/>
        <v>6.803171309324946</v>
      </c>
      <c r="F196" s="72">
        <f t="shared" ca="1" si="21"/>
        <v>4518.8349686329057</v>
      </c>
      <c r="G196" s="72">
        <f t="shared" ca="1" si="22"/>
        <v>0</v>
      </c>
      <c r="H196" s="72">
        <f t="shared" ca="1" si="23"/>
        <v>4518.8349686329057</v>
      </c>
      <c r="I196" s="72">
        <f t="shared" ca="1" si="24"/>
        <v>4525.6381399422307</v>
      </c>
      <c r="J196" s="72">
        <f t="shared" ca="1" si="25"/>
        <v>6.8031713093250801</v>
      </c>
    </row>
    <row r="197" spans="1:10" x14ac:dyDescent="0.3">
      <c r="A197" s="30">
        <v>184</v>
      </c>
      <c r="B197" s="72">
        <f t="shared" ca="1" si="26"/>
        <v>0.12009845331730828</v>
      </c>
      <c r="C197" s="72">
        <f t="shared" ca="1" si="26"/>
        <v>0.67300601312040753</v>
      </c>
      <c r="D197" s="72">
        <f t="shared" ca="1" si="19"/>
        <v>3.1986314134612428</v>
      </c>
      <c r="E197" s="72">
        <f t="shared" ca="1" si="20"/>
        <v>24.840299933364054</v>
      </c>
      <c r="F197" s="72">
        <f t="shared" ca="1" si="21"/>
        <v>4522.0336000463667</v>
      </c>
      <c r="G197" s="72">
        <f t="shared" ca="1" si="22"/>
        <v>3.6045398958640362</v>
      </c>
      <c r="H197" s="72">
        <f t="shared" ca="1" si="23"/>
        <v>4525.6381399422307</v>
      </c>
      <c r="I197" s="72">
        <f t="shared" ca="1" si="24"/>
        <v>4550.4784398755946</v>
      </c>
      <c r="J197" s="72">
        <f t="shared" ca="1" si="25"/>
        <v>28.444839829227931</v>
      </c>
    </row>
    <row r="198" spans="1:10" x14ac:dyDescent="0.3">
      <c r="A198" s="30">
        <v>185</v>
      </c>
      <c r="B198" s="72">
        <f t="shared" ca="1" si="26"/>
        <v>0.59727835727249878</v>
      </c>
      <c r="C198" s="72">
        <f t="shared" ca="1" si="26"/>
        <v>0.41243034306334725</v>
      </c>
      <c r="D198" s="72">
        <f t="shared" ca="1" si="19"/>
        <v>22.737741713061212</v>
      </c>
      <c r="E198" s="72">
        <f t="shared" ca="1" si="20"/>
        <v>11.816899444300867</v>
      </c>
      <c r="F198" s="72">
        <f t="shared" ca="1" si="21"/>
        <v>4544.7713417594277</v>
      </c>
      <c r="G198" s="72">
        <f t="shared" ca="1" si="22"/>
        <v>5.7070981161668897</v>
      </c>
      <c r="H198" s="72">
        <f t="shared" ca="1" si="23"/>
        <v>4550.4784398755946</v>
      </c>
      <c r="I198" s="72">
        <f t="shared" ca="1" si="24"/>
        <v>4562.2953393198959</v>
      </c>
      <c r="J198" s="72">
        <f t="shared" ca="1" si="25"/>
        <v>17.52399756046816</v>
      </c>
    </row>
    <row r="199" spans="1:10" x14ac:dyDescent="0.3">
      <c r="A199" s="30">
        <v>186</v>
      </c>
      <c r="B199" s="72">
        <f t="shared" ca="1" si="26"/>
        <v>8.5320219692534893E-2</v>
      </c>
      <c r="C199" s="72">
        <f t="shared" ca="1" si="26"/>
        <v>0.27670729986370635</v>
      </c>
      <c r="D199" s="72">
        <f t="shared" ca="1" si="19"/>
        <v>2.2295310459100506</v>
      </c>
      <c r="E199" s="72">
        <f t="shared" ca="1" si="20"/>
        <v>7.1986955026754398</v>
      </c>
      <c r="F199" s="72">
        <f t="shared" ca="1" si="21"/>
        <v>4547.0008728053381</v>
      </c>
      <c r="G199" s="72">
        <f t="shared" ca="1" si="22"/>
        <v>15.294466514557826</v>
      </c>
      <c r="H199" s="72">
        <f t="shared" ca="1" si="23"/>
        <v>4562.2953393198959</v>
      </c>
      <c r="I199" s="72">
        <f t="shared" ca="1" si="24"/>
        <v>4569.4940348225709</v>
      </c>
      <c r="J199" s="72">
        <f t="shared" ca="1" si="25"/>
        <v>22.493162017232862</v>
      </c>
    </row>
    <row r="200" spans="1:10" x14ac:dyDescent="0.3">
      <c r="A200" s="30">
        <v>187</v>
      </c>
      <c r="B200" s="72">
        <f t="shared" ca="1" si="26"/>
        <v>0.66695917844766361</v>
      </c>
      <c r="C200" s="72">
        <f t="shared" ca="1" si="26"/>
        <v>0.81330031215031739</v>
      </c>
      <c r="D200" s="72">
        <f t="shared" ca="1" si="19"/>
        <v>27.487255231766049</v>
      </c>
      <c r="E200" s="72">
        <f t="shared" ca="1" si="20"/>
        <v>37.294531119358695</v>
      </c>
      <c r="F200" s="72">
        <f t="shared" ca="1" si="21"/>
        <v>4574.4881280371037</v>
      </c>
      <c r="G200" s="72">
        <f t="shared" ca="1" si="22"/>
        <v>0</v>
      </c>
      <c r="H200" s="72">
        <f t="shared" ca="1" si="23"/>
        <v>4574.4881280371037</v>
      </c>
      <c r="I200" s="72">
        <f t="shared" ca="1" si="24"/>
        <v>4611.7826591564626</v>
      </c>
      <c r="J200" s="72">
        <f t="shared" ca="1" si="25"/>
        <v>37.294531119358908</v>
      </c>
    </row>
    <row r="201" spans="1:10" x14ac:dyDescent="0.3">
      <c r="A201" s="30">
        <v>188</v>
      </c>
      <c r="B201" s="72">
        <f t="shared" ca="1" si="26"/>
        <v>0.17400776997248424</v>
      </c>
      <c r="C201" s="72">
        <f t="shared" ca="1" si="26"/>
        <v>3.2307621534429787E-2</v>
      </c>
      <c r="D201" s="72">
        <f t="shared" ca="1" si="19"/>
        <v>4.7792478062937915</v>
      </c>
      <c r="E201" s="72">
        <f t="shared" ca="1" si="20"/>
        <v>0.72980073451384531</v>
      </c>
      <c r="F201" s="72">
        <f t="shared" ca="1" si="21"/>
        <v>4579.2673758433975</v>
      </c>
      <c r="G201" s="72">
        <f t="shared" ca="1" si="22"/>
        <v>32.515283313065083</v>
      </c>
      <c r="H201" s="72">
        <f t="shared" ca="1" si="23"/>
        <v>4611.7826591564626</v>
      </c>
      <c r="I201" s="72">
        <f t="shared" ca="1" si="24"/>
        <v>4612.5124598909761</v>
      </c>
      <c r="J201" s="72">
        <f t="shared" ca="1" si="25"/>
        <v>33.24508404757853</v>
      </c>
    </row>
    <row r="202" spans="1:10" x14ac:dyDescent="0.3">
      <c r="A202" s="30">
        <v>189</v>
      </c>
      <c r="B202" s="72">
        <f t="shared" ca="1" si="26"/>
        <v>0.885913443859637</v>
      </c>
      <c r="C202" s="72">
        <f t="shared" ca="1" si="26"/>
        <v>0.29925592542368773</v>
      </c>
      <c r="D202" s="72">
        <f t="shared" ca="1" si="19"/>
        <v>54.269946357347024</v>
      </c>
      <c r="E202" s="72">
        <f t="shared" ca="1" si="20"/>
        <v>7.9025009956478556</v>
      </c>
      <c r="F202" s="72">
        <f t="shared" ca="1" si="21"/>
        <v>4633.5373222007447</v>
      </c>
      <c r="G202" s="72">
        <f t="shared" ca="1" si="22"/>
        <v>0</v>
      </c>
      <c r="H202" s="72">
        <f t="shared" ca="1" si="23"/>
        <v>4633.5373222007447</v>
      </c>
      <c r="I202" s="72">
        <f t="shared" ca="1" si="24"/>
        <v>4641.4398231963924</v>
      </c>
      <c r="J202" s="72">
        <f t="shared" ca="1" si="25"/>
        <v>7.9025009956476424</v>
      </c>
    </row>
    <row r="203" spans="1:10" x14ac:dyDescent="0.3">
      <c r="A203" s="30">
        <v>190</v>
      </c>
      <c r="B203" s="72">
        <f t="shared" ca="1" si="26"/>
        <v>0.4800012024135617</v>
      </c>
      <c r="C203" s="72">
        <f t="shared" ca="1" si="26"/>
        <v>0.28930540343552691</v>
      </c>
      <c r="D203" s="72">
        <f t="shared" ca="1" si="19"/>
        <v>16.348219493577748</v>
      </c>
      <c r="E203" s="72">
        <f t="shared" ca="1" si="20"/>
        <v>7.5891662701082447</v>
      </c>
      <c r="F203" s="72">
        <f t="shared" ca="1" si="21"/>
        <v>4649.8855416943225</v>
      </c>
      <c r="G203" s="72">
        <f t="shared" ca="1" si="22"/>
        <v>0</v>
      </c>
      <c r="H203" s="72">
        <f t="shared" ca="1" si="23"/>
        <v>4649.8855416943225</v>
      </c>
      <c r="I203" s="72">
        <f t="shared" ca="1" si="24"/>
        <v>4657.4747079644303</v>
      </c>
      <c r="J203" s="72">
        <f t="shared" ca="1" si="25"/>
        <v>7.5891662701078531</v>
      </c>
    </row>
    <row r="204" spans="1:10" x14ac:dyDescent="0.3">
      <c r="A204" s="30">
        <v>191</v>
      </c>
      <c r="B204" s="72">
        <f t="shared" ca="1" si="26"/>
        <v>8.0650109493723754E-2</v>
      </c>
      <c r="C204" s="72">
        <f t="shared" ca="1" si="26"/>
        <v>0.27257877998096736</v>
      </c>
      <c r="D204" s="72">
        <f t="shared" ca="1" si="19"/>
        <v>2.102212487033924</v>
      </c>
      <c r="E204" s="72">
        <f t="shared" ca="1" si="20"/>
        <v>7.072212765194644</v>
      </c>
      <c r="F204" s="72">
        <f t="shared" ca="1" si="21"/>
        <v>4651.9877541813566</v>
      </c>
      <c r="G204" s="72">
        <f t="shared" ca="1" si="22"/>
        <v>5.486953783073659</v>
      </c>
      <c r="H204" s="72">
        <f t="shared" ca="1" si="23"/>
        <v>4657.4747079644303</v>
      </c>
      <c r="I204" s="72">
        <f t="shared" ca="1" si="24"/>
        <v>4664.5469207296246</v>
      </c>
      <c r="J204" s="72">
        <f t="shared" ca="1" si="25"/>
        <v>12.559166548267967</v>
      </c>
    </row>
    <row r="205" spans="1:10" x14ac:dyDescent="0.3">
      <c r="A205" s="30">
        <v>192</v>
      </c>
      <c r="B205" s="72">
        <f t="shared" ca="1" si="26"/>
        <v>0.25480174370103437</v>
      </c>
      <c r="C205" s="72">
        <f t="shared" ca="1" si="26"/>
        <v>0.36495789467758422</v>
      </c>
      <c r="D205" s="72">
        <f t="shared" ca="1" si="19"/>
        <v>7.3526245041894658</v>
      </c>
      <c r="E205" s="72">
        <f t="shared" ca="1" si="20"/>
        <v>10.090310548740916</v>
      </c>
      <c r="F205" s="72">
        <f t="shared" ca="1" si="21"/>
        <v>4659.3403786855461</v>
      </c>
      <c r="G205" s="72">
        <f t="shared" ca="1" si="22"/>
        <v>5.2065420440785601</v>
      </c>
      <c r="H205" s="72">
        <f t="shared" ca="1" si="23"/>
        <v>4664.5469207296246</v>
      </c>
      <c r="I205" s="72">
        <f t="shared" ca="1" si="24"/>
        <v>4674.6372312783651</v>
      </c>
      <c r="J205" s="72">
        <f t="shared" ca="1" si="25"/>
        <v>15.29685259281905</v>
      </c>
    </row>
    <row r="206" spans="1:10" x14ac:dyDescent="0.3">
      <c r="A206" s="30">
        <v>193</v>
      </c>
      <c r="B206" s="72">
        <f t="shared" ca="1" si="26"/>
        <v>0.13921946344429259</v>
      </c>
      <c r="C206" s="72">
        <f t="shared" ca="1" si="26"/>
        <v>0.97827024189189682</v>
      </c>
      <c r="D206" s="72">
        <f t="shared" ca="1" si="19"/>
        <v>3.7478925177209876</v>
      </c>
      <c r="E206" s="72">
        <f t="shared" ca="1" si="20"/>
        <v>85.090502588407233</v>
      </c>
      <c r="F206" s="72">
        <f t="shared" ca="1" si="21"/>
        <v>4663.0882712032671</v>
      </c>
      <c r="G206" s="72">
        <f t="shared" ca="1" si="22"/>
        <v>11.548960075097966</v>
      </c>
      <c r="H206" s="72">
        <f t="shared" ca="1" si="23"/>
        <v>4674.6372312783651</v>
      </c>
      <c r="I206" s="72">
        <f t="shared" ca="1" si="24"/>
        <v>4759.7277338667727</v>
      </c>
      <c r="J206" s="72">
        <f t="shared" ca="1" si="25"/>
        <v>96.639462663505583</v>
      </c>
    </row>
    <row r="207" spans="1:10" x14ac:dyDescent="0.3">
      <c r="A207" s="30">
        <v>194</v>
      </c>
      <c r="B207" s="72">
        <f t="shared" ca="1" si="26"/>
        <v>0.59207219195863514</v>
      </c>
      <c r="C207" s="72">
        <f t="shared" ca="1" si="26"/>
        <v>0.58904867711079867</v>
      </c>
      <c r="D207" s="72">
        <f t="shared" ca="1" si="19"/>
        <v>22.416626532724511</v>
      </c>
      <c r="E207" s="72">
        <f t="shared" ca="1" si="20"/>
        <v>19.761789050948273</v>
      </c>
      <c r="F207" s="72">
        <f t="shared" ca="1" si="21"/>
        <v>4685.504897735992</v>
      </c>
      <c r="G207" s="72">
        <f t="shared" ca="1" si="22"/>
        <v>74.222836130780706</v>
      </c>
      <c r="H207" s="72">
        <f t="shared" ca="1" si="23"/>
        <v>4759.7277338667727</v>
      </c>
      <c r="I207" s="72">
        <f t="shared" ca="1" si="24"/>
        <v>4779.4895229177209</v>
      </c>
      <c r="J207" s="72">
        <f t="shared" ca="1" si="25"/>
        <v>93.984625181728916</v>
      </c>
    </row>
    <row r="208" spans="1:10" x14ac:dyDescent="0.3">
      <c r="A208" s="30">
        <v>195</v>
      </c>
      <c r="B208" s="72">
        <f t="shared" ca="1" si="26"/>
        <v>0.83267845471883994</v>
      </c>
      <c r="C208" s="72">
        <f t="shared" ca="1" si="26"/>
        <v>0.35312268720448392</v>
      </c>
      <c r="D208" s="72">
        <f t="shared" ref="D208:D213" ca="1" si="27">(1/$F$1)*LN(1/(1-B208))</f>
        <v>44.695947424173063</v>
      </c>
      <c r="E208" s="72">
        <f t="shared" ref="E208:E213" ca="1" si="28">(1/$J$1)*LN(1/(1-C208))</f>
        <v>9.679969493305137</v>
      </c>
      <c r="F208" s="72">
        <f t="shared" ref="F208:F213" ca="1" si="29">F207+D208</f>
        <v>4730.200845160165</v>
      </c>
      <c r="G208" s="72">
        <f t="shared" ref="G208:G213" ca="1" si="30">IF(I207&gt;F208,I207-F208,0)</f>
        <v>49.288677757555888</v>
      </c>
      <c r="H208" s="72">
        <f t="shared" ref="H208:H213" ca="1" si="31">F208+G208</f>
        <v>4779.4895229177209</v>
      </c>
      <c r="I208" s="72">
        <f t="shared" ref="I208:I213" ca="1" si="32">H208+E208</f>
        <v>4789.1694924110261</v>
      </c>
      <c r="J208" s="72">
        <f t="shared" ref="J208:J213" ca="1" si="33">I208-F208</f>
        <v>58.968647250861068</v>
      </c>
    </row>
    <row r="209" spans="1:10" x14ac:dyDescent="0.3">
      <c r="A209" s="30">
        <v>196</v>
      </c>
      <c r="B209" s="72">
        <f t="shared" ca="1" si="26"/>
        <v>0.95314898007756765</v>
      </c>
      <c r="C209" s="72">
        <f t="shared" ca="1" si="26"/>
        <v>0.46732795116533032</v>
      </c>
      <c r="D209" s="72">
        <f t="shared" ca="1" si="27"/>
        <v>76.519562514470039</v>
      </c>
      <c r="E209" s="72">
        <f t="shared" ca="1" si="28"/>
        <v>13.996651937329425</v>
      </c>
      <c r="F209" s="72">
        <f t="shared" ca="1" si="29"/>
        <v>4806.7204076746348</v>
      </c>
      <c r="G209" s="72">
        <f t="shared" ca="1" si="30"/>
        <v>0</v>
      </c>
      <c r="H209" s="72">
        <f t="shared" ca="1" si="31"/>
        <v>4806.7204076746348</v>
      </c>
      <c r="I209" s="72">
        <f t="shared" ca="1" si="32"/>
        <v>4820.717059611964</v>
      </c>
      <c r="J209" s="72">
        <f t="shared" ca="1" si="33"/>
        <v>13.996651937329261</v>
      </c>
    </row>
    <row r="210" spans="1:10" x14ac:dyDescent="0.3">
      <c r="A210" s="30">
        <v>197</v>
      </c>
      <c r="B210" s="72">
        <f t="shared" ca="1" si="26"/>
        <v>0.25662678240044989</v>
      </c>
      <c r="C210" s="72">
        <f t="shared" ca="1" si="26"/>
        <v>0.60202752560912398</v>
      </c>
      <c r="D210" s="72">
        <f t="shared" ca="1" si="27"/>
        <v>7.4139262167997906</v>
      </c>
      <c r="E210" s="72">
        <f t="shared" ca="1" si="28"/>
        <v>20.474943020250436</v>
      </c>
      <c r="F210" s="72">
        <f t="shared" ca="1" si="29"/>
        <v>4814.1343338914348</v>
      </c>
      <c r="G210" s="72">
        <f t="shared" ca="1" si="30"/>
        <v>6.5827257205291971</v>
      </c>
      <c r="H210" s="72">
        <f t="shared" ca="1" si="31"/>
        <v>4820.717059611964</v>
      </c>
      <c r="I210" s="72">
        <f t="shared" ca="1" si="32"/>
        <v>4841.1920026322141</v>
      </c>
      <c r="J210" s="72">
        <f t="shared" ca="1" si="33"/>
        <v>27.057668740779263</v>
      </c>
    </row>
    <row r="211" spans="1:10" x14ac:dyDescent="0.3">
      <c r="A211" s="30">
        <v>198</v>
      </c>
      <c r="B211" s="72">
        <f t="shared" ca="1" si="26"/>
        <v>0.72346601057601767</v>
      </c>
      <c r="C211" s="72">
        <f t="shared" ca="1" si="26"/>
        <v>0.44965414090685674</v>
      </c>
      <c r="D211" s="72">
        <f t="shared" ca="1" si="27"/>
        <v>32.135538454558976</v>
      </c>
      <c r="E211" s="72">
        <f t="shared" ca="1" si="28"/>
        <v>13.271296970544787</v>
      </c>
      <c r="F211" s="72">
        <f t="shared" ca="1" si="29"/>
        <v>4846.2698723459935</v>
      </c>
      <c r="G211" s="72">
        <f t="shared" ca="1" si="30"/>
        <v>0</v>
      </c>
      <c r="H211" s="72">
        <f t="shared" ca="1" si="31"/>
        <v>4846.2698723459935</v>
      </c>
      <c r="I211" s="72">
        <f t="shared" ca="1" si="32"/>
        <v>4859.5411693165379</v>
      </c>
      <c r="J211" s="72">
        <f t="shared" ca="1" si="33"/>
        <v>13.271296970544427</v>
      </c>
    </row>
    <row r="212" spans="1:10" x14ac:dyDescent="0.3">
      <c r="A212" s="30">
        <v>199</v>
      </c>
      <c r="B212" s="72">
        <f t="shared" ca="1" si="26"/>
        <v>0.634648001594591</v>
      </c>
      <c r="C212" s="72">
        <f t="shared" ca="1" si="26"/>
        <v>0.63048551370727379</v>
      </c>
      <c r="D212" s="72">
        <f t="shared" ca="1" si="27"/>
        <v>25.172350273040195</v>
      </c>
      <c r="E212" s="72">
        <f t="shared" ca="1" si="28"/>
        <v>22.123674094221844</v>
      </c>
      <c r="F212" s="72">
        <f t="shared" ca="1" si="29"/>
        <v>4871.4422226190336</v>
      </c>
      <c r="G212" s="72">
        <f t="shared" ca="1" si="30"/>
        <v>0</v>
      </c>
      <c r="H212" s="72">
        <f t="shared" ca="1" si="31"/>
        <v>4871.4422226190336</v>
      </c>
      <c r="I212" s="72">
        <f t="shared" ca="1" si="32"/>
        <v>4893.5658967132558</v>
      </c>
      <c r="J212" s="72">
        <f t="shared" ca="1" si="33"/>
        <v>22.123674094222224</v>
      </c>
    </row>
    <row r="213" spans="1:10" x14ac:dyDescent="0.3">
      <c r="A213" s="30">
        <v>200</v>
      </c>
      <c r="B213" s="72">
        <f t="shared" ca="1" si="26"/>
        <v>5.0986643945210686E-2</v>
      </c>
      <c r="C213" s="72">
        <f t="shared" ca="1" si="26"/>
        <v>0.92176435301992943</v>
      </c>
      <c r="D213" s="72">
        <f t="shared" ca="1" si="27"/>
        <v>1.3083101662914025</v>
      </c>
      <c r="E213" s="72">
        <f t="shared" ca="1" si="28"/>
        <v>56.622886479136582</v>
      </c>
      <c r="F213" s="72">
        <f t="shared" ca="1" si="29"/>
        <v>4872.750532785325</v>
      </c>
      <c r="G213" s="72">
        <f t="shared" ca="1" si="30"/>
        <v>20.815363927930775</v>
      </c>
      <c r="H213" s="72">
        <f t="shared" ca="1" si="31"/>
        <v>4893.5658967132558</v>
      </c>
      <c r="I213" s="73">
        <f t="shared" ca="1" si="32"/>
        <v>4950.1887831923923</v>
      </c>
      <c r="J213" s="72">
        <f t="shared" ca="1" si="33"/>
        <v>77.438250407067244</v>
      </c>
    </row>
    <row r="214" spans="1:10" ht="18.600000000000001" x14ac:dyDescent="0.3">
      <c r="D214" s="8" t="s">
        <v>197</v>
      </c>
      <c r="E214" s="8" t="s">
        <v>204</v>
      </c>
      <c r="G214" s="8" t="s">
        <v>200</v>
      </c>
      <c r="J214" s="8" t="s">
        <v>222</v>
      </c>
    </row>
    <row r="215" spans="1:10" x14ac:dyDescent="0.3">
      <c r="D215" s="72">
        <f ca="1">AVERAGE(D14:D213)</f>
        <v>24.363752663926626</v>
      </c>
      <c r="E215" s="72">
        <f ca="1">AVERAGE(E14:E213)</f>
        <v>21.129849936453752</v>
      </c>
      <c r="G215" s="72">
        <f ca="1">AVERAGE(G14:G213)</f>
        <v>81.086951762012262</v>
      </c>
      <c r="J215" s="73">
        <f ca="1">AVERAGE(J14:J213)</f>
        <v>102.21680169846599</v>
      </c>
    </row>
    <row r="216" spans="1:10" x14ac:dyDescent="0.3">
      <c r="D216" s="3" t="s">
        <v>198</v>
      </c>
      <c r="E216" s="6" t="s">
        <v>221</v>
      </c>
      <c r="G216" s="6" t="s">
        <v>202</v>
      </c>
      <c r="J216" s="6" t="s">
        <v>205</v>
      </c>
    </row>
    <row r="217" spans="1:10" x14ac:dyDescent="0.3">
      <c r="D217" s="72">
        <f ca="1">1/D215</f>
        <v>4.1044580192304142E-2</v>
      </c>
      <c r="E217" s="72">
        <f ca="1">1/E215</f>
        <v>4.7326412776589326E-2</v>
      </c>
      <c r="G217" s="72">
        <f ca="1">SUM(G14:G213)/$I$213</f>
        <v>3.2761155306775609</v>
      </c>
      <c r="J217" s="72">
        <f ca="1">SUM(J14:J213)/$I$213</f>
        <v>4.1298142828624025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8673" r:id="rId3" name="CommandButton1">
          <controlPr defaultSize="0" autoLine="0" r:id="rId4">
            <anchor moveWithCells="1">
              <from>
                <xdr:col>11</xdr:col>
                <xdr:colOff>7620</xdr:colOff>
                <xdr:row>0</xdr:row>
                <xdr:rowOff>175260</xdr:rowOff>
              </from>
              <to>
                <xdr:col>12</xdr:col>
                <xdr:colOff>358140</xdr:colOff>
                <xdr:row>2</xdr:row>
                <xdr:rowOff>99060</xdr:rowOff>
              </to>
            </anchor>
          </controlPr>
        </control>
      </mc:Choice>
      <mc:Fallback>
        <control shapeId="28673" r:id="rId3" name="CommandButton1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5"/>
  <dimension ref="A1:J213"/>
  <sheetViews>
    <sheetView workbookViewId="0">
      <selection activeCell="L34" sqref="L34"/>
    </sheetView>
  </sheetViews>
  <sheetFormatPr defaultRowHeight="14.4" x14ac:dyDescent="0.3"/>
  <cols>
    <col min="2" max="2" width="11.5546875" customWidth="1"/>
    <col min="3" max="3" width="11" customWidth="1"/>
    <col min="4" max="4" width="12" customWidth="1"/>
    <col min="5" max="5" width="12.109375" customWidth="1"/>
    <col min="6" max="6" width="12.5546875" customWidth="1"/>
    <col min="7" max="7" width="14" customWidth="1"/>
    <col min="8" max="8" width="12.109375" customWidth="1"/>
    <col min="9" max="9" width="12.6640625" customWidth="1"/>
    <col min="10" max="10" width="13.6640625" customWidth="1"/>
  </cols>
  <sheetData>
    <row r="1" spans="1:10" ht="57.6" x14ac:dyDescent="0.3">
      <c r="D1" s="2" t="s">
        <v>1</v>
      </c>
      <c r="E1" s="3" t="s">
        <v>2</v>
      </c>
      <c r="F1" s="4">
        <v>0.04</v>
      </c>
      <c r="H1" s="5" t="s">
        <v>3</v>
      </c>
      <c r="I1" s="6" t="s">
        <v>4</v>
      </c>
      <c r="J1" s="42">
        <v>4.4999999999999998E-2</v>
      </c>
    </row>
    <row r="5" spans="1:10" x14ac:dyDescent="0.3">
      <c r="D5" t="s">
        <v>6</v>
      </c>
    </row>
    <row r="6" spans="1:10" ht="18.600000000000001" x14ac:dyDescent="0.3">
      <c r="D6" s="8" t="s">
        <v>7</v>
      </c>
      <c r="E6" s="7" t="s">
        <v>8</v>
      </c>
    </row>
    <row r="7" spans="1:10" ht="18.600000000000001" x14ac:dyDescent="0.3">
      <c r="D7" s="8" t="s">
        <v>9</v>
      </c>
      <c r="E7" s="7" t="s">
        <v>10</v>
      </c>
    </row>
    <row r="8" spans="1:10" ht="18" x14ac:dyDescent="0.3">
      <c r="D8" s="9" t="s">
        <v>11</v>
      </c>
      <c r="E8" s="7" t="s">
        <v>12</v>
      </c>
    </row>
    <row r="9" spans="1:10" ht="18.600000000000001" x14ac:dyDescent="0.3">
      <c r="D9" s="8" t="s">
        <v>13</v>
      </c>
      <c r="E9" s="7" t="s">
        <v>14</v>
      </c>
    </row>
    <row r="10" spans="1:10" ht="18" x14ac:dyDescent="0.3">
      <c r="D10" s="9" t="s">
        <v>15</v>
      </c>
      <c r="E10" s="7" t="s">
        <v>16</v>
      </c>
    </row>
    <row r="11" spans="1:10" ht="18.600000000000001" x14ac:dyDescent="0.3">
      <c r="D11" s="8" t="s">
        <v>17</v>
      </c>
      <c r="E11" s="7" t="s">
        <v>18</v>
      </c>
    </row>
    <row r="13" spans="1:10" ht="21" x14ac:dyDescent="0.3">
      <c r="A13" s="8" t="s">
        <v>19</v>
      </c>
      <c r="B13" s="8" t="s">
        <v>20</v>
      </c>
      <c r="C13" s="8" t="s">
        <v>21</v>
      </c>
      <c r="D13" s="8" t="s">
        <v>7</v>
      </c>
      <c r="E13" s="8" t="s">
        <v>9</v>
      </c>
      <c r="F13" s="9" t="s">
        <v>11</v>
      </c>
      <c r="G13" s="8" t="s">
        <v>13</v>
      </c>
      <c r="H13" s="9" t="s">
        <v>189</v>
      </c>
      <c r="I13" s="9" t="s">
        <v>15</v>
      </c>
      <c r="J13" s="10" t="s">
        <v>22</v>
      </c>
    </row>
    <row r="14" spans="1:10" x14ac:dyDescent="0.3">
      <c r="A14" s="30">
        <v>1</v>
      </c>
      <c r="B14" s="72">
        <f ca="1">RAND()</f>
        <v>0.47698675720947226</v>
      </c>
      <c r="C14" s="72">
        <f ca="1">RAND()</f>
        <v>0.77334323646825176</v>
      </c>
      <c r="D14" s="72">
        <f ca="1">(1/$F$1)*LN(1/(1-B14))</f>
        <v>16.203712360364797</v>
      </c>
      <c r="E14" s="72">
        <f ca="1">(1/$J$1)*LN(1/(1-C14))</f>
        <v>32.984854683014532</v>
      </c>
      <c r="F14" s="72">
        <f ca="1">D14</f>
        <v>16.203712360364797</v>
      </c>
      <c r="G14" s="72">
        <v>0</v>
      </c>
      <c r="H14" s="72">
        <f ca="1">F14+G14</f>
        <v>16.203712360364797</v>
      </c>
      <c r="I14" s="72">
        <f ca="1">H14+E14</f>
        <v>49.188567043379329</v>
      </c>
      <c r="J14" s="72">
        <f ca="1">I14-F14</f>
        <v>32.984854683014532</v>
      </c>
    </row>
    <row r="15" spans="1:10" x14ac:dyDescent="0.3">
      <c r="A15" s="30">
        <v>2</v>
      </c>
      <c r="B15" s="72">
        <f ca="1">RAND()</f>
        <v>0.13710513668833946</v>
      </c>
      <c r="C15" s="72">
        <f ca="1">RAND()</f>
        <v>0.35868061807134444</v>
      </c>
      <c r="D15" s="72">
        <f ca="1">(1/$F$1)*LN(1/(1-B15))</f>
        <v>3.6865605576387175</v>
      </c>
      <c r="E15" s="72">
        <f ca="1">(1/$J$1)*LN(1/(1-C15))</f>
        <v>9.8717264535713056</v>
      </c>
      <c r="F15" s="72">
        <f ca="1">F14+D15</f>
        <v>19.890272918003514</v>
      </c>
      <c r="G15" s="72">
        <f ca="1">IF(I14&gt;F15,I14-F15,0)</f>
        <v>29.298294125375815</v>
      </c>
      <c r="H15" s="72">
        <f ca="1">F15+G15</f>
        <v>49.188567043379329</v>
      </c>
      <c r="I15" s="72">
        <f ca="1">H15+E15</f>
        <v>59.060293496950635</v>
      </c>
      <c r="J15" s="72">
        <f ca="1">I15-F15</f>
        <v>39.170020578947117</v>
      </c>
    </row>
    <row r="16" spans="1:10" x14ac:dyDescent="0.3">
      <c r="A16" s="30">
        <v>3</v>
      </c>
      <c r="B16" s="72">
        <f t="shared" ref="B16:C31" ca="1" si="0">RAND()</f>
        <v>0.57988961390370364</v>
      </c>
      <c r="C16" s="72">
        <f t="shared" ca="1" si="0"/>
        <v>1.0337451738995362E-3</v>
      </c>
      <c r="D16" s="72">
        <f t="shared" ref="D16:D26" ca="1" si="1">(1/$F$1)*LN(1/(1-B16))</f>
        <v>21.680944454952733</v>
      </c>
      <c r="E16" s="72">
        <f t="shared" ref="E16:E26" ca="1" si="2">(1/$J$1)*LN(1/(1-C16))</f>
        <v>2.298399682128241E-2</v>
      </c>
      <c r="F16" s="72">
        <f t="shared" ref="F16:F26" ca="1" si="3">F15+D16</f>
        <v>41.571217372956248</v>
      </c>
      <c r="G16" s="72">
        <f t="shared" ref="G16:G26" ca="1" si="4">IF(I15&gt;F16,I15-F16,0)</f>
        <v>17.489076123994387</v>
      </c>
      <c r="H16" s="72">
        <f t="shared" ref="H16:H26" ca="1" si="5">F16+G16</f>
        <v>59.060293496950635</v>
      </c>
      <c r="I16" s="72">
        <f t="shared" ref="I16:I26" ca="1" si="6">H16+E16</f>
        <v>59.083277493771917</v>
      </c>
      <c r="J16" s="72">
        <f t="shared" ref="J16:J26" ca="1" si="7">I16-F16</f>
        <v>17.512060120815669</v>
      </c>
    </row>
    <row r="17" spans="1:10" x14ac:dyDescent="0.3">
      <c r="A17" s="30">
        <v>4</v>
      </c>
      <c r="B17" s="72">
        <f t="shared" ca="1" si="0"/>
        <v>0.37319167121950436</v>
      </c>
      <c r="C17" s="72">
        <f t="shared" ca="1" si="0"/>
        <v>0.6523741787074675</v>
      </c>
      <c r="D17" s="72">
        <f t="shared" ca="1" si="1"/>
        <v>11.677862020214159</v>
      </c>
      <c r="E17" s="72">
        <f t="shared" ca="1" si="2"/>
        <v>23.480635641086675</v>
      </c>
      <c r="F17" s="72">
        <f t="shared" ca="1" si="3"/>
        <v>53.249079393170405</v>
      </c>
      <c r="G17" s="72">
        <f t="shared" ca="1" si="4"/>
        <v>5.8341981006015118</v>
      </c>
      <c r="H17" s="72">
        <f t="shared" ca="1" si="5"/>
        <v>59.083277493771917</v>
      </c>
      <c r="I17" s="72">
        <f t="shared" ca="1" si="6"/>
        <v>82.563913134858595</v>
      </c>
      <c r="J17" s="72">
        <f t="shared" ca="1" si="7"/>
        <v>29.31483374168819</v>
      </c>
    </row>
    <row r="18" spans="1:10" x14ac:dyDescent="0.3">
      <c r="A18" s="30">
        <v>5</v>
      </c>
      <c r="B18" s="72">
        <f t="shared" ca="1" si="0"/>
        <v>0.76363735750848816</v>
      </c>
      <c r="C18" s="72">
        <f t="shared" ca="1" si="0"/>
        <v>0.3238152748396248</v>
      </c>
      <c r="D18" s="72">
        <f t="shared" ca="1" si="1"/>
        <v>36.059700815584463</v>
      </c>
      <c r="E18" s="72">
        <f t="shared" ca="1" si="2"/>
        <v>8.6953106265975908</v>
      </c>
      <c r="F18" s="72">
        <f t="shared" ca="1" si="3"/>
        <v>89.308780208754868</v>
      </c>
      <c r="G18" s="72">
        <f t="shared" ca="1" si="4"/>
        <v>0</v>
      </c>
      <c r="H18" s="72">
        <f t="shared" ca="1" si="5"/>
        <v>89.308780208754868</v>
      </c>
      <c r="I18" s="72">
        <f t="shared" ca="1" si="6"/>
        <v>98.004090835352457</v>
      </c>
      <c r="J18" s="72">
        <f t="shared" ca="1" si="7"/>
        <v>8.695310626597589</v>
      </c>
    </row>
    <row r="19" spans="1:10" x14ac:dyDescent="0.3">
      <c r="A19" s="30">
        <v>6</v>
      </c>
      <c r="B19" s="72">
        <f t="shared" ca="1" si="0"/>
        <v>0.85303666785250287</v>
      </c>
      <c r="C19" s="72">
        <f t="shared" ca="1" si="0"/>
        <v>0.55097635113287569</v>
      </c>
      <c r="D19" s="72">
        <f t="shared" ca="1" si="1"/>
        <v>47.93930411231284</v>
      </c>
      <c r="E19" s="72">
        <f t="shared" ca="1" si="2"/>
        <v>17.792882723204901</v>
      </c>
      <c r="F19" s="72">
        <f t="shared" ca="1" si="3"/>
        <v>137.24808432106772</v>
      </c>
      <c r="G19" s="72">
        <f t="shared" ca="1" si="4"/>
        <v>0</v>
      </c>
      <c r="H19" s="72">
        <f t="shared" ca="1" si="5"/>
        <v>137.24808432106772</v>
      </c>
      <c r="I19" s="72">
        <f t="shared" ca="1" si="6"/>
        <v>155.04096704427263</v>
      </c>
      <c r="J19" s="72">
        <f t="shared" ca="1" si="7"/>
        <v>17.792882723204912</v>
      </c>
    </row>
    <row r="20" spans="1:10" x14ac:dyDescent="0.3">
      <c r="A20" s="30">
        <v>7</v>
      </c>
      <c r="B20" s="72">
        <f t="shared" ca="1" si="0"/>
        <v>0.45739426762947288</v>
      </c>
      <c r="C20" s="72">
        <f t="shared" ca="1" si="0"/>
        <v>0.99925965412716011</v>
      </c>
      <c r="D20" s="72">
        <f t="shared" ca="1" si="1"/>
        <v>15.284307854472306</v>
      </c>
      <c r="E20" s="72">
        <f t="shared" ca="1" si="2"/>
        <v>160.18651300515205</v>
      </c>
      <c r="F20" s="72">
        <f t="shared" ca="1" si="3"/>
        <v>152.53239217554002</v>
      </c>
      <c r="G20" s="72">
        <f t="shared" ca="1" si="4"/>
        <v>2.5085748687326088</v>
      </c>
      <c r="H20" s="72">
        <f t="shared" ca="1" si="5"/>
        <v>155.04096704427263</v>
      </c>
      <c r="I20" s="72">
        <f t="shared" ca="1" si="6"/>
        <v>315.22748004942468</v>
      </c>
      <c r="J20" s="72">
        <f t="shared" ca="1" si="7"/>
        <v>162.69508787388466</v>
      </c>
    </row>
    <row r="21" spans="1:10" x14ac:dyDescent="0.3">
      <c r="A21" s="30">
        <v>8</v>
      </c>
      <c r="B21" s="72">
        <f t="shared" ca="1" si="0"/>
        <v>0.28604675774879051</v>
      </c>
      <c r="C21" s="72">
        <f t="shared" ca="1" si="0"/>
        <v>0.22551636766877992</v>
      </c>
      <c r="D21" s="72">
        <f t="shared" ca="1" si="1"/>
        <v>8.4234451457511668</v>
      </c>
      <c r="E21" s="72">
        <f t="shared" ca="1" si="2"/>
        <v>5.6790833901215416</v>
      </c>
      <c r="F21" s="72">
        <f t="shared" ca="1" si="3"/>
        <v>160.9558373212912</v>
      </c>
      <c r="G21" s="72">
        <f t="shared" ca="1" si="4"/>
        <v>154.27164272813349</v>
      </c>
      <c r="H21" s="72">
        <f t="shared" ca="1" si="5"/>
        <v>315.22748004942468</v>
      </c>
      <c r="I21" s="72">
        <f t="shared" ca="1" si="6"/>
        <v>320.90656343954623</v>
      </c>
      <c r="J21" s="72">
        <f t="shared" ca="1" si="7"/>
        <v>159.95072611825503</v>
      </c>
    </row>
    <row r="22" spans="1:10" x14ac:dyDescent="0.3">
      <c r="A22" s="30">
        <v>9</v>
      </c>
      <c r="B22" s="72">
        <f t="shared" ca="1" si="0"/>
        <v>0.76249014979807073</v>
      </c>
      <c r="C22" s="72">
        <f t="shared" ca="1" si="0"/>
        <v>0.37793162271935488</v>
      </c>
      <c r="D22" s="72">
        <f t="shared" ca="1" si="1"/>
        <v>35.938654545826168</v>
      </c>
      <c r="E22" s="72">
        <f t="shared" ca="1" si="2"/>
        <v>10.549005799235493</v>
      </c>
      <c r="F22" s="72">
        <f t="shared" ca="1" si="3"/>
        <v>196.89449186711738</v>
      </c>
      <c r="G22" s="72">
        <f t="shared" ca="1" si="4"/>
        <v>124.01207157242885</v>
      </c>
      <c r="H22" s="72">
        <f t="shared" ca="1" si="5"/>
        <v>320.90656343954623</v>
      </c>
      <c r="I22" s="72">
        <f t="shared" ca="1" si="6"/>
        <v>331.45556923878172</v>
      </c>
      <c r="J22" s="72">
        <f t="shared" ca="1" si="7"/>
        <v>134.56107737166434</v>
      </c>
    </row>
    <row r="23" spans="1:10" x14ac:dyDescent="0.3">
      <c r="A23" s="30">
        <v>10</v>
      </c>
      <c r="B23" s="72">
        <f t="shared" ca="1" si="0"/>
        <v>0.99041561425705293</v>
      </c>
      <c r="C23" s="72">
        <f t="shared" ca="1" si="0"/>
        <v>0.94732048200914154</v>
      </c>
      <c r="D23" s="72">
        <f t="shared" ca="1" si="1"/>
        <v>116.19049974452371</v>
      </c>
      <c r="E23" s="72">
        <f t="shared" ca="1" si="2"/>
        <v>65.411745597885115</v>
      </c>
      <c r="F23" s="72">
        <f t="shared" ca="1" si="3"/>
        <v>313.0849916116411</v>
      </c>
      <c r="G23" s="72">
        <f t="shared" ca="1" si="4"/>
        <v>18.370577627140619</v>
      </c>
      <c r="H23" s="72">
        <f t="shared" ca="1" si="5"/>
        <v>331.45556923878172</v>
      </c>
      <c r="I23" s="72">
        <f t="shared" ca="1" si="6"/>
        <v>396.86731483666682</v>
      </c>
      <c r="J23" s="72">
        <f t="shared" ca="1" si="7"/>
        <v>83.782323225025721</v>
      </c>
    </row>
    <row r="24" spans="1:10" x14ac:dyDescent="0.3">
      <c r="A24" s="30">
        <v>11</v>
      </c>
      <c r="B24" s="72">
        <f t="shared" ca="1" si="0"/>
        <v>0.22023231139306343</v>
      </c>
      <c r="C24" s="72">
        <f t="shared" ca="1" si="0"/>
        <v>0.64264604085100085</v>
      </c>
      <c r="D24" s="72">
        <f t="shared" ca="1" si="1"/>
        <v>6.218980969487486</v>
      </c>
      <c r="E24" s="72">
        <f t="shared" ca="1" si="2"/>
        <v>22.867300137472363</v>
      </c>
      <c r="F24" s="72">
        <f t="shared" ca="1" si="3"/>
        <v>319.30397258112856</v>
      </c>
      <c r="G24" s="72">
        <f t="shared" ca="1" si="4"/>
        <v>77.563342255538259</v>
      </c>
      <c r="H24" s="72">
        <f t="shared" ca="1" si="5"/>
        <v>396.86731483666682</v>
      </c>
      <c r="I24" s="72">
        <f t="shared" ca="1" si="6"/>
        <v>419.73461497413916</v>
      </c>
      <c r="J24" s="72">
        <f t="shared" ca="1" si="7"/>
        <v>100.4306423930106</v>
      </c>
    </row>
    <row r="25" spans="1:10" x14ac:dyDescent="0.3">
      <c r="A25" s="30">
        <v>12</v>
      </c>
      <c r="B25" s="72">
        <f t="shared" ca="1" si="0"/>
        <v>0.91351981482313727</v>
      </c>
      <c r="C25" s="72">
        <f t="shared" ca="1" si="0"/>
        <v>0.97085817384986528</v>
      </c>
      <c r="D25" s="72">
        <f t="shared" ca="1" si="1"/>
        <v>61.19599910963516</v>
      </c>
      <c r="E25" s="72">
        <f t="shared" ca="1" si="2"/>
        <v>78.568462489339595</v>
      </c>
      <c r="F25" s="72">
        <f t="shared" ca="1" si="3"/>
        <v>380.49997169076374</v>
      </c>
      <c r="G25" s="72">
        <f t="shared" ca="1" si="4"/>
        <v>39.234643283375419</v>
      </c>
      <c r="H25" s="72">
        <f t="shared" ca="1" si="5"/>
        <v>419.73461497413916</v>
      </c>
      <c r="I25" s="72">
        <f t="shared" ca="1" si="6"/>
        <v>498.30307746347876</v>
      </c>
      <c r="J25" s="72">
        <f t="shared" ca="1" si="7"/>
        <v>117.80310577271501</v>
      </c>
    </row>
    <row r="26" spans="1:10" x14ac:dyDescent="0.3">
      <c r="A26" s="30">
        <v>13</v>
      </c>
      <c r="B26" s="72">
        <f t="shared" ca="1" si="0"/>
        <v>0.65769455021564693</v>
      </c>
      <c r="C26" s="72">
        <f t="shared" ca="1" si="0"/>
        <v>0.36848187530709353</v>
      </c>
      <c r="D26" s="72">
        <f t="shared" ca="1" si="1"/>
        <v>26.801295312415611</v>
      </c>
      <c r="E26" s="72">
        <f t="shared" ca="1" si="2"/>
        <v>10.213969701897669</v>
      </c>
      <c r="F26" s="72">
        <f t="shared" ca="1" si="3"/>
        <v>407.30126700317936</v>
      </c>
      <c r="G26" s="72">
        <f t="shared" ca="1" si="4"/>
        <v>91.001810460299396</v>
      </c>
      <c r="H26" s="72">
        <f t="shared" ca="1" si="5"/>
        <v>498.30307746347876</v>
      </c>
      <c r="I26" s="72">
        <f t="shared" ca="1" si="6"/>
        <v>508.51704716537643</v>
      </c>
      <c r="J26" s="72">
        <f t="shared" ca="1" si="7"/>
        <v>101.21578016219706</v>
      </c>
    </row>
    <row r="27" spans="1:10" x14ac:dyDescent="0.3">
      <c r="A27" s="30">
        <v>14</v>
      </c>
      <c r="B27" s="72">
        <f t="shared" ca="1" si="0"/>
        <v>0.18435287077884088</v>
      </c>
      <c r="C27" s="72">
        <f t="shared" ca="1" si="0"/>
        <v>0.37027921173850997</v>
      </c>
      <c r="D27" s="72">
        <f t="shared" ref="D27:D90" ca="1" si="8">(1/$F$1)*LN(1/(1-B27))</f>
        <v>5.0943364306746304</v>
      </c>
      <c r="E27" s="72">
        <f t="shared" ref="E27:E90" ca="1" si="9">(1/$J$1)*LN(1/(1-C27))</f>
        <v>10.277305579365288</v>
      </c>
      <c r="F27" s="72">
        <f t="shared" ref="F27:F90" ca="1" si="10">F26+D27</f>
        <v>412.39560343385398</v>
      </c>
      <c r="G27" s="72">
        <f t="shared" ref="G27:G90" ca="1" si="11">IF(I26&gt;F27,I26-F27,0)</f>
        <v>96.121443731522447</v>
      </c>
      <c r="H27" s="72">
        <f t="shared" ref="H27:H90" ca="1" si="12">F27+G27</f>
        <v>508.51704716537643</v>
      </c>
      <c r="I27" s="72">
        <f t="shared" ref="I27:I90" ca="1" si="13">H27+E27</f>
        <v>518.79435274474167</v>
      </c>
      <c r="J27" s="72">
        <f t="shared" ref="J27:J90" ca="1" si="14">I27-F27</f>
        <v>106.39874931088769</v>
      </c>
    </row>
    <row r="28" spans="1:10" x14ac:dyDescent="0.3">
      <c r="A28" s="30">
        <v>15</v>
      </c>
      <c r="B28" s="72">
        <f t="shared" ca="1" si="0"/>
        <v>0.94671254406354233</v>
      </c>
      <c r="C28" s="72">
        <f t="shared" ca="1" si="0"/>
        <v>0.16654570225674536</v>
      </c>
      <c r="D28" s="72">
        <f t="shared" ca="1" si="8"/>
        <v>73.301358094829695</v>
      </c>
      <c r="E28" s="72">
        <f t="shared" ca="1" si="9"/>
        <v>4.048364667474428</v>
      </c>
      <c r="F28" s="72">
        <f t="shared" ca="1" si="10"/>
        <v>485.69696152868369</v>
      </c>
      <c r="G28" s="72">
        <f t="shared" ca="1" si="11"/>
        <v>33.097391216057986</v>
      </c>
      <c r="H28" s="72">
        <f t="shared" ca="1" si="12"/>
        <v>518.79435274474167</v>
      </c>
      <c r="I28" s="72">
        <f t="shared" ca="1" si="13"/>
        <v>522.84271741221607</v>
      </c>
      <c r="J28" s="72">
        <f t="shared" ca="1" si="14"/>
        <v>37.145755883532388</v>
      </c>
    </row>
    <row r="29" spans="1:10" x14ac:dyDescent="0.3">
      <c r="A29" s="30">
        <v>16</v>
      </c>
      <c r="B29" s="72">
        <f t="shared" ca="1" si="0"/>
        <v>4.9765639059388023E-2</v>
      </c>
      <c r="C29" s="72">
        <f t="shared" ca="1" si="0"/>
        <v>0.21841926798937594</v>
      </c>
      <c r="D29" s="72">
        <f t="shared" ca="1" si="8"/>
        <v>1.2761657271244458</v>
      </c>
      <c r="E29" s="72">
        <f t="shared" ca="1" si="9"/>
        <v>5.476374011994273</v>
      </c>
      <c r="F29" s="72">
        <f t="shared" ca="1" si="10"/>
        <v>486.97312725580815</v>
      </c>
      <c r="G29" s="72">
        <f t="shared" ca="1" si="11"/>
        <v>35.869590156407924</v>
      </c>
      <c r="H29" s="72">
        <f t="shared" ca="1" si="12"/>
        <v>522.84271741221607</v>
      </c>
      <c r="I29" s="72">
        <f t="shared" ca="1" si="13"/>
        <v>528.31909142421034</v>
      </c>
      <c r="J29" s="72">
        <f t="shared" ca="1" si="14"/>
        <v>41.34596416840219</v>
      </c>
    </row>
    <row r="30" spans="1:10" x14ac:dyDescent="0.3">
      <c r="A30" s="30">
        <v>17</v>
      </c>
      <c r="B30" s="72">
        <f t="shared" ca="1" si="0"/>
        <v>0.84010499974150599</v>
      </c>
      <c r="C30" s="72">
        <f t="shared" ca="1" si="0"/>
        <v>0.94118076421988417</v>
      </c>
      <c r="D30" s="72">
        <f t="shared" ca="1" si="8"/>
        <v>45.830948188948675</v>
      </c>
      <c r="E30" s="72">
        <f t="shared" ca="1" si="9"/>
        <v>62.961918632406075</v>
      </c>
      <c r="F30" s="72">
        <f t="shared" ca="1" si="10"/>
        <v>532.80407544475679</v>
      </c>
      <c r="G30" s="72">
        <f t="shared" ca="1" si="11"/>
        <v>0</v>
      </c>
      <c r="H30" s="72">
        <f t="shared" ca="1" si="12"/>
        <v>532.80407544475679</v>
      </c>
      <c r="I30" s="72">
        <f t="shared" ca="1" si="13"/>
        <v>595.76599407716287</v>
      </c>
      <c r="J30" s="72">
        <f t="shared" ca="1" si="14"/>
        <v>62.961918632406082</v>
      </c>
    </row>
    <row r="31" spans="1:10" x14ac:dyDescent="0.3">
      <c r="A31" s="30">
        <v>18</v>
      </c>
      <c r="B31" s="72">
        <f t="shared" ca="1" si="0"/>
        <v>0.75833671186870888</v>
      </c>
      <c r="C31" s="72">
        <f t="shared" ca="1" si="0"/>
        <v>0.69598310331669389</v>
      </c>
      <c r="D31" s="72">
        <f t="shared" ca="1" si="8"/>
        <v>35.505247325991917</v>
      </c>
      <c r="E31" s="72">
        <f t="shared" ca="1" si="9"/>
        <v>26.459377731675705</v>
      </c>
      <c r="F31" s="72">
        <f t="shared" ca="1" si="10"/>
        <v>568.30932277074874</v>
      </c>
      <c r="G31" s="72">
        <f t="shared" ca="1" si="11"/>
        <v>27.456671306414137</v>
      </c>
      <c r="H31" s="72">
        <f t="shared" ca="1" si="12"/>
        <v>595.76599407716287</v>
      </c>
      <c r="I31" s="72">
        <f t="shared" ca="1" si="13"/>
        <v>622.22537180883853</v>
      </c>
      <c r="J31" s="72">
        <f t="shared" ca="1" si="14"/>
        <v>53.916049038089795</v>
      </c>
    </row>
    <row r="32" spans="1:10" x14ac:dyDescent="0.3">
      <c r="A32" s="30">
        <v>19</v>
      </c>
      <c r="B32" s="72">
        <f t="shared" ref="B32:C95" ca="1" si="15">RAND()</f>
        <v>0.61736594174259662</v>
      </c>
      <c r="C32" s="72">
        <f t="shared" ca="1" si="15"/>
        <v>0.92153976416266548</v>
      </c>
      <c r="D32" s="72">
        <f t="shared" ca="1" si="8"/>
        <v>24.016905200366963</v>
      </c>
      <c r="E32" s="72">
        <f t="shared" ca="1" si="9"/>
        <v>56.559185163919118</v>
      </c>
      <c r="F32" s="72">
        <f t="shared" ca="1" si="10"/>
        <v>592.32622797111571</v>
      </c>
      <c r="G32" s="72">
        <f t="shared" ca="1" si="11"/>
        <v>29.899143837722818</v>
      </c>
      <c r="H32" s="72">
        <f t="shared" ca="1" si="12"/>
        <v>622.22537180883853</v>
      </c>
      <c r="I32" s="72">
        <f t="shared" ca="1" si="13"/>
        <v>678.78455697275763</v>
      </c>
      <c r="J32" s="72">
        <f t="shared" ca="1" si="14"/>
        <v>86.458329001641914</v>
      </c>
    </row>
    <row r="33" spans="1:10" x14ac:dyDescent="0.3">
      <c r="A33" s="30">
        <v>20</v>
      </c>
      <c r="B33" s="72">
        <f t="shared" ca="1" si="15"/>
        <v>0.24373147516116189</v>
      </c>
      <c r="C33" s="72">
        <f t="shared" ca="1" si="15"/>
        <v>0.20134108350545732</v>
      </c>
      <c r="D33" s="72">
        <f t="shared" ca="1" si="8"/>
        <v>6.9839693570609391</v>
      </c>
      <c r="E33" s="72">
        <f t="shared" ca="1" si="9"/>
        <v>4.9960291633398199</v>
      </c>
      <c r="F33" s="72">
        <f t="shared" ca="1" si="10"/>
        <v>599.31019732817663</v>
      </c>
      <c r="G33" s="72">
        <f t="shared" ca="1" si="11"/>
        <v>79.474359644581</v>
      </c>
      <c r="H33" s="72">
        <f t="shared" ca="1" si="12"/>
        <v>678.78455697275763</v>
      </c>
      <c r="I33" s="72">
        <f t="shared" ca="1" si="13"/>
        <v>683.78058613609744</v>
      </c>
      <c r="J33" s="72">
        <f t="shared" ca="1" si="14"/>
        <v>84.470388807920813</v>
      </c>
    </row>
    <row r="34" spans="1:10" x14ac:dyDescent="0.3">
      <c r="A34" s="30">
        <v>21</v>
      </c>
      <c r="B34" s="72">
        <f t="shared" ca="1" si="15"/>
        <v>0.12780083632684436</v>
      </c>
      <c r="C34" s="72">
        <f t="shared" ca="1" si="15"/>
        <v>0.75144241833113878</v>
      </c>
      <c r="D34" s="72">
        <f t="shared" ca="1" si="8"/>
        <v>3.4184370611106019</v>
      </c>
      <c r="E34" s="72">
        <f t="shared" ca="1" si="9"/>
        <v>30.935127629119492</v>
      </c>
      <c r="F34" s="72">
        <f t="shared" ca="1" si="10"/>
        <v>602.72863438928721</v>
      </c>
      <c r="G34" s="72">
        <f t="shared" ca="1" si="11"/>
        <v>81.051951746810232</v>
      </c>
      <c r="H34" s="72">
        <f t="shared" ca="1" si="12"/>
        <v>683.78058613609744</v>
      </c>
      <c r="I34" s="72">
        <f t="shared" ca="1" si="13"/>
        <v>714.71571376521695</v>
      </c>
      <c r="J34" s="72">
        <f t="shared" ca="1" si="14"/>
        <v>111.98707937592974</v>
      </c>
    </row>
    <row r="35" spans="1:10" x14ac:dyDescent="0.3">
      <c r="A35" s="30">
        <v>22</v>
      </c>
      <c r="B35" s="72">
        <f t="shared" ca="1" si="15"/>
        <v>0.69439472354226461</v>
      </c>
      <c r="C35" s="72">
        <f t="shared" ca="1" si="15"/>
        <v>0.99067211813346134</v>
      </c>
      <c r="D35" s="72">
        <f t="shared" ca="1" si="8"/>
        <v>29.636523898577359</v>
      </c>
      <c r="E35" s="72">
        <f t="shared" ca="1" si="9"/>
        <v>103.88327364105696</v>
      </c>
      <c r="F35" s="72">
        <f t="shared" ca="1" si="10"/>
        <v>632.36515828786457</v>
      </c>
      <c r="G35" s="72">
        <f t="shared" ca="1" si="11"/>
        <v>82.350555477352373</v>
      </c>
      <c r="H35" s="72">
        <f t="shared" ca="1" si="12"/>
        <v>714.71571376521695</v>
      </c>
      <c r="I35" s="72">
        <f t="shared" ca="1" si="13"/>
        <v>818.59898740627386</v>
      </c>
      <c r="J35" s="72">
        <f t="shared" ca="1" si="14"/>
        <v>186.23382911840929</v>
      </c>
    </row>
    <row r="36" spans="1:10" x14ac:dyDescent="0.3">
      <c r="A36" s="30">
        <v>23</v>
      </c>
      <c r="B36" s="72">
        <f t="shared" ca="1" si="15"/>
        <v>0.30935993907053805</v>
      </c>
      <c r="C36" s="72">
        <f t="shared" ca="1" si="15"/>
        <v>9.8621280182688897E-2</v>
      </c>
      <c r="D36" s="72">
        <f t="shared" ca="1" si="8"/>
        <v>9.2534121708283656</v>
      </c>
      <c r="E36" s="72">
        <f t="shared" ca="1" si="9"/>
        <v>2.3073283761834524</v>
      </c>
      <c r="F36" s="72">
        <f t="shared" ca="1" si="10"/>
        <v>641.61857045869294</v>
      </c>
      <c r="G36" s="72">
        <f t="shared" ca="1" si="11"/>
        <v>176.98041694758092</v>
      </c>
      <c r="H36" s="72">
        <f t="shared" ca="1" si="12"/>
        <v>818.59898740627386</v>
      </c>
      <c r="I36" s="72">
        <f t="shared" ca="1" si="13"/>
        <v>820.90631578245734</v>
      </c>
      <c r="J36" s="72">
        <f t="shared" ca="1" si="14"/>
        <v>179.2877453237644</v>
      </c>
    </row>
    <row r="37" spans="1:10" x14ac:dyDescent="0.3">
      <c r="A37" s="30">
        <v>24</v>
      </c>
      <c r="B37" s="72">
        <f t="shared" ca="1" si="15"/>
        <v>0.33740867925152285</v>
      </c>
      <c r="C37" s="72">
        <f t="shared" ca="1" si="15"/>
        <v>0.30684532121433394</v>
      </c>
      <c r="D37" s="72">
        <f t="shared" ca="1" si="8"/>
        <v>10.289922199549315</v>
      </c>
      <c r="E37" s="72">
        <f t="shared" ca="1" si="9"/>
        <v>8.1444911774913766</v>
      </c>
      <c r="F37" s="72">
        <f t="shared" ca="1" si="10"/>
        <v>651.90849265824227</v>
      </c>
      <c r="G37" s="72">
        <f t="shared" ca="1" si="11"/>
        <v>168.99782312421507</v>
      </c>
      <c r="H37" s="72">
        <f t="shared" ca="1" si="12"/>
        <v>820.90631578245734</v>
      </c>
      <c r="I37" s="72">
        <f t="shared" ca="1" si="13"/>
        <v>829.05080695994877</v>
      </c>
      <c r="J37" s="72">
        <f t="shared" ca="1" si="14"/>
        <v>177.14231430170651</v>
      </c>
    </row>
    <row r="38" spans="1:10" x14ac:dyDescent="0.3">
      <c r="A38" s="30">
        <v>25</v>
      </c>
      <c r="B38" s="72">
        <f t="shared" ca="1" si="15"/>
        <v>0.38319555046478038</v>
      </c>
      <c r="C38" s="72">
        <f t="shared" ca="1" si="15"/>
        <v>0.88131563402631596</v>
      </c>
      <c r="D38" s="72">
        <f t="shared" ca="1" si="8"/>
        <v>12.080081071407045</v>
      </c>
      <c r="E38" s="72">
        <f t="shared" ca="1" si="9"/>
        <v>47.361948810145783</v>
      </c>
      <c r="F38" s="72">
        <f t="shared" ca="1" si="10"/>
        <v>663.98857372964926</v>
      </c>
      <c r="G38" s="72">
        <f t="shared" ca="1" si="11"/>
        <v>165.06223323029951</v>
      </c>
      <c r="H38" s="72">
        <f t="shared" ca="1" si="12"/>
        <v>829.05080695994877</v>
      </c>
      <c r="I38" s="72">
        <f t="shared" ca="1" si="13"/>
        <v>876.41275577009458</v>
      </c>
      <c r="J38" s="72">
        <f t="shared" ca="1" si="14"/>
        <v>212.42418204044532</v>
      </c>
    </row>
    <row r="39" spans="1:10" x14ac:dyDescent="0.3">
      <c r="A39" s="30">
        <v>26</v>
      </c>
      <c r="B39" s="72">
        <f t="shared" ca="1" si="15"/>
        <v>0.31558921725175304</v>
      </c>
      <c r="C39" s="72">
        <f t="shared" ca="1" si="15"/>
        <v>0.76815425682113658</v>
      </c>
      <c r="D39" s="72">
        <f t="shared" ca="1" si="8"/>
        <v>9.4799245512464392</v>
      </c>
      <c r="E39" s="72">
        <f t="shared" ca="1" si="9"/>
        <v>32.481845078911775</v>
      </c>
      <c r="F39" s="72">
        <f t="shared" ca="1" si="10"/>
        <v>673.46849828089569</v>
      </c>
      <c r="G39" s="72">
        <f t="shared" ca="1" si="11"/>
        <v>202.94425748919889</v>
      </c>
      <c r="H39" s="72">
        <f t="shared" ca="1" si="12"/>
        <v>876.41275577009458</v>
      </c>
      <c r="I39" s="72">
        <f t="shared" ca="1" si="13"/>
        <v>908.89460084900634</v>
      </c>
      <c r="J39" s="72">
        <f t="shared" ca="1" si="14"/>
        <v>235.42610256811065</v>
      </c>
    </row>
    <row r="40" spans="1:10" x14ac:dyDescent="0.3">
      <c r="A40" s="30">
        <v>27</v>
      </c>
      <c r="B40" s="72">
        <f t="shared" ca="1" si="15"/>
        <v>0.59721716925771351</v>
      </c>
      <c r="C40" s="72">
        <f t="shared" ca="1" si="15"/>
        <v>0.18299215473732922</v>
      </c>
      <c r="D40" s="72">
        <f t="shared" ca="1" si="8"/>
        <v>22.733943595426968</v>
      </c>
      <c r="E40" s="72">
        <f t="shared" ca="1" si="9"/>
        <v>4.4912573698566503</v>
      </c>
      <c r="F40" s="72">
        <f t="shared" ca="1" si="10"/>
        <v>696.20244187632261</v>
      </c>
      <c r="G40" s="72">
        <f t="shared" ca="1" si="11"/>
        <v>212.69215897268373</v>
      </c>
      <c r="H40" s="72">
        <f t="shared" ca="1" si="12"/>
        <v>908.89460084900634</v>
      </c>
      <c r="I40" s="72">
        <f t="shared" ca="1" si="13"/>
        <v>913.38585821886295</v>
      </c>
      <c r="J40" s="72">
        <f t="shared" ca="1" si="14"/>
        <v>217.18341634254034</v>
      </c>
    </row>
    <row r="41" spans="1:10" x14ac:dyDescent="0.3">
      <c r="A41" s="30">
        <v>28</v>
      </c>
      <c r="B41" s="72">
        <f t="shared" ca="1" si="15"/>
        <v>0.90234516346080007</v>
      </c>
      <c r="C41" s="72">
        <f t="shared" ca="1" si="15"/>
        <v>0.67172667607567171</v>
      </c>
      <c r="D41" s="72">
        <f t="shared" ca="1" si="8"/>
        <v>58.157902338867537</v>
      </c>
      <c r="E41" s="72">
        <f t="shared" ca="1" si="9"/>
        <v>24.753526954582394</v>
      </c>
      <c r="F41" s="72">
        <f t="shared" ca="1" si="10"/>
        <v>754.36034421519014</v>
      </c>
      <c r="G41" s="72">
        <f t="shared" ca="1" si="11"/>
        <v>159.02551400367281</v>
      </c>
      <c r="H41" s="72">
        <f t="shared" ca="1" si="12"/>
        <v>913.38585821886295</v>
      </c>
      <c r="I41" s="72">
        <f t="shared" ca="1" si="13"/>
        <v>938.13938517344536</v>
      </c>
      <c r="J41" s="72">
        <f t="shared" ca="1" si="14"/>
        <v>183.77904095825522</v>
      </c>
    </row>
    <row r="42" spans="1:10" x14ac:dyDescent="0.3">
      <c r="A42" s="30">
        <v>29</v>
      </c>
      <c r="B42" s="72">
        <f t="shared" ca="1" si="15"/>
        <v>0.17518826318754444</v>
      </c>
      <c r="C42" s="72">
        <f t="shared" ca="1" si="15"/>
        <v>0.44883350927862598</v>
      </c>
      <c r="D42" s="72">
        <f t="shared" ca="1" si="8"/>
        <v>4.8150029122905158</v>
      </c>
      <c r="E42" s="72">
        <f t="shared" ca="1" si="9"/>
        <v>13.238185654485372</v>
      </c>
      <c r="F42" s="72">
        <f t="shared" ca="1" si="10"/>
        <v>759.17534712748068</v>
      </c>
      <c r="G42" s="72">
        <f t="shared" ca="1" si="11"/>
        <v>178.96403804596468</v>
      </c>
      <c r="H42" s="72">
        <f t="shared" ca="1" si="12"/>
        <v>938.13938517344536</v>
      </c>
      <c r="I42" s="72">
        <f t="shared" ca="1" si="13"/>
        <v>951.37757082793075</v>
      </c>
      <c r="J42" s="72">
        <f t="shared" ca="1" si="14"/>
        <v>192.20222370045008</v>
      </c>
    </row>
    <row r="43" spans="1:10" x14ac:dyDescent="0.3">
      <c r="A43" s="30">
        <v>30</v>
      </c>
      <c r="B43" s="72">
        <f t="shared" ca="1" si="15"/>
        <v>0.87422680434969069</v>
      </c>
      <c r="C43" s="72">
        <f t="shared" ca="1" si="15"/>
        <v>0.8584787544783582</v>
      </c>
      <c r="D43" s="72">
        <f t="shared" ca="1" si="8"/>
        <v>51.831875714022324</v>
      </c>
      <c r="E43" s="72">
        <f t="shared" ca="1" si="9"/>
        <v>43.451231736449124</v>
      </c>
      <c r="F43" s="72">
        <f t="shared" ca="1" si="10"/>
        <v>811.00722284150299</v>
      </c>
      <c r="G43" s="72">
        <f t="shared" ca="1" si="11"/>
        <v>140.37034798642776</v>
      </c>
      <c r="H43" s="72">
        <f t="shared" ca="1" si="12"/>
        <v>951.37757082793075</v>
      </c>
      <c r="I43" s="72">
        <f t="shared" ca="1" si="13"/>
        <v>994.82880256437988</v>
      </c>
      <c r="J43" s="72">
        <f t="shared" ca="1" si="14"/>
        <v>183.82157972287689</v>
      </c>
    </row>
    <row r="44" spans="1:10" x14ac:dyDescent="0.3">
      <c r="A44" s="30">
        <v>31</v>
      </c>
      <c r="B44" s="72">
        <f t="shared" ca="1" si="15"/>
        <v>0.83730796349774483</v>
      </c>
      <c r="C44" s="72">
        <f t="shared" ca="1" si="15"/>
        <v>0.40045082901325091</v>
      </c>
      <c r="D44" s="72">
        <f t="shared" ca="1" si="8"/>
        <v>45.397405296347408</v>
      </c>
      <c r="E44" s="72">
        <f t="shared" ca="1" si="9"/>
        <v>11.368384175187703</v>
      </c>
      <c r="F44" s="72">
        <f t="shared" ca="1" si="10"/>
        <v>856.40462813785041</v>
      </c>
      <c r="G44" s="72">
        <f t="shared" ca="1" si="11"/>
        <v>138.42417442652948</v>
      </c>
      <c r="H44" s="72">
        <f t="shared" ca="1" si="12"/>
        <v>994.82880256437988</v>
      </c>
      <c r="I44" s="72">
        <f t="shared" ca="1" si="13"/>
        <v>1006.1971867395675</v>
      </c>
      <c r="J44" s="72">
        <f t="shared" ca="1" si="14"/>
        <v>149.79255860171713</v>
      </c>
    </row>
    <row r="45" spans="1:10" x14ac:dyDescent="0.3">
      <c r="A45" s="30">
        <v>32</v>
      </c>
      <c r="B45" s="72">
        <f t="shared" ca="1" si="15"/>
        <v>0.78073202218873627</v>
      </c>
      <c r="C45" s="72">
        <f t="shared" ca="1" si="15"/>
        <v>0.97158230323642192</v>
      </c>
      <c r="D45" s="72">
        <f t="shared" ca="1" si="8"/>
        <v>37.936516355818299</v>
      </c>
      <c r="E45" s="72">
        <f t="shared" ca="1" si="9"/>
        <v>79.127626719976519</v>
      </c>
      <c r="F45" s="72">
        <f t="shared" ca="1" si="10"/>
        <v>894.34114449366871</v>
      </c>
      <c r="G45" s="72">
        <f t="shared" ca="1" si="11"/>
        <v>111.85604224589883</v>
      </c>
      <c r="H45" s="72">
        <f t="shared" ca="1" si="12"/>
        <v>1006.1971867395675</v>
      </c>
      <c r="I45" s="72">
        <f t="shared" ca="1" si="13"/>
        <v>1085.324813459544</v>
      </c>
      <c r="J45" s="72">
        <f t="shared" ca="1" si="14"/>
        <v>190.98366896587527</v>
      </c>
    </row>
    <row r="46" spans="1:10" x14ac:dyDescent="0.3">
      <c r="A46" s="30">
        <v>33</v>
      </c>
      <c r="B46" s="72">
        <f t="shared" ca="1" si="15"/>
        <v>0.41931330124448163</v>
      </c>
      <c r="C46" s="72">
        <f t="shared" ca="1" si="15"/>
        <v>0.60498732126873267</v>
      </c>
      <c r="D46" s="72">
        <f t="shared" ca="1" si="8"/>
        <v>13.58859781004994</v>
      </c>
      <c r="E46" s="72">
        <f t="shared" ca="1" si="9"/>
        <v>20.640831478717899</v>
      </c>
      <c r="F46" s="72">
        <f t="shared" ca="1" si="10"/>
        <v>907.92974230371863</v>
      </c>
      <c r="G46" s="72">
        <f t="shared" ca="1" si="11"/>
        <v>177.39507115582535</v>
      </c>
      <c r="H46" s="72">
        <f t="shared" ca="1" si="12"/>
        <v>1085.324813459544</v>
      </c>
      <c r="I46" s="72">
        <f t="shared" ca="1" si="13"/>
        <v>1105.9656449382619</v>
      </c>
      <c r="J46" s="72">
        <f t="shared" ca="1" si="14"/>
        <v>198.03590263454328</v>
      </c>
    </row>
    <row r="47" spans="1:10" x14ac:dyDescent="0.3">
      <c r="A47" s="30">
        <v>34</v>
      </c>
      <c r="B47" s="72">
        <f t="shared" ca="1" si="15"/>
        <v>0.83019559284330668</v>
      </c>
      <c r="C47" s="72">
        <f t="shared" ca="1" si="15"/>
        <v>1.6765766554111106E-2</v>
      </c>
      <c r="D47" s="72">
        <f t="shared" ca="1" si="8"/>
        <v>44.327701261382494</v>
      </c>
      <c r="E47" s="72">
        <f t="shared" ca="1" si="9"/>
        <v>0.37573117647854593</v>
      </c>
      <c r="F47" s="72">
        <f t="shared" ca="1" si="10"/>
        <v>952.25744356510108</v>
      </c>
      <c r="G47" s="72">
        <f t="shared" ca="1" si="11"/>
        <v>153.70820137316082</v>
      </c>
      <c r="H47" s="72">
        <f t="shared" ca="1" si="12"/>
        <v>1105.9656449382619</v>
      </c>
      <c r="I47" s="72">
        <f t="shared" ca="1" si="13"/>
        <v>1106.3413761147403</v>
      </c>
      <c r="J47" s="72">
        <f t="shared" ca="1" si="14"/>
        <v>154.08393254963926</v>
      </c>
    </row>
    <row r="48" spans="1:10" x14ac:dyDescent="0.3">
      <c r="A48" s="30">
        <v>35</v>
      </c>
      <c r="B48" s="72">
        <f t="shared" ca="1" si="15"/>
        <v>0.5854717378028379</v>
      </c>
      <c r="C48" s="72">
        <f t="shared" ca="1" si="15"/>
        <v>0.99661924185677819</v>
      </c>
      <c r="D48" s="72">
        <f t="shared" ca="1" si="8"/>
        <v>22.015353072552465</v>
      </c>
      <c r="E48" s="72">
        <f t="shared" ca="1" si="9"/>
        <v>126.436784264688</v>
      </c>
      <c r="F48" s="72">
        <f t="shared" ca="1" si="10"/>
        <v>974.27279663765353</v>
      </c>
      <c r="G48" s="72">
        <f t="shared" ca="1" si="11"/>
        <v>132.06857947708681</v>
      </c>
      <c r="H48" s="72">
        <f t="shared" ca="1" si="12"/>
        <v>1106.3413761147403</v>
      </c>
      <c r="I48" s="72">
        <f t="shared" ca="1" si="13"/>
        <v>1232.7781603794283</v>
      </c>
      <c r="J48" s="72">
        <f t="shared" ca="1" si="14"/>
        <v>258.50536374177477</v>
      </c>
    </row>
    <row r="49" spans="1:10" x14ac:dyDescent="0.3">
      <c r="A49" s="30">
        <v>36</v>
      </c>
      <c r="B49" s="72">
        <f t="shared" ca="1" si="15"/>
        <v>0.69762104619669252</v>
      </c>
      <c r="C49" s="72">
        <f t="shared" ca="1" si="15"/>
        <v>0.80126361095328025</v>
      </c>
      <c r="D49" s="72">
        <f t="shared" ca="1" si="8"/>
        <v>29.901855857751059</v>
      </c>
      <c r="E49" s="72">
        <f t="shared" ca="1" si="9"/>
        <v>35.906133568367743</v>
      </c>
      <c r="F49" s="72">
        <f t="shared" ca="1" si="10"/>
        <v>1004.1746524954046</v>
      </c>
      <c r="G49" s="72">
        <f t="shared" ca="1" si="11"/>
        <v>228.60350788402366</v>
      </c>
      <c r="H49" s="72">
        <f t="shared" ca="1" si="12"/>
        <v>1232.7781603794283</v>
      </c>
      <c r="I49" s="72">
        <f t="shared" ca="1" si="13"/>
        <v>1268.684293947796</v>
      </c>
      <c r="J49" s="72">
        <f t="shared" ca="1" si="14"/>
        <v>264.50964145239141</v>
      </c>
    </row>
    <row r="50" spans="1:10" x14ac:dyDescent="0.3">
      <c r="A50" s="30">
        <v>37</v>
      </c>
      <c r="B50" s="72">
        <f t="shared" ca="1" si="15"/>
        <v>0.68127509191355851</v>
      </c>
      <c r="C50" s="72">
        <f t="shared" ca="1" si="15"/>
        <v>0.89360196130909375</v>
      </c>
      <c r="D50" s="72">
        <f t="shared" ca="1" si="8"/>
        <v>28.585672633421815</v>
      </c>
      <c r="E50" s="72">
        <f t="shared" ca="1" si="9"/>
        <v>49.790403013347408</v>
      </c>
      <c r="F50" s="72">
        <f t="shared" ca="1" si="10"/>
        <v>1032.7603251288265</v>
      </c>
      <c r="G50" s="72">
        <f t="shared" ca="1" si="11"/>
        <v>235.92396881896957</v>
      </c>
      <c r="H50" s="72">
        <f t="shared" ca="1" si="12"/>
        <v>1268.684293947796</v>
      </c>
      <c r="I50" s="72">
        <f t="shared" ca="1" si="13"/>
        <v>1318.4746969611435</v>
      </c>
      <c r="J50" s="72">
        <f t="shared" ca="1" si="14"/>
        <v>285.71437183231706</v>
      </c>
    </row>
    <row r="51" spans="1:10" x14ac:dyDescent="0.3">
      <c r="A51" s="30">
        <v>38</v>
      </c>
      <c r="B51" s="72">
        <f t="shared" ca="1" si="15"/>
        <v>0.84149900194257399</v>
      </c>
      <c r="C51" s="72">
        <f t="shared" ca="1" si="15"/>
        <v>0.19724605326733924</v>
      </c>
      <c r="D51" s="72">
        <f t="shared" ca="1" si="8"/>
        <v>46.049859719808737</v>
      </c>
      <c r="E51" s="72">
        <f t="shared" ca="1" si="9"/>
        <v>4.8823784335398939</v>
      </c>
      <c r="F51" s="72">
        <f t="shared" ca="1" si="10"/>
        <v>1078.8101848486351</v>
      </c>
      <c r="G51" s="72">
        <f t="shared" ca="1" si="11"/>
        <v>239.66451211250842</v>
      </c>
      <c r="H51" s="72">
        <f t="shared" ca="1" si="12"/>
        <v>1318.4746969611435</v>
      </c>
      <c r="I51" s="72">
        <f t="shared" ca="1" si="13"/>
        <v>1323.3570753946835</v>
      </c>
      <c r="J51" s="72">
        <f t="shared" ca="1" si="14"/>
        <v>244.54689054604842</v>
      </c>
    </row>
    <row r="52" spans="1:10" x14ac:dyDescent="0.3">
      <c r="A52" s="30">
        <v>39</v>
      </c>
      <c r="B52" s="72">
        <f t="shared" ca="1" si="15"/>
        <v>0.10869344972763473</v>
      </c>
      <c r="C52" s="72">
        <f t="shared" ca="1" si="15"/>
        <v>8.7256575658487767E-2</v>
      </c>
      <c r="D52" s="72">
        <f t="shared" ca="1" si="8"/>
        <v>2.87667146876381</v>
      </c>
      <c r="E52" s="72">
        <f t="shared" ca="1" si="9"/>
        <v>2.0288991711036206</v>
      </c>
      <c r="F52" s="72">
        <f t="shared" ca="1" si="10"/>
        <v>1081.6868563173989</v>
      </c>
      <c r="G52" s="72">
        <f t="shared" ca="1" si="11"/>
        <v>241.67021907728463</v>
      </c>
      <c r="H52" s="72">
        <f t="shared" ca="1" si="12"/>
        <v>1323.3570753946835</v>
      </c>
      <c r="I52" s="72">
        <f t="shared" ca="1" si="13"/>
        <v>1325.3859745657871</v>
      </c>
      <c r="J52" s="72">
        <f t="shared" ca="1" si="14"/>
        <v>243.69911824838823</v>
      </c>
    </row>
    <row r="53" spans="1:10" x14ac:dyDescent="0.3">
      <c r="A53" s="30">
        <v>40</v>
      </c>
      <c r="B53" s="72">
        <f t="shared" ca="1" si="15"/>
        <v>0.36692845547542818</v>
      </c>
      <c r="C53" s="72">
        <f t="shared" ca="1" si="15"/>
        <v>1.9927732555625854E-2</v>
      </c>
      <c r="D53" s="72">
        <f t="shared" ca="1" si="8"/>
        <v>11.429295967484036</v>
      </c>
      <c r="E53" s="72">
        <f t="shared" ca="1" si="9"/>
        <v>0.44731039435935038</v>
      </c>
      <c r="F53" s="72">
        <f t="shared" ca="1" si="10"/>
        <v>1093.1161522848829</v>
      </c>
      <c r="G53" s="72">
        <f t="shared" ca="1" si="11"/>
        <v>232.26982228090424</v>
      </c>
      <c r="H53" s="72">
        <f t="shared" ca="1" si="12"/>
        <v>1325.3859745657871</v>
      </c>
      <c r="I53" s="72">
        <f t="shared" ca="1" si="13"/>
        <v>1325.8332849601466</v>
      </c>
      <c r="J53" s="72">
        <f t="shared" ca="1" si="14"/>
        <v>232.71713267526366</v>
      </c>
    </row>
    <row r="54" spans="1:10" x14ac:dyDescent="0.3">
      <c r="A54" s="30">
        <v>41</v>
      </c>
      <c r="B54" s="72">
        <f t="shared" ca="1" si="15"/>
        <v>0.32046191660339141</v>
      </c>
      <c r="C54" s="72">
        <f t="shared" ca="1" si="15"/>
        <v>0.39633701223248652</v>
      </c>
      <c r="D54" s="72">
        <f t="shared" ca="1" si="8"/>
        <v>9.6585500189002662</v>
      </c>
      <c r="E54" s="72">
        <f t="shared" ca="1" si="9"/>
        <v>11.216426756473711</v>
      </c>
      <c r="F54" s="72">
        <f t="shared" ca="1" si="10"/>
        <v>1102.7747023037832</v>
      </c>
      <c r="G54" s="72">
        <f t="shared" ca="1" si="11"/>
        <v>223.05858265636334</v>
      </c>
      <c r="H54" s="72">
        <f t="shared" ca="1" si="12"/>
        <v>1325.8332849601466</v>
      </c>
      <c r="I54" s="72">
        <f t="shared" ca="1" si="13"/>
        <v>1337.0497117166203</v>
      </c>
      <c r="J54" s="72">
        <f t="shared" ca="1" si="14"/>
        <v>234.27500941283711</v>
      </c>
    </row>
    <row r="55" spans="1:10" x14ac:dyDescent="0.3">
      <c r="A55" s="30">
        <v>42</v>
      </c>
      <c r="B55" s="72">
        <f t="shared" ca="1" si="15"/>
        <v>0.46097977390229761</v>
      </c>
      <c r="C55" s="72">
        <f t="shared" ca="1" si="15"/>
        <v>0.84345759820936395</v>
      </c>
      <c r="D55" s="72">
        <f t="shared" ca="1" si="8"/>
        <v>15.450054588738634</v>
      </c>
      <c r="E55" s="72">
        <f t="shared" ca="1" si="9"/>
        <v>41.209519283103418</v>
      </c>
      <c r="F55" s="72">
        <f t="shared" ca="1" si="10"/>
        <v>1118.2247568925218</v>
      </c>
      <c r="G55" s="72">
        <f t="shared" ca="1" si="11"/>
        <v>218.82495482409854</v>
      </c>
      <c r="H55" s="72">
        <f t="shared" ca="1" si="12"/>
        <v>1337.0497117166203</v>
      </c>
      <c r="I55" s="72">
        <f t="shared" ca="1" si="13"/>
        <v>1378.2592309997237</v>
      </c>
      <c r="J55" s="72">
        <f t="shared" ca="1" si="14"/>
        <v>260.03447410720196</v>
      </c>
    </row>
    <row r="56" spans="1:10" x14ac:dyDescent="0.3">
      <c r="A56" s="30">
        <v>43</v>
      </c>
      <c r="B56" s="72">
        <f t="shared" ca="1" si="15"/>
        <v>0.5106600818011362</v>
      </c>
      <c r="C56" s="72">
        <f t="shared" ca="1" si="15"/>
        <v>0.73209528260979295</v>
      </c>
      <c r="D56" s="72">
        <f t="shared" ca="1" si="8"/>
        <v>17.867447543916516</v>
      </c>
      <c r="E56" s="72">
        <f t="shared" ca="1" si="9"/>
        <v>29.269419862531194</v>
      </c>
      <c r="F56" s="72">
        <f t="shared" ca="1" si="10"/>
        <v>1136.0922044364384</v>
      </c>
      <c r="G56" s="72">
        <f t="shared" ca="1" si="11"/>
        <v>242.16702656328539</v>
      </c>
      <c r="H56" s="72">
        <f t="shared" ca="1" si="12"/>
        <v>1378.2592309997237</v>
      </c>
      <c r="I56" s="72">
        <f t="shared" ca="1" si="13"/>
        <v>1407.5286508622548</v>
      </c>
      <c r="J56" s="72">
        <f t="shared" ca="1" si="14"/>
        <v>271.43644642581648</v>
      </c>
    </row>
    <row r="57" spans="1:10" x14ac:dyDescent="0.3">
      <c r="A57" s="30">
        <v>44</v>
      </c>
      <c r="B57" s="72">
        <f t="shared" ca="1" si="15"/>
        <v>0.7173582553766239</v>
      </c>
      <c r="C57" s="72">
        <f t="shared" ca="1" si="15"/>
        <v>0.23406207215730412</v>
      </c>
      <c r="D57" s="72">
        <f t="shared" ca="1" si="8"/>
        <v>31.589377583782905</v>
      </c>
      <c r="E57" s="72">
        <f t="shared" ca="1" si="9"/>
        <v>5.9256477038423636</v>
      </c>
      <c r="F57" s="72">
        <f t="shared" ca="1" si="10"/>
        <v>1167.6815820202212</v>
      </c>
      <c r="G57" s="72">
        <f t="shared" ca="1" si="11"/>
        <v>239.84706884203365</v>
      </c>
      <c r="H57" s="72">
        <f t="shared" ca="1" si="12"/>
        <v>1407.5286508622548</v>
      </c>
      <c r="I57" s="72">
        <f t="shared" ca="1" si="13"/>
        <v>1413.4542985660971</v>
      </c>
      <c r="J57" s="72">
        <f t="shared" ca="1" si="14"/>
        <v>245.77271654587594</v>
      </c>
    </row>
    <row r="58" spans="1:10" x14ac:dyDescent="0.3">
      <c r="A58" s="30">
        <v>45</v>
      </c>
      <c r="B58" s="72">
        <f t="shared" ca="1" si="15"/>
        <v>0.13760792135277722</v>
      </c>
      <c r="C58" s="72">
        <f t="shared" ca="1" si="15"/>
        <v>0.8755824082588376</v>
      </c>
      <c r="D58" s="72">
        <f t="shared" ca="1" si="8"/>
        <v>3.7011316027919365</v>
      </c>
      <c r="E58" s="72">
        <f t="shared" ca="1" si="9"/>
        <v>46.313593243657422</v>
      </c>
      <c r="F58" s="72">
        <f t="shared" ca="1" si="10"/>
        <v>1171.3827136230132</v>
      </c>
      <c r="G58" s="72">
        <f t="shared" ca="1" si="11"/>
        <v>242.07158494308396</v>
      </c>
      <c r="H58" s="72">
        <f t="shared" ca="1" si="12"/>
        <v>1413.4542985660971</v>
      </c>
      <c r="I58" s="72">
        <f t="shared" ca="1" si="13"/>
        <v>1459.7678918097545</v>
      </c>
      <c r="J58" s="72">
        <f t="shared" ca="1" si="14"/>
        <v>288.38517818674131</v>
      </c>
    </row>
    <row r="59" spans="1:10" x14ac:dyDescent="0.3">
      <c r="A59" s="30">
        <v>46</v>
      </c>
      <c r="B59" s="72">
        <f t="shared" ca="1" si="15"/>
        <v>0.79140899919589625</v>
      </c>
      <c r="C59" s="72">
        <f t="shared" ca="1" si="15"/>
        <v>0.56849571781627184</v>
      </c>
      <c r="D59" s="72">
        <f t="shared" ca="1" si="8"/>
        <v>39.184496956649646</v>
      </c>
      <c r="E59" s="72">
        <f t="shared" ca="1" si="9"/>
        <v>18.677285434655808</v>
      </c>
      <c r="F59" s="72">
        <f t="shared" ca="1" si="10"/>
        <v>1210.5672105796627</v>
      </c>
      <c r="G59" s="72">
        <f t="shared" ca="1" si="11"/>
        <v>249.20068123009173</v>
      </c>
      <c r="H59" s="72">
        <f t="shared" ca="1" si="12"/>
        <v>1459.7678918097545</v>
      </c>
      <c r="I59" s="72">
        <f t="shared" ca="1" si="13"/>
        <v>1478.4451772444104</v>
      </c>
      <c r="J59" s="72">
        <f t="shared" ca="1" si="14"/>
        <v>267.87796666474765</v>
      </c>
    </row>
    <row r="60" spans="1:10" x14ac:dyDescent="0.3">
      <c r="A60" s="30">
        <v>47</v>
      </c>
      <c r="B60" s="72">
        <f t="shared" ca="1" si="15"/>
        <v>0.30647686620094894</v>
      </c>
      <c r="C60" s="72">
        <f t="shared" ca="1" si="15"/>
        <v>0.77954751092290775</v>
      </c>
      <c r="D60" s="72">
        <f t="shared" ca="1" si="8"/>
        <v>9.1492670436513261</v>
      </c>
      <c r="E60" s="72">
        <f t="shared" ca="1" si="9"/>
        <v>33.601623918892329</v>
      </c>
      <c r="F60" s="72">
        <f t="shared" ca="1" si="10"/>
        <v>1219.7164776233142</v>
      </c>
      <c r="G60" s="72">
        <f t="shared" ca="1" si="11"/>
        <v>258.72869962109621</v>
      </c>
      <c r="H60" s="72">
        <f t="shared" ca="1" si="12"/>
        <v>1478.4451772444104</v>
      </c>
      <c r="I60" s="72">
        <f t="shared" ca="1" si="13"/>
        <v>1512.0468011633027</v>
      </c>
      <c r="J60" s="72">
        <f t="shared" ca="1" si="14"/>
        <v>292.33032353998851</v>
      </c>
    </row>
    <row r="61" spans="1:10" x14ac:dyDescent="0.3">
      <c r="A61" s="30">
        <v>48</v>
      </c>
      <c r="B61" s="72">
        <f t="shared" ca="1" si="15"/>
        <v>0.4431840272673494</v>
      </c>
      <c r="C61" s="72">
        <f t="shared" ca="1" si="15"/>
        <v>0.22329753912557182</v>
      </c>
      <c r="D61" s="72">
        <f t="shared" ca="1" si="8"/>
        <v>14.63801209281826</v>
      </c>
      <c r="E61" s="72">
        <f t="shared" ca="1" si="9"/>
        <v>5.6155096708819761</v>
      </c>
      <c r="F61" s="72">
        <f t="shared" ca="1" si="10"/>
        <v>1234.3544897161325</v>
      </c>
      <c r="G61" s="72">
        <f t="shared" ca="1" si="11"/>
        <v>277.69231144717014</v>
      </c>
      <c r="H61" s="72">
        <f t="shared" ca="1" si="12"/>
        <v>1512.0468011633027</v>
      </c>
      <c r="I61" s="72">
        <f t="shared" ca="1" si="13"/>
        <v>1517.6623108341846</v>
      </c>
      <c r="J61" s="72">
        <f t="shared" ca="1" si="14"/>
        <v>283.30782111805206</v>
      </c>
    </row>
    <row r="62" spans="1:10" x14ac:dyDescent="0.3">
      <c r="A62" s="30">
        <v>49</v>
      </c>
      <c r="B62" s="72">
        <f t="shared" ca="1" si="15"/>
        <v>0.55260306114397884</v>
      </c>
      <c r="C62" s="72">
        <f t="shared" ca="1" si="15"/>
        <v>0.19637886345223965</v>
      </c>
      <c r="D62" s="72">
        <f t="shared" ca="1" si="8"/>
        <v>20.107726800591855</v>
      </c>
      <c r="E62" s="72">
        <f t="shared" ca="1" si="9"/>
        <v>4.8583854236225861</v>
      </c>
      <c r="F62" s="72">
        <f t="shared" ca="1" si="10"/>
        <v>1254.4622165167243</v>
      </c>
      <c r="G62" s="72">
        <f t="shared" ca="1" si="11"/>
        <v>263.2000943174603</v>
      </c>
      <c r="H62" s="72">
        <f t="shared" ca="1" si="12"/>
        <v>1517.6623108341846</v>
      </c>
      <c r="I62" s="72">
        <f t="shared" ca="1" si="13"/>
        <v>1522.5206962578072</v>
      </c>
      <c r="J62" s="72">
        <f t="shared" ca="1" si="14"/>
        <v>268.05847974108292</v>
      </c>
    </row>
    <row r="63" spans="1:10" x14ac:dyDescent="0.3">
      <c r="A63" s="30">
        <v>50</v>
      </c>
      <c r="B63" s="72">
        <f t="shared" ca="1" si="15"/>
        <v>0.2951410752090623</v>
      </c>
      <c r="C63" s="72">
        <f t="shared" ca="1" si="15"/>
        <v>0.73495521111661732</v>
      </c>
      <c r="D63" s="72">
        <f t="shared" ca="1" si="8"/>
        <v>8.7439400718350555</v>
      </c>
      <c r="E63" s="72">
        <f t="shared" ca="1" si="9"/>
        <v>29.507921169400181</v>
      </c>
      <c r="F63" s="72">
        <f t="shared" ca="1" si="10"/>
        <v>1263.2061565885595</v>
      </c>
      <c r="G63" s="72">
        <f t="shared" ca="1" si="11"/>
        <v>259.31453966924778</v>
      </c>
      <c r="H63" s="72">
        <f t="shared" ca="1" si="12"/>
        <v>1522.5206962578072</v>
      </c>
      <c r="I63" s="72">
        <f t="shared" ca="1" si="13"/>
        <v>1552.0286174272073</v>
      </c>
      <c r="J63" s="72">
        <f t="shared" ca="1" si="14"/>
        <v>288.82246083864788</v>
      </c>
    </row>
    <row r="64" spans="1:10" x14ac:dyDescent="0.3">
      <c r="A64" s="30">
        <v>51</v>
      </c>
      <c r="B64" s="72">
        <f t="shared" ca="1" si="15"/>
        <v>0.96937058565715883</v>
      </c>
      <c r="C64" s="72">
        <f t="shared" ca="1" si="15"/>
        <v>0.90363946686247487</v>
      </c>
      <c r="D64" s="72">
        <f t="shared" ca="1" si="8"/>
        <v>87.144861967440491</v>
      </c>
      <c r="E64" s="72">
        <f t="shared" ca="1" si="9"/>
        <v>51.992412632950341</v>
      </c>
      <c r="F64" s="72">
        <f t="shared" ca="1" si="10"/>
        <v>1350.3510185559999</v>
      </c>
      <c r="G64" s="72">
        <f t="shared" ca="1" si="11"/>
        <v>201.67759887120746</v>
      </c>
      <c r="H64" s="72">
        <f t="shared" ca="1" si="12"/>
        <v>1552.0286174272073</v>
      </c>
      <c r="I64" s="72">
        <f t="shared" ca="1" si="13"/>
        <v>1604.0210300601577</v>
      </c>
      <c r="J64" s="72">
        <f t="shared" ca="1" si="14"/>
        <v>253.67001150415786</v>
      </c>
    </row>
    <row r="65" spans="1:10" x14ac:dyDescent="0.3">
      <c r="A65" s="30">
        <v>52</v>
      </c>
      <c r="B65" s="72">
        <f t="shared" ca="1" si="15"/>
        <v>0.82226074433159579</v>
      </c>
      <c r="C65" s="72">
        <f t="shared" ca="1" si="15"/>
        <v>0.60451017412371311</v>
      </c>
      <c r="D65" s="72">
        <f t="shared" ca="1" si="8"/>
        <v>43.185941460892522</v>
      </c>
      <c r="E65" s="72">
        <f t="shared" ca="1" si="9"/>
        <v>20.614004818169125</v>
      </c>
      <c r="F65" s="72">
        <f t="shared" ca="1" si="10"/>
        <v>1393.5369600168924</v>
      </c>
      <c r="G65" s="72">
        <f t="shared" ca="1" si="11"/>
        <v>210.48407004326532</v>
      </c>
      <c r="H65" s="72">
        <f t="shared" ca="1" si="12"/>
        <v>1604.0210300601577</v>
      </c>
      <c r="I65" s="72">
        <f t="shared" ca="1" si="13"/>
        <v>1624.6350348783269</v>
      </c>
      <c r="J65" s="72">
        <f t="shared" ca="1" si="14"/>
        <v>231.0980748614345</v>
      </c>
    </row>
    <row r="66" spans="1:10" x14ac:dyDescent="0.3">
      <c r="A66" s="30">
        <v>53</v>
      </c>
      <c r="B66" s="72">
        <f t="shared" ca="1" si="15"/>
        <v>0.87099695103158536</v>
      </c>
      <c r="C66" s="72">
        <f t="shared" ca="1" si="15"/>
        <v>0.2036981754017595</v>
      </c>
      <c r="D66" s="72">
        <f t="shared" ca="1" si="8"/>
        <v>51.197980987142742</v>
      </c>
      <c r="E66" s="72">
        <f t="shared" ca="1" si="9"/>
        <v>5.0617108528020101</v>
      </c>
      <c r="F66" s="72">
        <f t="shared" ca="1" si="10"/>
        <v>1444.7349410040351</v>
      </c>
      <c r="G66" s="72">
        <f t="shared" ca="1" si="11"/>
        <v>179.90009387429177</v>
      </c>
      <c r="H66" s="72">
        <f t="shared" ca="1" si="12"/>
        <v>1624.6350348783269</v>
      </c>
      <c r="I66" s="72">
        <f t="shared" ca="1" si="13"/>
        <v>1629.6967457311289</v>
      </c>
      <c r="J66" s="72">
        <f t="shared" ca="1" si="14"/>
        <v>184.96180472709375</v>
      </c>
    </row>
    <row r="67" spans="1:10" x14ac:dyDescent="0.3">
      <c r="A67" s="30">
        <v>54</v>
      </c>
      <c r="B67" s="72">
        <f t="shared" ca="1" si="15"/>
        <v>0.65525122173522998</v>
      </c>
      <c r="C67" s="72">
        <f t="shared" ca="1" si="15"/>
        <v>0.83232162700906953</v>
      </c>
      <c r="D67" s="72">
        <f t="shared" ca="1" si="8"/>
        <v>26.623482653613344</v>
      </c>
      <c r="E67" s="72">
        <f t="shared" ca="1" si="9"/>
        <v>39.682390687918847</v>
      </c>
      <c r="F67" s="72">
        <f t="shared" ca="1" si="10"/>
        <v>1471.3584236576485</v>
      </c>
      <c r="G67" s="72">
        <f t="shared" ca="1" si="11"/>
        <v>158.33832207348041</v>
      </c>
      <c r="H67" s="72">
        <f t="shared" ca="1" si="12"/>
        <v>1629.6967457311289</v>
      </c>
      <c r="I67" s="72">
        <f t="shared" ca="1" si="13"/>
        <v>1669.3791364190477</v>
      </c>
      <c r="J67" s="72">
        <f t="shared" ca="1" si="14"/>
        <v>198.02071276139918</v>
      </c>
    </row>
    <row r="68" spans="1:10" x14ac:dyDescent="0.3">
      <c r="A68" s="30">
        <v>55</v>
      </c>
      <c r="B68" s="72">
        <f t="shared" ca="1" si="15"/>
        <v>0.68751614354898283</v>
      </c>
      <c r="C68" s="72">
        <f t="shared" ca="1" si="15"/>
        <v>0.61255314625614221</v>
      </c>
      <c r="D68" s="72">
        <f t="shared" ca="1" si="8"/>
        <v>29.08006176242041</v>
      </c>
      <c r="E68" s="72">
        <f t="shared" ca="1" si="9"/>
        <v>21.070590916080757</v>
      </c>
      <c r="F68" s="72">
        <f t="shared" ca="1" si="10"/>
        <v>1500.4384854200689</v>
      </c>
      <c r="G68" s="72">
        <f t="shared" ca="1" si="11"/>
        <v>168.94065099897875</v>
      </c>
      <c r="H68" s="72">
        <f t="shared" ca="1" si="12"/>
        <v>1669.3791364190477</v>
      </c>
      <c r="I68" s="72">
        <f t="shared" ca="1" si="13"/>
        <v>1690.4497273351285</v>
      </c>
      <c r="J68" s="72">
        <f t="shared" ca="1" si="14"/>
        <v>190.0112419150596</v>
      </c>
    </row>
    <row r="69" spans="1:10" x14ac:dyDescent="0.3">
      <c r="A69" s="30">
        <v>56</v>
      </c>
      <c r="B69" s="72">
        <f t="shared" ca="1" si="15"/>
        <v>0.99139998409893859</v>
      </c>
      <c r="C69" s="72">
        <f t="shared" ca="1" si="15"/>
        <v>0.1862231690022178</v>
      </c>
      <c r="D69" s="72">
        <f t="shared" ca="1" si="8"/>
        <v>118.89978066909389</v>
      </c>
      <c r="E69" s="72">
        <f t="shared" ca="1" si="9"/>
        <v>4.5793136436141868</v>
      </c>
      <c r="F69" s="72">
        <f t="shared" ca="1" si="10"/>
        <v>1619.3382660891627</v>
      </c>
      <c r="G69" s="72">
        <f t="shared" ca="1" si="11"/>
        <v>71.111461245965756</v>
      </c>
      <c r="H69" s="72">
        <f t="shared" ca="1" si="12"/>
        <v>1690.4497273351285</v>
      </c>
      <c r="I69" s="72">
        <f t="shared" ca="1" si="13"/>
        <v>1695.0290409787426</v>
      </c>
      <c r="J69" s="72">
        <f t="shared" ca="1" si="14"/>
        <v>75.69077488957987</v>
      </c>
    </row>
    <row r="70" spans="1:10" x14ac:dyDescent="0.3">
      <c r="A70" s="30">
        <v>57</v>
      </c>
      <c r="B70" s="72">
        <f t="shared" ca="1" si="15"/>
        <v>0.86619035375316067</v>
      </c>
      <c r="C70" s="72">
        <f t="shared" ca="1" si="15"/>
        <v>0.26559674320590609</v>
      </c>
      <c r="D70" s="72">
        <f t="shared" ca="1" si="8"/>
        <v>50.283425984155514</v>
      </c>
      <c r="E70" s="72">
        <f t="shared" ca="1" si="9"/>
        <v>6.859933445626857</v>
      </c>
      <c r="F70" s="72">
        <f t="shared" ca="1" si="10"/>
        <v>1669.6216920733182</v>
      </c>
      <c r="G70" s="72">
        <f t="shared" ca="1" si="11"/>
        <v>25.407348905424442</v>
      </c>
      <c r="H70" s="72">
        <f t="shared" ca="1" si="12"/>
        <v>1695.0290409787426</v>
      </c>
      <c r="I70" s="72">
        <f t="shared" ca="1" si="13"/>
        <v>1701.8889744243695</v>
      </c>
      <c r="J70" s="72">
        <f t="shared" ca="1" si="14"/>
        <v>32.267282351051335</v>
      </c>
    </row>
    <row r="71" spans="1:10" x14ac:dyDescent="0.3">
      <c r="A71" s="30">
        <v>58</v>
      </c>
      <c r="B71" s="72">
        <f t="shared" ca="1" si="15"/>
        <v>0.59274838478958602</v>
      </c>
      <c r="C71" s="72">
        <f t="shared" ca="1" si="15"/>
        <v>0.29823908753700212</v>
      </c>
      <c r="D71" s="72">
        <f t="shared" ca="1" si="8"/>
        <v>22.458101634202393</v>
      </c>
      <c r="E71" s="72">
        <f t="shared" ca="1" si="9"/>
        <v>7.870278077868643</v>
      </c>
      <c r="F71" s="72">
        <f t="shared" ca="1" si="10"/>
        <v>1692.0797937075206</v>
      </c>
      <c r="G71" s="72">
        <f t="shared" ca="1" si="11"/>
        <v>9.809180716848914</v>
      </c>
      <c r="H71" s="72">
        <f t="shared" ca="1" si="12"/>
        <v>1701.8889744243695</v>
      </c>
      <c r="I71" s="72">
        <f t="shared" ca="1" si="13"/>
        <v>1709.759252502238</v>
      </c>
      <c r="J71" s="72">
        <f t="shared" ca="1" si="14"/>
        <v>17.679458794717448</v>
      </c>
    </row>
    <row r="72" spans="1:10" x14ac:dyDescent="0.3">
      <c r="A72" s="30">
        <v>59</v>
      </c>
      <c r="B72" s="72">
        <f t="shared" ca="1" si="15"/>
        <v>0.85816873979575958</v>
      </c>
      <c r="C72" s="72">
        <f t="shared" ca="1" si="15"/>
        <v>6.0343359101435401E-2</v>
      </c>
      <c r="D72" s="72">
        <f t="shared" ca="1" si="8"/>
        <v>48.827930909999914</v>
      </c>
      <c r="E72" s="72">
        <f t="shared" ca="1" si="9"/>
        <v>1.3831276908290924</v>
      </c>
      <c r="F72" s="72">
        <f t="shared" ca="1" si="10"/>
        <v>1740.9077246175204</v>
      </c>
      <c r="G72" s="72">
        <f t="shared" ca="1" si="11"/>
        <v>0</v>
      </c>
      <c r="H72" s="72">
        <f t="shared" ca="1" si="12"/>
        <v>1740.9077246175204</v>
      </c>
      <c r="I72" s="72">
        <f t="shared" ca="1" si="13"/>
        <v>1742.2908523083495</v>
      </c>
      <c r="J72" s="72">
        <f t="shared" ca="1" si="14"/>
        <v>1.383127690829042</v>
      </c>
    </row>
    <row r="73" spans="1:10" x14ac:dyDescent="0.3">
      <c r="A73" s="30">
        <v>60</v>
      </c>
      <c r="B73" s="72">
        <f t="shared" ca="1" si="15"/>
        <v>6.0392159642590482E-3</v>
      </c>
      <c r="C73" s="72">
        <f t="shared" ca="1" si="15"/>
        <v>0.76657604219071296</v>
      </c>
      <c r="D73" s="72">
        <f t="shared" ca="1" si="8"/>
        <v>0.15143814460454125</v>
      </c>
      <c r="E73" s="72">
        <f t="shared" ca="1" si="9"/>
        <v>32.331087053327153</v>
      </c>
      <c r="F73" s="72">
        <f t="shared" ca="1" si="10"/>
        <v>1741.059162762125</v>
      </c>
      <c r="G73" s="72">
        <f t="shared" ca="1" si="11"/>
        <v>1.2316895462245157</v>
      </c>
      <c r="H73" s="72">
        <f t="shared" ca="1" si="12"/>
        <v>1742.2908523083495</v>
      </c>
      <c r="I73" s="72">
        <f t="shared" ca="1" si="13"/>
        <v>1774.6219393616766</v>
      </c>
      <c r="J73" s="72">
        <f t="shared" ca="1" si="14"/>
        <v>33.562776599551626</v>
      </c>
    </row>
    <row r="74" spans="1:10" x14ac:dyDescent="0.3">
      <c r="A74" s="30">
        <v>61</v>
      </c>
      <c r="B74" s="72">
        <f t="shared" ca="1" si="15"/>
        <v>0.40207440764339719</v>
      </c>
      <c r="C74" s="72">
        <f t="shared" ca="1" si="15"/>
        <v>0.26756097466449535</v>
      </c>
      <c r="D74" s="72">
        <f t="shared" ca="1" si="8"/>
        <v>12.857224006764206</v>
      </c>
      <c r="E74" s="72">
        <f t="shared" ca="1" si="9"/>
        <v>6.91944852041118</v>
      </c>
      <c r="F74" s="72">
        <f t="shared" ca="1" si="10"/>
        <v>1753.9163867688892</v>
      </c>
      <c r="G74" s="72">
        <f t="shared" ca="1" si="11"/>
        <v>20.705552592787399</v>
      </c>
      <c r="H74" s="72">
        <f t="shared" ca="1" si="12"/>
        <v>1774.6219393616766</v>
      </c>
      <c r="I74" s="72">
        <f t="shared" ca="1" si="13"/>
        <v>1781.5413878820877</v>
      </c>
      <c r="J74" s="72">
        <f t="shared" ca="1" si="14"/>
        <v>27.62500111319855</v>
      </c>
    </row>
    <row r="75" spans="1:10" x14ac:dyDescent="0.3">
      <c r="A75" s="30">
        <v>62</v>
      </c>
      <c r="B75" s="72">
        <f t="shared" ca="1" si="15"/>
        <v>0.87275301683589468</v>
      </c>
      <c r="C75" s="72">
        <f t="shared" ca="1" si="15"/>
        <v>5.9812916074168498E-2</v>
      </c>
      <c r="D75" s="72">
        <f t="shared" ca="1" si="8"/>
        <v>51.540633294417624</v>
      </c>
      <c r="E75" s="72">
        <f t="shared" ca="1" si="9"/>
        <v>1.3705866237336259</v>
      </c>
      <c r="F75" s="72">
        <f t="shared" ca="1" si="10"/>
        <v>1805.4570200633068</v>
      </c>
      <c r="G75" s="72">
        <f t="shared" ca="1" si="11"/>
        <v>0</v>
      </c>
      <c r="H75" s="72">
        <f t="shared" ca="1" si="12"/>
        <v>1805.4570200633068</v>
      </c>
      <c r="I75" s="72">
        <f t="shared" ca="1" si="13"/>
        <v>1806.8276066870403</v>
      </c>
      <c r="J75" s="72">
        <f t="shared" ca="1" si="14"/>
        <v>1.3705866237335158</v>
      </c>
    </row>
    <row r="76" spans="1:10" x14ac:dyDescent="0.3">
      <c r="A76" s="30">
        <v>63</v>
      </c>
      <c r="B76" s="72">
        <f t="shared" ca="1" si="15"/>
        <v>0.42448296509255123</v>
      </c>
      <c r="C76" s="72">
        <f t="shared" ca="1" si="15"/>
        <v>0.33811925287169375</v>
      </c>
      <c r="D76" s="72">
        <f t="shared" ca="1" si="8"/>
        <v>13.81216127678929</v>
      </c>
      <c r="E76" s="72">
        <f t="shared" ca="1" si="9"/>
        <v>9.1704417680423838</v>
      </c>
      <c r="F76" s="72">
        <f t="shared" ca="1" si="10"/>
        <v>1819.2691813400961</v>
      </c>
      <c r="G76" s="72">
        <f t="shared" ca="1" si="11"/>
        <v>0</v>
      </c>
      <c r="H76" s="72">
        <f t="shared" ca="1" si="12"/>
        <v>1819.2691813400961</v>
      </c>
      <c r="I76" s="72">
        <f t="shared" ca="1" si="13"/>
        <v>1828.4396231081384</v>
      </c>
      <c r="J76" s="72">
        <f t="shared" ca="1" si="14"/>
        <v>9.1704417680423376</v>
      </c>
    </row>
    <row r="77" spans="1:10" x14ac:dyDescent="0.3">
      <c r="A77" s="30">
        <v>64</v>
      </c>
      <c r="B77" s="72">
        <f t="shared" ca="1" si="15"/>
        <v>0.91279422143769162</v>
      </c>
      <c r="C77" s="72">
        <f t="shared" ca="1" si="15"/>
        <v>3.2871716200380541E-2</v>
      </c>
      <c r="D77" s="72">
        <f t="shared" ca="1" si="8"/>
        <v>60.987117058661099</v>
      </c>
      <c r="E77" s="72">
        <f t="shared" ca="1" si="9"/>
        <v>0.74275845986873767</v>
      </c>
      <c r="F77" s="72">
        <f t="shared" ca="1" si="10"/>
        <v>1880.2562983987573</v>
      </c>
      <c r="G77" s="72">
        <f t="shared" ca="1" si="11"/>
        <v>0</v>
      </c>
      <c r="H77" s="72">
        <f t="shared" ca="1" si="12"/>
        <v>1880.2562983987573</v>
      </c>
      <c r="I77" s="72">
        <f t="shared" ca="1" si="13"/>
        <v>1880.9990568586261</v>
      </c>
      <c r="J77" s="72">
        <f t="shared" ca="1" si="14"/>
        <v>0.74275845986880995</v>
      </c>
    </row>
    <row r="78" spans="1:10" x14ac:dyDescent="0.3">
      <c r="A78" s="30">
        <v>65</v>
      </c>
      <c r="B78" s="72">
        <f t="shared" ca="1" si="15"/>
        <v>0.93895505638417798</v>
      </c>
      <c r="C78" s="72">
        <f t="shared" ca="1" si="15"/>
        <v>0.44294180047591281</v>
      </c>
      <c r="D78" s="72">
        <f t="shared" ca="1" si="8"/>
        <v>69.903622637778767</v>
      </c>
      <c r="E78" s="72">
        <f t="shared" ca="1" si="9"/>
        <v>13.0019012674971</v>
      </c>
      <c r="F78" s="72">
        <f t="shared" ca="1" si="10"/>
        <v>1950.1599210365362</v>
      </c>
      <c r="G78" s="72">
        <f t="shared" ca="1" si="11"/>
        <v>0</v>
      </c>
      <c r="H78" s="72">
        <f t="shared" ca="1" si="12"/>
        <v>1950.1599210365362</v>
      </c>
      <c r="I78" s="72">
        <f t="shared" ca="1" si="13"/>
        <v>1963.1618223040332</v>
      </c>
      <c r="J78" s="72">
        <f t="shared" ca="1" si="14"/>
        <v>13.001901267497033</v>
      </c>
    </row>
    <row r="79" spans="1:10" x14ac:dyDescent="0.3">
      <c r="A79" s="30">
        <v>66</v>
      </c>
      <c r="B79" s="72">
        <f t="shared" ca="1" si="15"/>
        <v>0.33737262155929915</v>
      </c>
      <c r="C79" s="72">
        <f t="shared" ca="1" si="15"/>
        <v>0.87554000208666705</v>
      </c>
      <c r="D79" s="72">
        <f t="shared" ca="1" si="8"/>
        <v>10.28856175646718</v>
      </c>
      <c r="E79" s="72">
        <f t="shared" ca="1" si="9"/>
        <v>46.30602036904066</v>
      </c>
      <c r="F79" s="72">
        <f t="shared" ca="1" si="10"/>
        <v>1960.4484827930034</v>
      </c>
      <c r="G79" s="72">
        <f t="shared" ca="1" si="11"/>
        <v>2.7133395110297442</v>
      </c>
      <c r="H79" s="72">
        <f t="shared" ca="1" si="12"/>
        <v>1963.1618223040332</v>
      </c>
      <c r="I79" s="72">
        <f t="shared" ca="1" si="13"/>
        <v>2009.4678426730738</v>
      </c>
      <c r="J79" s="72">
        <f t="shared" ca="1" si="14"/>
        <v>49.019359880070397</v>
      </c>
    </row>
    <row r="80" spans="1:10" x14ac:dyDescent="0.3">
      <c r="A80" s="30">
        <v>67</v>
      </c>
      <c r="B80" s="72">
        <f t="shared" ca="1" si="15"/>
        <v>0.18993366763968589</v>
      </c>
      <c r="C80" s="72">
        <f t="shared" ca="1" si="15"/>
        <v>0.11515809113432141</v>
      </c>
      <c r="D80" s="72">
        <f t="shared" ca="1" si="8"/>
        <v>5.2659785716436565</v>
      </c>
      <c r="E80" s="72">
        <f t="shared" ca="1" si="9"/>
        <v>2.718806310694454</v>
      </c>
      <c r="F80" s="72">
        <f t="shared" ca="1" si="10"/>
        <v>1965.7144613646471</v>
      </c>
      <c r="G80" s="72">
        <f t="shared" ca="1" si="11"/>
        <v>43.753381308426697</v>
      </c>
      <c r="H80" s="72">
        <f t="shared" ca="1" si="12"/>
        <v>2009.4678426730738</v>
      </c>
      <c r="I80" s="72">
        <f t="shared" ca="1" si="13"/>
        <v>2012.1866489837682</v>
      </c>
      <c r="J80" s="72">
        <f t="shared" ca="1" si="14"/>
        <v>46.472187619121087</v>
      </c>
    </row>
    <row r="81" spans="1:10" x14ac:dyDescent="0.3">
      <c r="A81" s="30">
        <v>68</v>
      </c>
      <c r="B81" s="72">
        <f t="shared" ca="1" si="15"/>
        <v>1.4428978170777484E-2</v>
      </c>
      <c r="C81" s="72">
        <f t="shared" ca="1" si="15"/>
        <v>0.73130894884854347</v>
      </c>
      <c r="D81" s="72">
        <f t="shared" ca="1" si="8"/>
        <v>0.36335220470646423</v>
      </c>
      <c r="E81" s="72">
        <f t="shared" ca="1" si="9"/>
        <v>29.204290403389312</v>
      </c>
      <c r="F81" s="72">
        <f t="shared" ca="1" si="10"/>
        <v>1966.0778135693536</v>
      </c>
      <c r="G81" s="72">
        <f t="shared" ca="1" si="11"/>
        <v>46.108835414414671</v>
      </c>
      <c r="H81" s="72">
        <f t="shared" ca="1" si="12"/>
        <v>2012.1866489837682</v>
      </c>
      <c r="I81" s="72">
        <f t="shared" ca="1" si="13"/>
        <v>2041.3909393871575</v>
      </c>
      <c r="J81" s="72">
        <f t="shared" ca="1" si="14"/>
        <v>75.313125817803893</v>
      </c>
    </row>
    <row r="82" spans="1:10" x14ac:dyDescent="0.3">
      <c r="A82" s="30">
        <v>69</v>
      </c>
      <c r="B82" s="72">
        <f t="shared" ca="1" si="15"/>
        <v>0.75983768540239971</v>
      </c>
      <c r="C82" s="72">
        <f t="shared" ca="1" si="15"/>
        <v>0.1884516748246533</v>
      </c>
      <c r="D82" s="72">
        <f t="shared" ca="1" si="8"/>
        <v>35.661006835297862</v>
      </c>
      <c r="E82" s="72">
        <f t="shared" ca="1" si="9"/>
        <v>4.6402520748626745</v>
      </c>
      <c r="F82" s="72">
        <f t="shared" ca="1" si="10"/>
        <v>2001.7388204046515</v>
      </c>
      <c r="G82" s="72">
        <f t="shared" ca="1" si="11"/>
        <v>39.652118982505954</v>
      </c>
      <c r="H82" s="72">
        <f t="shared" ca="1" si="12"/>
        <v>2041.3909393871575</v>
      </c>
      <c r="I82" s="72">
        <f t="shared" ca="1" si="13"/>
        <v>2046.0311914620202</v>
      </c>
      <c r="J82" s="72">
        <f t="shared" ca="1" si="14"/>
        <v>44.292371057368655</v>
      </c>
    </row>
    <row r="83" spans="1:10" x14ac:dyDescent="0.3">
      <c r="A83" s="30">
        <v>70</v>
      </c>
      <c r="B83" s="72">
        <f t="shared" ca="1" si="15"/>
        <v>0.89391868930376683</v>
      </c>
      <c r="C83" s="72">
        <f t="shared" ca="1" si="15"/>
        <v>0.18910968656164806</v>
      </c>
      <c r="D83" s="72">
        <f t="shared" ca="1" si="8"/>
        <v>56.088734922179874</v>
      </c>
      <c r="E83" s="72">
        <f t="shared" ca="1" si="9"/>
        <v>4.6582773899631063</v>
      </c>
      <c r="F83" s="72">
        <f t="shared" ca="1" si="10"/>
        <v>2057.8275553268313</v>
      </c>
      <c r="G83" s="72">
        <f t="shared" ca="1" si="11"/>
        <v>0</v>
      </c>
      <c r="H83" s="72">
        <f t="shared" ca="1" si="12"/>
        <v>2057.8275553268313</v>
      </c>
      <c r="I83" s="72">
        <f t="shared" ca="1" si="13"/>
        <v>2062.4858327167944</v>
      </c>
      <c r="J83" s="72">
        <f t="shared" ca="1" si="14"/>
        <v>4.658277389963132</v>
      </c>
    </row>
    <row r="84" spans="1:10" x14ac:dyDescent="0.3">
      <c r="A84" s="30">
        <v>71</v>
      </c>
      <c r="B84" s="72">
        <f t="shared" ca="1" si="15"/>
        <v>0.57390985490922641</v>
      </c>
      <c r="C84" s="72">
        <f t="shared" ca="1" si="15"/>
        <v>0.26903613660748571</v>
      </c>
      <c r="D84" s="72">
        <f t="shared" ca="1" si="8"/>
        <v>21.327608672607958</v>
      </c>
      <c r="E84" s="72">
        <f t="shared" ca="1" si="9"/>
        <v>6.9642501097299423</v>
      </c>
      <c r="F84" s="72">
        <f t="shared" ca="1" si="10"/>
        <v>2079.1551639994391</v>
      </c>
      <c r="G84" s="72">
        <f t="shared" ca="1" si="11"/>
        <v>0</v>
      </c>
      <c r="H84" s="72">
        <f t="shared" ca="1" si="12"/>
        <v>2079.1551639994391</v>
      </c>
      <c r="I84" s="72">
        <f t="shared" ca="1" si="13"/>
        <v>2086.1194141091692</v>
      </c>
      <c r="J84" s="72">
        <f t="shared" ca="1" si="14"/>
        <v>6.9642501097300737</v>
      </c>
    </row>
    <row r="85" spans="1:10" x14ac:dyDescent="0.3">
      <c r="A85" s="30">
        <v>72</v>
      </c>
      <c r="B85" s="72">
        <f t="shared" ca="1" si="15"/>
        <v>7.334208990109059E-3</v>
      </c>
      <c r="C85" s="72">
        <f t="shared" ca="1" si="15"/>
        <v>5.0600627667647502E-2</v>
      </c>
      <c r="D85" s="72">
        <f t="shared" ca="1" si="8"/>
        <v>0.1840309133094771</v>
      </c>
      <c r="E85" s="72">
        <f t="shared" ca="1" si="9"/>
        <v>1.1539051996772109</v>
      </c>
      <c r="F85" s="72">
        <f t="shared" ca="1" si="10"/>
        <v>2079.3391949127486</v>
      </c>
      <c r="G85" s="72">
        <f t="shared" ca="1" si="11"/>
        <v>6.7802191964206031</v>
      </c>
      <c r="H85" s="72">
        <f t="shared" ca="1" si="12"/>
        <v>2086.1194141091692</v>
      </c>
      <c r="I85" s="72">
        <f t="shared" ca="1" si="13"/>
        <v>2087.2733193088466</v>
      </c>
      <c r="J85" s="72">
        <f t="shared" ca="1" si="14"/>
        <v>7.9341243960980137</v>
      </c>
    </row>
    <row r="86" spans="1:10" x14ac:dyDescent="0.3">
      <c r="A86" s="30">
        <v>73</v>
      </c>
      <c r="B86" s="72">
        <f t="shared" ca="1" si="15"/>
        <v>0.66372152420071295</v>
      </c>
      <c r="C86" s="72">
        <f t="shared" ca="1" si="15"/>
        <v>0.57705411403215001</v>
      </c>
      <c r="D86" s="72">
        <f t="shared" ca="1" si="8"/>
        <v>27.245391631496162</v>
      </c>
      <c r="E86" s="72">
        <f t="shared" ca="1" si="9"/>
        <v>19.122467494966891</v>
      </c>
      <c r="F86" s="72">
        <f t="shared" ca="1" si="10"/>
        <v>2106.5845865442448</v>
      </c>
      <c r="G86" s="72">
        <f t="shared" ca="1" si="11"/>
        <v>0</v>
      </c>
      <c r="H86" s="72">
        <f t="shared" ca="1" si="12"/>
        <v>2106.5845865442448</v>
      </c>
      <c r="I86" s="72">
        <f t="shared" ca="1" si="13"/>
        <v>2125.7070540392115</v>
      </c>
      <c r="J86" s="72">
        <f t="shared" ca="1" si="14"/>
        <v>19.122467494966713</v>
      </c>
    </row>
    <row r="87" spans="1:10" x14ac:dyDescent="0.3">
      <c r="A87" s="30">
        <v>74</v>
      </c>
      <c r="B87" s="72">
        <f t="shared" ca="1" si="15"/>
        <v>0.59531254040775816</v>
      </c>
      <c r="C87" s="72">
        <f t="shared" ca="1" si="15"/>
        <v>0.70213485763184458</v>
      </c>
      <c r="D87" s="72">
        <f t="shared" ca="1" si="8"/>
        <v>22.616005362586787</v>
      </c>
      <c r="E87" s="72">
        <f t="shared" ca="1" si="9"/>
        <v>26.913654162081841</v>
      </c>
      <c r="F87" s="72">
        <f t="shared" ca="1" si="10"/>
        <v>2129.2005919068315</v>
      </c>
      <c r="G87" s="72">
        <f t="shared" ca="1" si="11"/>
        <v>0</v>
      </c>
      <c r="H87" s="72">
        <f t="shared" ca="1" si="12"/>
        <v>2129.2005919068315</v>
      </c>
      <c r="I87" s="72">
        <f t="shared" ca="1" si="13"/>
        <v>2156.1142460689134</v>
      </c>
      <c r="J87" s="72">
        <f t="shared" ca="1" si="14"/>
        <v>26.913654162081912</v>
      </c>
    </row>
    <row r="88" spans="1:10" x14ac:dyDescent="0.3">
      <c r="A88" s="30">
        <v>75</v>
      </c>
      <c r="B88" s="72">
        <f t="shared" ca="1" si="15"/>
        <v>3.5325910026093865E-3</v>
      </c>
      <c r="C88" s="72">
        <f t="shared" ca="1" si="15"/>
        <v>0.77551070286979684</v>
      </c>
      <c r="D88" s="72">
        <f t="shared" ca="1" si="8"/>
        <v>8.8471133397096793E-2</v>
      </c>
      <c r="E88" s="72">
        <f t="shared" ca="1" si="9"/>
        <v>33.198383270872753</v>
      </c>
      <c r="F88" s="72">
        <f t="shared" ca="1" si="10"/>
        <v>2129.2890630402285</v>
      </c>
      <c r="G88" s="72">
        <f t="shared" ca="1" si="11"/>
        <v>26.825183028684933</v>
      </c>
      <c r="H88" s="72">
        <f t="shared" ca="1" si="12"/>
        <v>2156.1142460689134</v>
      </c>
      <c r="I88" s="72">
        <f t="shared" ca="1" si="13"/>
        <v>2189.3126293397863</v>
      </c>
      <c r="J88" s="72">
        <f t="shared" ca="1" si="14"/>
        <v>60.023566299557842</v>
      </c>
    </row>
    <row r="89" spans="1:10" x14ac:dyDescent="0.3">
      <c r="A89" s="30">
        <v>76</v>
      </c>
      <c r="B89" s="72">
        <f t="shared" ca="1" si="15"/>
        <v>0.53670431412982911</v>
      </c>
      <c r="C89" s="72">
        <f t="shared" ca="1" si="15"/>
        <v>9.0869016253138923E-2</v>
      </c>
      <c r="D89" s="72">
        <f t="shared" ca="1" si="8"/>
        <v>19.234744958609301</v>
      </c>
      <c r="E89" s="72">
        <f t="shared" ca="1" si="9"/>
        <v>2.1170244145414618</v>
      </c>
      <c r="F89" s="72">
        <f t="shared" ca="1" si="10"/>
        <v>2148.5238079988376</v>
      </c>
      <c r="G89" s="72">
        <f t="shared" ca="1" si="11"/>
        <v>40.788821340948743</v>
      </c>
      <c r="H89" s="72">
        <f t="shared" ca="1" si="12"/>
        <v>2189.3126293397863</v>
      </c>
      <c r="I89" s="72">
        <f t="shared" ca="1" si="13"/>
        <v>2191.4296537543278</v>
      </c>
      <c r="J89" s="72">
        <f t="shared" ca="1" si="14"/>
        <v>42.905845755490191</v>
      </c>
    </row>
    <row r="90" spans="1:10" x14ac:dyDescent="0.3">
      <c r="A90" s="30">
        <v>77</v>
      </c>
      <c r="B90" s="72">
        <f t="shared" ca="1" si="15"/>
        <v>0.3134546275279374</v>
      </c>
      <c r="C90" s="72">
        <f t="shared" ca="1" si="15"/>
        <v>0.44736944024997927</v>
      </c>
      <c r="D90" s="72">
        <f t="shared" ca="1" si="8"/>
        <v>9.4020740875159454</v>
      </c>
      <c r="E90" s="72">
        <f t="shared" ca="1" si="9"/>
        <v>13.179234805922905</v>
      </c>
      <c r="F90" s="72">
        <f t="shared" ca="1" si="10"/>
        <v>2157.9258820863533</v>
      </c>
      <c r="G90" s="72">
        <f t="shared" ca="1" si="11"/>
        <v>33.503771667974434</v>
      </c>
      <c r="H90" s="72">
        <f t="shared" ca="1" si="12"/>
        <v>2191.4296537543278</v>
      </c>
      <c r="I90" s="72">
        <f t="shared" ca="1" si="13"/>
        <v>2204.6088885602508</v>
      </c>
      <c r="J90" s="72">
        <f t="shared" ca="1" si="14"/>
        <v>46.683006473897422</v>
      </c>
    </row>
    <row r="91" spans="1:10" x14ac:dyDescent="0.3">
      <c r="A91" s="30">
        <v>78</v>
      </c>
      <c r="B91" s="72">
        <f t="shared" ca="1" si="15"/>
        <v>0.62753788729640969</v>
      </c>
      <c r="C91" s="72">
        <f t="shared" ca="1" si="15"/>
        <v>0.31186707817687087</v>
      </c>
      <c r="D91" s="72">
        <f t="shared" ref="D91:D154" ca="1" si="16">(1/$F$1)*LN(1/(1-B91))</f>
        <v>24.690498929956707</v>
      </c>
      <c r="E91" s="72">
        <f t="shared" ref="E91:E154" ca="1" si="17">(1/$J$1)*LN(1/(1-C91))</f>
        <v>8.3060724307834874</v>
      </c>
      <c r="F91" s="72">
        <f t="shared" ref="F91:F154" ca="1" si="18">F90+D91</f>
        <v>2182.6163810163102</v>
      </c>
      <c r="G91" s="72">
        <f t="shared" ref="G91:G154" ca="1" si="19">IF(I90&gt;F91,I90-F91,0)</f>
        <v>21.992507543940519</v>
      </c>
      <c r="H91" s="72">
        <f t="shared" ref="H91:H154" ca="1" si="20">F91+G91</f>
        <v>2204.6088885602508</v>
      </c>
      <c r="I91" s="72">
        <f t="shared" ref="I91:I154" ca="1" si="21">H91+E91</f>
        <v>2212.9149609910341</v>
      </c>
      <c r="J91" s="72">
        <f t="shared" ref="J91:J154" ca="1" si="22">I91-F91</f>
        <v>30.298579974723907</v>
      </c>
    </row>
    <row r="92" spans="1:10" x14ac:dyDescent="0.3">
      <c r="A92" s="30">
        <v>79</v>
      </c>
      <c r="B92" s="72">
        <f t="shared" ca="1" si="15"/>
        <v>7.4994851260852258E-2</v>
      </c>
      <c r="C92" s="72">
        <f t="shared" ca="1" si="15"/>
        <v>0.34254664253626843</v>
      </c>
      <c r="D92" s="72">
        <f t="shared" ca="1" si="16"/>
        <v>1.9488993820179774</v>
      </c>
      <c r="E92" s="72">
        <f t="shared" ca="1" si="17"/>
        <v>9.3195879258929342</v>
      </c>
      <c r="F92" s="72">
        <f t="shared" ca="1" si="18"/>
        <v>2184.565280398328</v>
      </c>
      <c r="G92" s="72">
        <f t="shared" ca="1" si="19"/>
        <v>28.349680592706136</v>
      </c>
      <c r="H92" s="72">
        <f t="shared" ca="1" si="20"/>
        <v>2212.9149609910341</v>
      </c>
      <c r="I92" s="72">
        <f t="shared" ca="1" si="21"/>
        <v>2222.234548916927</v>
      </c>
      <c r="J92" s="72">
        <f t="shared" ca="1" si="22"/>
        <v>37.669268518598983</v>
      </c>
    </row>
    <row r="93" spans="1:10" x14ac:dyDescent="0.3">
      <c r="A93" s="30">
        <v>80</v>
      </c>
      <c r="B93" s="72">
        <f t="shared" ca="1" si="15"/>
        <v>0.54753104981189127</v>
      </c>
      <c r="C93" s="72">
        <f t="shared" ca="1" si="15"/>
        <v>0.89637154244938644</v>
      </c>
      <c r="D93" s="72">
        <f t="shared" ca="1" si="16"/>
        <v>19.825903414133119</v>
      </c>
      <c r="E93" s="72">
        <f t="shared" ca="1" si="17"/>
        <v>50.37651777987282</v>
      </c>
      <c r="F93" s="72">
        <f t="shared" ca="1" si="18"/>
        <v>2204.3911838124613</v>
      </c>
      <c r="G93" s="72">
        <f t="shared" ca="1" si="19"/>
        <v>17.843365104465647</v>
      </c>
      <c r="H93" s="72">
        <f t="shared" ca="1" si="20"/>
        <v>2222.234548916927</v>
      </c>
      <c r="I93" s="72">
        <f t="shared" ca="1" si="21"/>
        <v>2272.6110666967998</v>
      </c>
      <c r="J93" s="72">
        <f t="shared" ca="1" si="22"/>
        <v>68.219882884338404</v>
      </c>
    </row>
    <row r="94" spans="1:10" x14ac:dyDescent="0.3">
      <c r="A94" s="30">
        <v>81</v>
      </c>
      <c r="B94" s="72">
        <f t="shared" ca="1" si="15"/>
        <v>8.4315197706063327E-2</v>
      </c>
      <c r="C94" s="72">
        <f t="shared" ca="1" si="15"/>
        <v>0.27662855386717689</v>
      </c>
      <c r="D94" s="72">
        <f t="shared" ca="1" si="16"/>
        <v>2.2020768955995891</v>
      </c>
      <c r="E94" s="72">
        <f t="shared" ca="1" si="17"/>
        <v>7.1962762666140101</v>
      </c>
      <c r="F94" s="72">
        <f t="shared" ca="1" si="18"/>
        <v>2206.5932607080608</v>
      </c>
      <c r="G94" s="72">
        <f t="shared" ca="1" si="19"/>
        <v>66.017805988738928</v>
      </c>
      <c r="H94" s="72">
        <f t="shared" ca="1" si="20"/>
        <v>2272.6110666967998</v>
      </c>
      <c r="I94" s="72">
        <f t="shared" ca="1" si="21"/>
        <v>2279.8073429634137</v>
      </c>
      <c r="J94" s="72">
        <f t="shared" ca="1" si="22"/>
        <v>73.214082255352878</v>
      </c>
    </row>
    <row r="95" spans="1:10" x14ac:dyDescent="0.3">
      <c r="A95" s="30">
        <v>82</v>
      </c>
      <c r="B95" s="72">
        <f t="shared" ca="1" si="15"/>
        <v>0.60149738618642412</v>
      </c>
      <c r="C95" s="72">
        <f t="shared" ca="1" si="15"/>
        <v>7.064488275076064E-2</v>
      </c>
      <c r="D95" s="72">
        <f t="shared" ca="1" si="16"/>
        <v>23.001030541067465</v>
      </c>
      <c r="E95" s="72">
        <f t="shared" ca="1" si="17"/>
        <v>1.6280967927984742</v>
      </c>
      <c r="F95" s="72">
        <f t="shared" ca="1" si="18"/>
        <v>2229.5942912491282</v>
      </c>
      <c r="G95" s="72">
        <f t="shared" ca="1" si="19"/>
        <v>50.213051714285484</v>
      </c>
      <c r="H95" s="72">
        <f t="shared" ca="1" si="20"/>
        <v>2279.8073429634137</v>
      </c>
      <c r="I95" s="72">
        <f t="shared" ca="1" si="21"/>
        <v>2281.435439756212</v>
      </c>
      <c r="J95" s="72">
        <f t="shared" ca="1" si="22"/>
        <v>51.841148507083744</v>
      </c>
    </row>
    <row r="96" spans="1:10" x14ac:dyDescent="0.3">
      <c r="A96" s="30">
        <v>83</v>
      </c>
      <c r="B96" s="72">
        <f t="shared" ref="B96:C159" ca="1" si="23">RAND()</f>
        <v>0.74339756611361185</v>
      </c>
      <c r="C96" s="72">
        <f t="shared" ca="1" si="23"/>
        <v>0.95416542931974102</v>
      </c>
      <c r="D96" s="72">
        <f t="shared" ca="1" si="16"/>
        <v>34.00568354269182</v>
      </c>
      <c r="E96" s="72">
        <f t="shared" ca="1" si="17"/>
        <v>68.504814538840634</v>
      </c>
      <c r="F96" s="72">
        <f t="shared" ca="1" si="18"/>
        <v>2263.5999747918199</v>
      </c>
      <c r="G96" s="72">
        <f t="shared" ca="1" si="19"/>
        <v>17.835464964392031</v>
      </c>
      <c r="H96" s="72">
        <f t="shared" ca="1" si="20"/>
        <v>2281.435439756212</v>
      </c>
      <c r="I96" s="72">
        <f t="shared" ca="1" si="21"/>
        <v>2349.9402542950525</v>
      </c>
      <c r="J96" s="72">
        <f t="shared" ca="1" si="22"/>
        <v>86.340279503232523</v>
      </c>
    </row>
    <row r="97" spans="1:10" x14ac:dyDescent="0.3">
      <c r="A97" s="30">
        <v>84</v>
      </c>
      <c r="B97" s="72">
        <f t="shared" ca="1" si="23"/>
        <v>0.6286045801802761</v>
      </c>
      <c r="C97" s="72">
        <f t="shared" ca="1" si="23"/>
        <v>9.0276597443133655E-2</v>
      </c>
      <c r="D97" s="72">
        <f t="shared" ca="1" si="16"/>
        <v>24.762199058569859</v>
      </c>
      <c r="E97" s="72">
        <f t="shared" ca="1" si="17"/>
        <v>2.1025484201911357</v>
      </c>
      <c r="F97" s="72">
        <f t="shared" ca="1" si="18"/>
        <v>2288.3621738503898</v>
      </c>
      <c r="G97" s="72">
        <f t="shared" ca="1" si="19"/>
        <v>61.578080444662646</v>
      </c>
      <c r="H97" s="72">
        <f t="shared" ca="1" si="20"/>
        <v>2349.9402542950525</v>
      </c>
      <c r="I97" s="72">
        <f t="shared" ca="1" si="21"/>
        <v>2352.0428027152434</v>
      </c>
      <c r="J97" s="72">
        <f t="shared" ca="1" si="22"/>
        <v>63.680628864853588</v>
      </c>
    </row>
    <row r="98" spans="1:10" x14ac:dyDescent="0.3">
      <c r="A98" s="30">
        <v>85</v>
      </c>
      <c r="B98" s="72">
        <f t="shared" ca="1" si="23"/>
        <v>0.93097061061176611</v>
      </c>
      <c r="C98" s="72">
        <f t="shared" ca="1" si="23"/>
        <v>0.57423745983732577</v>
      </c>
      <c r="D98" s="72">
        <f t="shared" ca="1" si="16"/>
        <v>66.830573297646197</v>
      </c>
      <c r="E98" s="72">
        <f t="shared" ca="1" si="17"/>
        <v>18.974966790803244</v>
      </c>
      <c r="F98" s="72">
        <f t="shared" ca="1" si="18"/>
        <v>2355.1927471480358</v>
      </c>
      <c r="G98" s="72">
        <f t="shared" ca="1" si="19"/>
        <v>0</v>
      </c>
      <c r="H98" s="72">
        <f t="shared" ca="1" si="20"/>
        <v>2355.1927471480358</v>
      </c>
      <c r="I98" s="72">
        <f t="shared" ca="1" si="21"/>
        <v>2374.1677139388389</v>
      </c>
      <c r="J98" s="72">
        <f t="shared" ca="1" si="22"/>
        <v>18.974966790803137</v>
      </c>
    </row>
    <row r="99" spans="1:10" x14ac:dyDescent="0.3">
      <c r="A99" s="30">
        <v>86</v>
      </c>
      <c r="B99" s="72">
        <f t="shared" ca="1" si="23"/>
        <v>0.78129656877037312</v>
      </c>
      <c r="C99" s="72">
        <f t="shared" ca="1" si="23"/>
        <v>0.61781493445270752</v>
      </c>
      <c r="D99" s="72">
        <f t="shared" ca="1" si="16"/>
        <v>38.000966555380835</v>
      </c>
      <c r="E99" s="72">
        <f t="shared" ca="1" si="17"/>
        <v>21.374451620161075</v>
      </c>
      <c r="F99" s="72">
        <f t="shared" ca="1" si="18"/>
        <v>2393.1937137034165</v>
      </c>
      <c r="G99" s="72">
        <f t="shared" ca="1" si="19"/>
        <v>0</v>
      </c>
      <c r="H99" s="72">
        <f t="shared" ca="1" si="20"/>
        <v>2393.1937137034165</v>
      </c>
      <c r="I99" s="72">
        <f t="shared" ca="1" si="21"/>
        <v>2414.5681653235774</v>
      </c>
      <c r="J99" s="72">
        <f t="shared" ca="1" si="22"/>
        <v>21.374451620160926</v>
      </c>
    </row>
    <row r="100" spans="1:10" x14ac:dyDescent="0.3">
      <c r="A100" s="30">
        <v>87</v>
      </c>
      <c r="B100" s="72">
        <f t="shared" ca="1" si="23"/>
        <v>0.71456811810558962</v>
      </c>
      <c r="C100" s="72">
        <f t="shared" ca="1" si="23"/>
        <v>0.64694208475185122</v>
      </c>
      <c r="D100" s="72">
        <f t="shared" ca="1" si="16"/>
        <v>31.343796766688637</v>
      </c>
      <c r="E100" s="72">
        <f t="shared" ca="1" si="17"/>
        <v>23.136070436608733</v>
      </c>
      <c r="F100" s="72">
        <f t="shared" ca="1" si="18"/>
        <v>2424.5375104701052</v>
      </c>
      <c r="G100" s="72">
        <f t="shared" ca="1" si="19"/>
        <v>0</v>
      </c>
      <c r="H100" s="72">
        <f t="shared" ca="1" si="20"/>
        <v>2424.5375104701052</v>
      </c>
      <c r="I100" s="72">
        <f t="shared" ca="1" si="21"/>
        <v>2447.6735809067141</v>
      </c>
      <c r="J100" s="72">
        <f t="shared" ca="1" si="22"/>
        <v>23.136070436608861</v>
      </c>
    </row>
    <row r="101" spans="1:10" x14ac:dyDescent="0.3">
      <c r="A101" s="30">
        <v>88</v>
      </c>
      <c r="B101" s="72">
        <f t="shared" ca="1" si="23"/>
        <v>0.75665857675451653</v>
      </c>
      <c r="C101" s="72">
        <f t="shared" ca="1" si="23"/>
        <v>0.93746170452499189</v>
      </c>
      <c r="D101" s="72">
        <f t="shared" ca="1" si="16"/>
        <v>35.332244696153438</v>
      </c>
      <c r="E101" s="72">
        <f t="shared" ca="1" si="17"/>
        <v>61.599470717345831</v>
      </c>
      <c r="F101" s="72">
        <f t="shared" ca="1" si="18"/>
        <v>2459.8697551662585</v>
      </c>
      <c r="G101" s="72">
        <f t="shared" ca="1" si="19"/>
        <v>0</v>
      </c>
      <c r="H101" s="72">
        <f t="shared" ca="1" si="20"/>
        <v>2459.8697551662585</v>
      </c>
      <c r="I101" s="72">
        <f t="shared" ca="1" si="21"/>
        <v>2521.4692258836044</v>
      </c>
      <c r="J101" s="72">
        <f t="shared" ca="1" si="22"/>
        <v>61.599470717345866</v>
      </c>
    </row>
    <row r="102" spans="1:10" x14ac:dyDescent="0.3">
      <c r="A102" s="30">
        <v>89</v>
      </c>
      <c r="B102" s="72">
        <f t="shared" ca="1" si="23"/>
        <v>0.9665303746206988</v>
      </c>
      <c r="C102" s="72">
        <f t="shared" ca="1" si="23"/>
        <v>0.10229181328992976</v>
      </c>
      <c r="D102" s="72">
        <f t="shared" ca="1" si="16"/>
        <v>84.927923913807717</v>
      </c>
      <c r="E102" s="72">
        <f t="shared" ca="1" si="17"/>
        <v>2.3980049469062807</v>
      </c>
      <c r="F102" s="72">
        <f t="shared" ca="1" si="18"/>
        <v>2544.7976790800662</v>
      </c>
      <c r="G102" s="72">
        <f t="shared" ca="1" si="19"/>
        <v>0</v>
      </c>
      <c r="H102" s="72">
        <f t="shared" ca="1" si="20"/>
        <v>2544.7976790800662</v>
      </c>
      <c r="I102" s="72">
        <f t="shared" ca="1" si="21"/>
        <v>2547.1956840269727</v>
      </c>
      <c r="J102" s="72">
        <f t="shared" ca="1" si="22"/>
        <v>2.3980049469064397</v>
      </c>
    </row>
    <row r="103" spans="1:10" x14ac:dyDescent="0.3">
      <c r="A103" s="30">
        <v>90</v>
      </c>
      <c r="B103" s="72">
        <f t="shared" ca="1" si="23"/>
        <v>0.64830854674261762</v>
      </c>
      <c r="C103" s="72">
        <f t="shared" ca="1" si="23"/>
        <v>0.63343031039657216</v>
      </c>
      <c r="D103" s="72">
        <f t="shared" ca="1" si="16"/>
        <v>26.125026025688889</v>
      </c>
      <c r="E103" s="72">
        <f t="shared" ca="1" si="17"/>
        <v>22.301480594339942</v>
      </c>
      <c r="F103" s="72">
        <f t="shared" ca="1" si="18"/>
        <v>2570.9227051057551</v>
      </c>
      <c r="G103" s="72">
        <f t="shared" ca="1" si="19"/>
        <v>0</v>
      </c>
      <c r="H103" s="72">
        <f t="shared" ca="1" si="20"/>
        <v>2570.9227051057551</v>
      </c>
      <c r="I103" s="72">
        <f t="shared" ca="1" si="21"/>
        <v>2593.2241857000949</v>
      </c>
      <c r="J103" s="72">
        <f t="shared" ca="1" si="22"/>
        <v>22.301480594339864</v>
      </c>
    </row>
    <row r="104" spans="1:10" x14ac:dyDescent="0.3">
      <c r="A104" s="30">
        <v>91</v>
      </c>
      <c r="B104" s="72">
        <f t="shared" ca="1" si="23"/>
        <v>0.13655353174819318</v>
      </c>
      <c r="C104" s="72">
        <f t="shared" ca="1" si="23"/>
        <v>9.866835127961826E-3</v>
      </c>
      <c r="D104" s="72">
        <f t="shared" ca="1" si="16"/>
        <v>3.6705844308776561</v>
      </c>
      <c r="E104" s="72">
        <f t="shared" ca="1" si="17"/>
        <v>0.22035188727557506</v>
      </c>
      <c r="F104" s="72">
        <f t="shared" ca="1" si="18"/>
        <v>2574.5932895366327</v>
      </c>
      <c r="G104" s="72">
        <f t="shared" ca="1" si="19"/>
        <v>18.630896163462239</v>
      </c>
      <c r="H104" s="72">
        <f t="shared" ca="1" si="20"/>
        <v>2593.2241857000949</v>
      </c>
      <c r="I104" s="72">
        <f t="shared" ca="1" si="21"/>
        <v>2593.4445375873706</v>
      </c>
      <c r="J104" s="72">
        <f t="shared" ca="1" si="22"/>
        <v>18.851248050737922</v>
      </c>
    </row>
    <row r="105" spans="1:10" x14ac:dyDescent="0.3">
      <c r="A105" s="30">
        <v>92</v>
      </c>
      <c r="B105" s="72">
        <f t="shared" ca="1" si="23"/>
        <v>0.54098545831269451</v>
      </c>
      <c r="C105" s="72">
        <f t="shared" ca="1" si="23"/>
        <v>0.25119023813073604</v>
      </c>
      <c r="D105" s="72">
        <f t="shared" ca="1" si="16"/>
        <v>19.466834704686796</v>
      </c>
      <c r="E105" s="72">
        <f t="shared" ca="1" si="17"/>
        <v>6.4282292715411389</v>
      </c>
      <c r="F105" s="72">
        <f t="shared" ca="1" si="18"/>
        <v>2594.0601242413195</v>
      </c>
      <c r="G105" s="72">
        <f t="shared" ca="1" si="19"/>
        <v>0</v>
      </c>
      <c r="H105" s="72">
        <f t="shared" ca="1" si="20"/>
        <v>2594.0601242413195</v>
      </c>
      <c r="I105" s="72">
        <f t="shared" ca="1" si="21"/>
        <v>2600.4883535128606</v>
      </c>
      <c r="J105" s="72">
        <f t="shared" ca="1" si="22"/>
        <v>6.4282292715411131</v>
      </c>
    </row>
    <row r="106" spans="1:10" x14ac:dyDescent="0.3">
      <c r="A106" s="30">
        <v>93</v>
      </c>
      <c r="B106" s="72">
        <f t="shared" ca="1" si="23"/>
        <v>0.23756689776724116</v>
      </c>
      <c r="C106" s="72">
        <f t="shared" ca="1" si="23"/>
        <v>0.51062562104406328</v>
      </c>
      <c r="D106" s="72">
        <f t="shared" ca="1" si="16"/>
        <v>6.7810127281550185</v>
      </c>
      <c r="E106" s="72">
        <f t="shared" ca="1" si="17"/>
        <v>15.880610695409599</v>
      </c>
      <c r="F106" s="72">
        <f t="shared" ca="1" si="18"/>
        <v>2600.8411369694745</v>
      </c>
      <c r="G106" s="72">
        <f t="shared" ca="1" si="19"/>
        <v>0</v>
      </c>
      <c r="H106" s="72">
        <f t="shared" ca="1" si="20"/>
        <v>2600.8411369694745</v>
      </c>
      <c r="I106" s="72">
        <f t="shared" ca="1" si="21"/>
        <v>2616.7217476648843</v>
      </c>
      <c r="J106" s="72">
        <f t="shared" ca="1" si="22"/>
        <v>15.880610695409814</v>
      </c>
    </row>
    <row r="107" spans="1:10" x14ac:dyDescent="0.3">
      <c r="A107" s="30">
        <v>94</v>
      </c>
      <c r="B107" s="72">
        <f t="shared" ca="1" si="23"/>
        <v>0.58609639114560774</v>
      </c>
      <c r="C107" s="72">
        <f t="shared" ca="1" si="23"/>
        <v>0.25839170077731788</v>
      </c>
      <c r="D107" s="72">
        <f t="shared" ca="1" si="16"/>
        <v>22.053054027994833</v>
      </c>
      <c r="E107" s="72">
        <f t="shared" ca="1" si="17"/>
        <v>6.642979418311409</v>
      </c>
      <c r="F107" s="72">
        <f t="shared" ca="1" si="18"/>
        <v>2622.8941909974692</v>
      </c>
      <c r="G107" s="72">
        <f t="shared" ca="1" si="19"/>
        <v>0</v>
      </c>
      <c r="H107" s="72">
        <f t="shared" ca="1" si="20"/>
        <v>2622.8941909974692</v>
      </c>
      <c r="I107" s="72">
        <f t="shared" ca="1" si="21"/>
        <v>2629.5371704157806</v>
      </c>
      <c r="J107" s="72">
        <f t="shared" ca="1" si="22"/>
        <v>6.64297941831137</v>
      </c>
    </row>
    <row r="108" spans="1:10" x14ac:dyDescent="0.3">
      <c r="A108" s="30">
        <v>95</v>
      </c>
      <c r="B108" s="72">
        <f t="shared" ca="1" si="23"/>
        <v>0.34051356126879739</v>
      </c>
      <c r="C108" s="72">
        <f t="shared" ca="1" si="23"/>
        <v>0.92519919765374303</v>
      </c>
      <c r="D108" s="72">
        <f t="shared" ca="1" si="16"/>
        <v>10.407346749778755</v>
      </c>
      <c r="E108" s="72">
        <f t="shared" ca="1" si="17"/>
        <v>57.62059261122215</v>
      </c>
      <c r="F108" s="72">
        <f t="shared" ca="1" si="18"/>
        <v>2633.3015377472479</v>
      </c>
      <c r="G108" s="72">
        <f t="shared" ca="1" si="19"/>
        <v>0</v>
      </c>
      <c r="H108" s="72">
        <f t="shared" ca="1" si="20"/>
        <v>2633.3015377472479</v>
      </c>
      <c r="I108" s="72">
        <f t="shared" ca="1" si="21"/>
        <v>2690.92213035847</v>
      </c>
      <c r="J108" s="72">
        <f t="shared" ca="1" si="22"/>
        <v>57.620592611222037</v>
      </c>
    </row>
    <row r="109" spans="1:10" x14ac:dyDescent="0.3">
      <c r="A109" s="30">
        <v>96</v>
      </c>
      <c r="B109" s="72">
        <f t="shared" ca="1" si="23"/>
        <v>0.21961766002114691</v>
      </c>
      <c r="C109" s="72">
        <f t="shared" ca="1" si="23"/>
        <v>0.56381639798558114</v>
      </c>
      <c r="D109" s="72">
        <f t="shared" ca="1" si="16"/>
        <v>6.1992824984284525</v>
      </c>
      <c r="E109" s="72">
        <f t="shared" ca="1" si="17"/>
        <v>18.437600416344399</v>
      </c>
      <c r="F109" s="72">
        <f t="shared" ca="1" si="18"/>
        <v>2639.5008202456766</v>
      </c>
      <c r="G109" s="72">
        <f t="shared" ca="1" si="19"/>
        <v>51.421310112793435</v>
      </c>
      <c r="H109" s="72">
        <f t="shared" ca="1" si="20"/>
        <v>2690.92213035847</v>
      </c>
      <c r="I109" s="72">
        <f t="shared" ca="1" si="21"/>
        <v>2709.3597307748146</v>
      </c>
      <c r="J109" s="72">
        <f t="shared" ca="1" si="22"/>
        <v>69.858910529138029</v>
      </c>
    </row>
    <row r="110" spans="1:10" x14ac:dyDescent="0.3">
      <c r="A110" s="30">
        <v>97</v>
      </c>
      <c r="B110" s="72">
        <f t="shared" ca="1" si="23"/>
        <v>0.39364506160581469</v>
      </c>
      <c r="C110" s="72">
        <f t="shared" ca="1" si="23"/>
        <v>0.89135362316576883</v>
      </c>
      <c r="D110" s="72">
        <f t="shared" ca="1" si="16"/>
        <v>12.507243936276922</v>
      </c>
      <c r="E110" s="72">
        <f t="shared" ca="1" si="17"/>
        <v>49.325709332590989</v>
      </c>
      <c r="F110" s="72">
        <f t="shared" ca="1" si="18"/>
        <v>2652.0080641819536</v>
      </c>
      <c r="G110" s="72">
        <f t="shared" ca="1" si="19"/>
        <v>57.351666592860965</v>
      </c>
      <c r="H110" s="72">
        <f t="shared" ca="1" si="20"/>
        <v>2709.3597307748146</v>
      </c>
      <c r="I110" s="72">
        <f t="shared" ca="1" si="21"/>
        <v>2758.6854401074056</v>
      </c>
      <c r="J110" s="72">
        <f t="shared" ca="1" si="22"/>
        <v>106.677375925452</v>
      </c>
    </row>
    <row r="111" spans="1:10" x14ac:dyDescent="0.3">
      <c r="A111" s="30">
        <v>98</v>
      </c>
      <c r="B111" s="72">
        <f t="shared" ca="1" si="23"/>
        <v>0.95357666778688921</v>
      </c>
      <c r="C111" s="72">
        <f t="shared" ca="1" si="23"/>
        <v>0.77629164238349868</v>
      </c>
      <c r="D111" s="72">
        <f t="shared" ca="1" si="16"/>
        <v>76.748827417895981</v>
      </c>
      <c r="E111" s="72">
        <f t="shared" ca="1" si="17"/>
        <v>33.27582334131511</v>
      </c>
      <c r="F111" s="72">
        <f t="shared" ca="1" si="18"/>
        <v>2728.7568915998495</v>
      </c>
      <c r="G111" s="72">
        <f t="shared" ca="1" si="19"/>
        <v>29.928548507556116</v>
      </c>
      <c r="H111" s="72">
        <f t="shared" ca="1" si="20"/>
        <v>2758.6854401074056</v>
      </c>
      <c r="I111" s="72">
        <f t="shared" ca="1" si="21"/>
        <v>2791.9612634487207</v>
      </c>
      <c r="J111" s="72">
        <f t="shared" ca="1" si="22"/>
        <v>63.204371848871233</v>
      </c>
    </row>
    <row r="112" spans="1:10" x14ac:dyDescent="0.3">
      <c r="A112" s="30">
        <v>99</v>
      </c>
      <c r="B112" s="72">
        <f t="shared" ca="1" si="23"/>
        <v>0.97527483695537565</v>
      </c>
      <c r="C112" s="72">
        <f t="shared" ca="1" si="23"/>
        <v>0.70913616419167469</v>
      </c>
      <c r="D112" s="72">
        <f t="shared" ca="1" si="16"/>
        <v>92.498345179314541</v>
      </c>
      <c r="E112" s="72">
        <f t="shared" ca="1" si="17"/>
        <v>27.442223100065977</v>
      </c>
      <c r="F112" s="72">
        <f t="shared" ca="1" si="18"/>
        <v>2821.2552367791641</v>
      </c>
      <c r="G112" s="72">
        <f t="shared" ca="1" si="19"/>
        <v>0</v>
      </c>
      <c r="H112" s="72">
        <f t="shared" ca="1" si="20"/>
        <v>2821.2552367791641</v>
      </c>
      <c r="I112" s="72">
        <f t="shared" ca="1" si="21"/>
        <v>2848.6974598792299</v>
      </c>
      <c r="J112" s="72">
        <f t="shared" ca="1" si="22"/>
        <v>27.442223100065803</v>
      </c>
    </row>
    <row r="113" spans="1:10" x14ac:dyDescent="0.3">
      <c r="A113" s="30">
        <v>100</v>
      </c>
      <c r="B113" s="72">
        <f t="shared" ca="1" si="23"/>
        <v>0.15487626941887822</v>
      </c>
      <c r="C113" s="72">
        <f t="shared" ca="1" si="23"/>
        <v>5.3829034568966039E-2</v>
      </c>
      <c r="D113" s="72">
        <f t="shared" ca="1" si="16"/>
        <v>4.2068058905272085</v>
      </c>
      <c r="E113" s="72">
        <f t="shared" ca="1" si="17"/>
        <v>1.2296000378190206</v>
      </c>
      <c r="F113" s="72">
        <f t="shared" ca="1" si="18"/>
        <v>2825.4620426696911</v>
      </c>
      <c r="G113" s="72">
        <f t="shared" ca="1" si="19"/>
        <v>23.235417209538809</v>
      </c>
      <c r="H113" s="72">
        <f t="shared" ca="1" si="20"/>
        <v>2848.6974598792299</v>
      </c>
      <c r="I113" s="72">
        <f t="shared" ca="1" si="21"/>
        <v>2849.9270599170491</v>
      </c>
      <c r="J113" s="72">
        <f t="shared" ca="1" si="22"/>
        <v>24.465017247357991</v>
      </c>
    </row>
    <row r="114" spans="1:10" x14ac:dyDescent="0.3">
      <c r="A114" s="30">
        <v>101</v>
      </c>
      <c r="B114" s="72">
        <f t="shared" ca="1" si="23"/>
        <v>0.75969551051683715</v>
      </c>
      <c r="C114" s="72">
        <f t="shared" ca="1" si="23"/>
        <v>9.6163953536694824E-2</v>
      </c>
      <c r="D114" s="72">
        <f t="shared" ca="1" si="16"/>
        <v>35.646211339698084</v>
      </c>
      <c r="E114" s="72">
        <f t="shared" ca="1" si="17"/>
        <v>2.2468288793386226</v>
      </c>
      <c r="F114" s="72">
        <f t="shared" ca="1" si="18"/>
        <v>2861.1082540093894</v>
      </c>
      <c r="G114" s="72">
        <f t="shared" ca="1" si="19"/>
        <v>0</v>
      </c>
      <c r="H114" s="72">
        <f t="shared" ca="1" si="20"/>
        <v>2861.1082540093894</v>
      </c>
      <c r="I114" s="72">
        <f t="shared" ca="1" si="21"/>
        <v>2863.3550828887278</v>
      </c>
      <c r="J114" s="72">
        <f t="shared" ca="1" si="22"/>
        <v>2.246828879338409</v>
      </c>
    </row>
    <row r="115" spans="1:10" x14ac:dyDescent="0.3">
      <c r="A115" s="30">
        <v>102</v>
      </c>
      <c r="B115" s="72">
        <f t="shared" ca="1" si="23"/>
        <v>0.66575863047486272</v>
      </c>
      <c r="C115" s="72">
        <f t="shared" ca="1" si="23"/>
        <v>0.71111797292580836</v>
      </c>
      <c r="D115" s="72">
        <f t="shared" ca="1" si="16"/>
        <v>27.397297093796869</v>
      </c>
      <c r="E115" s="72">
        <f t="shared" ca="1" si="17"/>
        <v>27.594153000585933</v>
      </c>
      <c r="F115" s="72">
        <f t="shared" ca="1" si="18"/>
        <v>2888.5055511031865</v>
      </c>
      <c r="G115" s="72">
        <f t="shared" ca="1" si="19"/>
        <v>0</v>
      </c>
      <c r="H115" s="72">
        <f t="shared" ca="1" si="20"/>
        <v>2888.5055511031865</v>
      </c>
      <c r="I115" s="72">
        <f t="shared" ca="1" si="21"/>
        <v>2916.0997041037722</v>
      </c>
      <c r="J115" s="72">
        <f t="shared" ca="1" si="22"/>
        <v>27.59415300058572</v>
      </c>
    </row>
    <row r="116" spans="1:10" x14ac:dyDescent="0.3">
      <c r="A116" s="30">
        <v>103</v>
      </c>
      <c r="B116" s="72">
        <f t="shared" ca="1" si="23"/>
        <v>0.1501487185361936</v>
      </c>
      <c r="C116" s="72">
        <f t="shared" ca="1" si="23"/>
        <v>0.47433188928483017</v>
      </c>
      <c r="D116" s="72">
        <f t="shared" ca="1" si="16"/>
        <v>4.0673476947335132</v>
      </c>
      <c r="E116" s="72">
        <f t="shared" ca="1" si="17"/>
        <v>14.290782969127999</v>
      </c>
      <c r="F116" s="72">
        <f t="shared" ca="1" si="18"/>
        <v>2892.5728987979201</v>
      </c>
      <c r="G116" s="72">
        <f t="shared" ca="1" si="19"/>
        <v>23.526805305852122</v>
      </c>
      <c r="H116" s="72">
        <f t="shared" ca="1" si="20"/>
        <v>2916.0997041037722</v>
      </c>
      <c r="I116" s="72">
        <f t="shared" ca="1" si="21"/>
        <v>2930.3904870729002</v>
      </c>
      <c r="J116" s="72">
        <f t="shared" ca="1" si="22"/>
        <v>37.817588274980153</v>
      </c>
    </row>
    <row r="117" spans="1:10" x14ac:dyDescent="0.3">
      <c r="A117" s="30">
        <v>104</v>
      </c>
      <c r="B117" s="72">
        <f t="shared" ca="1" si="23"/>
        <v>2.8364991523967875E-2</v>
      </c>
      <c r="C117" s="72">
        <f t="shared" ca="1" si="23"/>
        <v>0.78727478341333457</v>
      </c>
      <c r="D117" s="72">
        <f t="shared" ca="1" si="16"/>
        <v>0.71937626811764466</v>
      </c>
      <c r="E117" s="72">
        <f t="shared" ca="1" si="17"/>
        <v>34.394533535415825</v>
      </c>
      <c r="F117" s="72">
        <f t="shared" ca="1" si="18"/>
        <v>2893.2922750660377</v>
      </c>
      <c r="G117" s="72">
        <f t="shared" ca="1" si="19"/>
        <v>37.098212006862468</v>
      </c>
      <c r="H117" s="72">
        <f t="shared" ca="1" si="20"/>
        <v>2930.3904870729002</v>
      </c>
      <c r="I117" s="72">
        <f t="shared" ca="1" si="21"/>
        <v>2964.7850206083162</v>
      </c>
      <c r="J117" s="72">
        <f t="shared" ca="1" si="22"/>
        <v>71.492745542278499</v>
      </c>
    </row>
    <row r="118" spans="1:10" x14ac:dyDescent="0.3">
      <c r="A118" s="30">
        <v>105</v>
      </c>
      <c r="B118" s="72">
        <f t="shared" ca="1" si="23"/>
        <v>0.34062953645997984</v>
      </c>
      <c r="C118" s="72">
        <f t="shared" ca="1" si="23"/>
        <v>0.36799620356519314</v>
      </c>
      <c r="D118" s="72">
        <f t="shared" ca="1" si="16"/>
        <v>10.411743557016964</v>
      </c>
      <c r="E118" s="72">
        <f t="shared" ca="1" si="17"/>
        <v>10.196886174138271</v>
      </c>
      <c r="F118" s="72">
        <f t="shared" ca="1" si="18"/>
        <v>2903.7040186230547</v>
      </c>
      <c r="G118" s="72">
        <f t="shared" ca="1" si="19"/>
        <v>61.081001985261537</v>
      </c>
      <c r="H118" s="72">
        <f t="shared" ca="1" si="20"/>
        <v>2964.7850206083162</v>
      </c>
      <c r="I118" s="72">
        <f t="shared" ca="1" si="21"/>
        <v>2974.9819067824546</v>
      </c>
      <c r="J118" s="72">
        <f t="shared" ca="1" si="22"/>
        <v>71.277888159399936</v>
      </c>
    </row>
    <row r="119" spans="1:10" x14ac:dyDescent="0.3">
      <c r="A119" s="30">
        <v>106</v>
      </c>
      <c r="B119" s="72">
        <f t="shared" ca="1" si="23"/>
        <v>1.0055890852539995E-2</v>
      </c>
      <c r="C119" s="72">
        <f t="shared" ca="1" si="23"/>
        <v>0.42664117111144539</v>
      </c>
      <c r="D119" s="72">
        <f t="shared" ca="1" si="16"/>
        <v>0.2526698213443504</v>
      </c>
      <c r="E119" s="72">
        <f t="shared" ca="1" si="17"/>
        <v>12.360967329773317</v>
      </c>
      <c r="F119" s="72">
        <f t="shared" ca="1" si="18"/>
        <v>2903.9566884443989</v>
      </c>
      <c r="G119" s="72">
        <f t="shared" ca="1" si="19"/>
        <v>71.025218338055765</v>
      </c>
      <c r="H119" s="72">
        <f t="shared" ca="1" si="20"/>
        <v>2974.9819067824546</v>
      </c>
      <c r="I119" s="72">
        <f t="shared" ca="1" si="21"/>
        <v>2987.3428741122279</v>
      </c>
      <c r="J119" s="72">
        <f t="shared" ca="1" si="22"/>
        <v>83.386185667829068</v>
      </c>
    </row>
    <row r="120" spans="1:10" x14ac:dyDescent="0.3">
      <c r="A120" s="30">
        <v>107</v>
      </c>
      <c r="B120" s="72">
        <f t="shared" ca="1" si="23"/>
        <v>4.2404568484541993E-2</v>
      </c>
      <c r="C120" s="72">
        <f t="shared" ca="1" si="23"/>
        <v>0.37575725200667887</v>
      </c>
      <c r="D120" s="72">
        <f t="shared" ca="1" si="16"/>
        <v>1.0832473878682727</v>
      </c>
      <c r="E120" s="72">
        <f t="shared" ca="1" si="17"/>
        <v>10.471465934244483</v>
      </c>
      <c r="F120" s="72">
        <f t="shared" ca="1" si="18"/>
        <v>2905.039935832267</v>
      </c>
      <c r="G120" s="72">
        <f t="shared" ca="1" si="19"/>
        <v>82.302938279960927</v>
      </c>
      <c r="H120" s="72">
        <f t="shared" ca="1" si="20"/>
        <v>2987.3428741122279</v>
      </c>
      <c r="I120" s="72">
        <f t="shared" ca="1" si="21"/>
        <v>2997.8143400464724</v>
      </c>
      <c r="J120" s="72">
        <f t="shared" ca="1" si="22"/>
        <v>92.774404214205333</v>
      </c>
    </row>
    <row r="121" spans="1:10" x14ac:dyDescent="0.3">
      <c r="A121" s="30">
        <v>108</v>
      </c>
      <c r="B121" s="72">
        <f t="shared" ca="1" si="23"/>
        <v>0.67976921029995496</v>
      </c>
      <c r="C121" s="72">
        <f t="shared" ca="1" si="23"/>
        <v>0.95252897492659183</v>
      </c>
      <c r="D121" s="72">
        <f t="shared" ca="1" si="16"/>
        <v>28.467833133207748</v>
      </c>
      <c r="E121" s="72">
        <f t="shared" ca="1" si="17"/>
        <v>67.725238944907957</v>
      </c>
      <c r="F121" s="72">
        <f t="shared" ca="1" si="18"/>
        <v>2933.507768965475</v>
      </c>
      <c r="G121" s="72">
        <f t="shared" ca="1" si="19"/>
        <v>64.306571080997401</v>
      </c>
      <c r="H121" s="72">
        <f t="shared" ca="1" si="20"/>
        <v>2997.8143400464724</v>
      </c>
      <c r="I121" s="72">
        <f t="shared" ca="1" si="21"/>
        <v>3065.5395789913805</v>
      </c>
      <c r="J121" s="72">
        <f t="shared" ca="1" si="22"/>
        <v>132.03181002590554</v>
      </c>
    </row>
    <row r="122" spans="1:10" x14ac:dyDescent="0.3">
      <c r="A122" s="30">
        <v>109</v>
      </c>
      <c r="B122" s="72">
        <f t="shared" ca="1" si="23"/>
        <v>9.1747698225967178E-2</v>
      </c>
      <c r="C122" s="72">
        <f t="shared" ca="1" si="23"/>
        <v>0.40702920445430069</v>
      </c>
      <c r="D122" s="72">
        <f t="shared" ca="1" si="16"/>
        <v>2.4058268397094382</v>
      </c>
      <c r="E122" s="72">
        <f t="shared" ca="1" si="17"/>
        <v>11.613558441229921</v>
      </c>
      <c r="F122" s="72">
        <f t="shared" ca="1" si="18"/>
        <v>2935.9135958051843</v>
      </c>
      <c r="G122" s="72">
        <f t="shared" ca="1" si="19"/>
        <v>129.62598318619621</v>
      </c>
      <c r="H122" s="72">
        <f t="shared" ca="1" si="20"/>
        <v>3065.5395789913805</v>
      </c>
      <c r="I122" s="72">
        <f t="shared" ca="1" si="21"/>
        <v>3077.1531374326105</v>
      </c>
      <c r="J122" s="72">
        <f t="shared" ca="1" si="22"/>
        <v>141.23954162742621</v>
      </c>
    </row>
    <row r="123" spans="1:10" x14ac:dyDescent="0.3">
      <c r="A123" s="30">
        <v>110</v>
      </c>
      <c r="B123" s="72">
        <f t="shared" ca="1" si="23"/>
        <v>0.24408295486443932</v>
      </c>
      <c r="C123" s="72">
        <f t="shared" ca="1" si="23"/>
        <v>0.62044321833007465</v>
      </c>
      <c r="D123" s="72">
        <f t="shared" ca="1" si="16"/>
        <v>6.9955909369974822</v>
      </c>
      <c r="E123" s="72">
        <f t="shared" ca="1" si="17"/>
        <v>21.527801578224693</v>
      </c>
      <c r="F123" s="72">
        <f t="shared" ca="1" si="18"/>
        <v>2942.9091867421816</v>
      </c>
      <c r="G123" s="72">
        <f t="shared" ca="1" si="19"/>
        <v>134.24395069042885</v>
      </c>
      <c r="H123" s="72">
        <f t="shared" ca="1" si="20"/>
        <v>3077.1531374326105</v>
      </c>
      <c r="I123" s="72">
        <f t="shared" ca="1" si="21"/>
        <v>3098.6809390108351</v>
      </c>
      <c r="J123" s="72">
        <f t="shared" ca="1" si="22"/>
        <v>155.77175226865347</v>
      </c>
    </row>
    <row r="124" spans="1:10" x14ac:dyDescent="0.3">
      <c r="A124" s="30">
        <v>111</v>
      </c>
      <c r="B124" s="72">
        <f t="shared" ca="1" si="23"/>
        <v>0.58154682630480015</v>
      </c>
      <c r="C124" s="72">
        <f t="shared" ca="1" si="23"/>
        <v>6.2529667181964843E-2</v>
      </c>
      <c r="D124" s="72">
        <f t="shared" ca="1" si="16"/>
        <v>21.779757153119967</v>
      </c>
      <c r="E124" s="72">
        <f t="shared" ca="1" si="17"/>
        <v>1.4348925918306763</v>
      </c>
      <c r="F124" s="72">
        <f t="shared" ca="1" si="18"/>
        <v>2964.6889438953017</v>
      </c>
      <c r="G124" s="72">
        <f t="shared" ca="1" si="19"/>
        <v>133.99199511553343</v>
      </c>
      <c r="H124" s="72">
        <f t="shared" ca="1" si="20"/>
        <v>3098.6809390108351</v>
      </c>
      <c r="I124" s="72">
        <f t="shared" ca="1" si="21"/>
        <v>3100.1158316026658</v>
      </c>
      <c r="J124" s="72">
        <f t="shared" ca="1" si="22"/>
        <v>135.42688770736413</v>
      </c>
    </row>
    <row r="125" spans="1:10" x14ac:dyDescent="0.3">
      <c r="A125" s="30">
        <v>112</v>
      </c>
      <c r="B125" s="72">
        <f t="shared" ca="1" si="23"/>
        <v>0.5533004112714941</v>
      </c>
      <c r="C125" s="72">
        <f t="shared" ca="1" si="23"/>
        <v>0.6730509116103317</v>
      </c>
      <c r="D125" s="72">
        <f t="shared" ca="1" si="16"/>
        <v>20.146724282821403</v>
      </c>
      <c r="E125" s="72">
        <f t="shared" ca="1" si="17"/>
        <v>24.84335140453895</v>
      </c>
      <c r="F125" s="72">
        <f t="shared" ca="1" si="18"/>
        <v>2984.8356681781229</v>
      </c>
      <c r="G125" s="72">
        <f t="shared" ca="1" si="19"/>
        <v>115.28016342454293</v>
      </c>
      <c r="H125" s="72">
        <f t="shared" ca="1" si="20"/>
        <v>3100.1158316026658</v>
      </c>
      <c r="I125" s="72">
        <f t="shared" ca="1" si="21"/>
        <v>3124.959183007205</v>
      </c>
      <c r="J125" s="72">
        <f t="shared" ca="1" si="22"/>
        <v>140.12351482908207</v>
      </c>
    </row>
    <row r="126" spans="1:10" x14ac:dyDescent="0.3">
      <c r="A126" s="30">
        <v>113</v>
      </c>
      <c r="B126" s="72">
        <f t="shared" ca="1" si="23"/>
        <v>0.71109472006762109</v>
      </c>
      <c r="C126" s="72">
        <f t="shared" ca="1" si="23"/>
        <v>0.3038525784973074</v>
      </c>
      <c r="D126" s="72">
        <f t="shared" ca="1" si="16"/>
        <v>31.041409892271748</v>
      </c>
      <c r="E126" s="72">
        <f t="shared" ca="1" si="17"/>
        <v>8.0487517460655553</v>
      </c>
      <c r="F126" s="72">
        <f t="shared" ca="1" si="18"/>
        <v>3015.8770780703944</v>
      </c>
      <c r="G126" s="72">
        <f t="shared" ca="1" si="19"/>
        <v>109.08210493681054</v>
      </c>
      <c r="H126" s="72">
        <f t="shared" ca="1" si="20"/>
        <v>3124.959183007205</v>
      </c>
      <c r="I126" s="72">
        <f t="shared" ca="1" si="21"/>
        <v>3133.0079347532705</v>
      </c>
      <c r="J126" s="72">
        <f t="shared" ca="1" si="22"/>
        <v>117.13085668287613</v>
      </c>
    </row>
    <row r="127" spans="1:10" x14ac:dyDescent="0.3">
      <c r="A127" s="30">
        <v>114</v>
      </c>
      <c r="B127" s="72">
        <f t="shared" ca="1" si="23"/>
        <v>0.22205418234330732</v>
      </c>
      <c r="C127" s="72">
        <f t="shared" ca="1" si="23"/>
        <v>0.75853101896071506</v>
      </c>
      <c r="D127" s="72">
        <f t="shared" ca="1" si="16"/>
        <v>6.2774600085932653</v>
      </c>
      <c r="E127" s="72">
        <f t="shared" ca="1" si="17"/>
        <v>31.578094600900378</v>
      </c>
      <c r="F127" s="72">
        <f t="shared" ca="1" si="18"/>
        <v>3022.1545380789876</v>
      </c>
      <c r="G127" s="72">
        <f t="shared" ca="1" si="19"/>
        <v>110.85339667428298</v>
      </c>
      <c r="H127" s="72">
        <f t="shared" ca="1" si="20"/>
        <v>3133.0079347532705</v>
      </c>
      <c r="I127" s="72">
        <f t="shared" ca="1" si="21"/>
        <v>3164.5860293541709</v>
      </c>
      <c r="J127" s="72">
        <f t="shared" ca="1" si="22"/>
        <v>142.43149127518336</v>
      </c>
    </row>
    <row r="128" spans="1:10" x14ac:dyDescent="0.3">
      <c r="A128" s="30">
        <v>115</v>
      </c>
      <c r="B128" s="72">
        <f t="shared" ca="1" si="23"/>
        <v>0.76836644752513572</v>
      </c>
      <c r="C128" s="72">
        <f t="shared" ca="1" si="23"/>
        <v>0.27929239517782367</v>
      </c>
      <c r="D128" s="72">
        <f t="shared" ca="1" si="16"/>
        <v>36.56496678149054</v>
      </c>
      <c r="E128" s="72">
        <f t="shared" ca="1" si="17"/>
        <v>7.278261446961646</v>
      </c>
      <c r="F128" s="72">
        <f t="shared" ca="1" si="18"/>
        <v>3058.7195048604781</v>
      </c>
      <c r="G128" s="72">
        <f t="shared" ca="1" si="19"/>
        <v>105.86652449369285</v>
      </c>
      <c r="H128" s="72">
        <f t="shared" ca="1" si="20"/>
        <v>3164.5860293541709</v>
      </c>
      <c r="I128" s="72">
        <f t="shared" ca="1" si="21"/>
        <v>3171.8642908011325</v>
      </c>
      <c r="J128" s="72">
        <f t="shared" ca="1" si="22"/>
        <v>113.1447859406544</v>
      </c>
    </row>
    <row r="129" spans="1:10" x14ac:dyDescent="0.3">
      <c r="A129" s="30">
        <v>116</v>
      </c>
      <c r="B129" s="72">
        <f t="shared" ca="1" si="23"/>
        <v>0.45095303883364857</v>
      </c>
      <c r="C129" s="72">
        <f t="shared" ca="1" si="23"/>
        <v>8.389820839995088E-2</v>
      </c>
      <c r="D129" s="72">
        <f t="shared" ca="1" si="16"/>
        <v>14.989282541644421</v>
      </c>
      <c r="E129" s="72">
        <f t="shared" ca="1" si="17"/>
        <v>1.9472843173586378</v>
      </c>
      <c r="F129" s="72">
        <f t="shared" ca="1" si="18"/>
        <v>3073.7087874021227</v>
      </c>
      <c r="G129" s="72">
        <f t="shared" ca="1" si="19"/>
        <v>98.155503399009831</v>
      </c>
      <c r="H129" s="72">
        <f t="shared" ca="1" si="20"/>
        <v>3171.8642908011325</v>
      </c>
      <c r="I129" s="72">
        <f t="shared" ca="1" si="21"/>
        <v>3173.811575118491</v>
      </c>
      <c r="J129" s="72">
        <f t="shared" ca="1" si="22"/>
        <v>100.10278771636831</v>
      </c>
    </row>
    <row r="130" spans="1:10" x14ac:dyDescent="0.3">
      <c r="A130" s="30">
        <v>117</v>
      </c>
      <c r="B130" s="72">
        <f t="shared" ca="1" si="23"/>
        <v>0.85372831298706142</v>
      </c>
      <c r="C130" s="72">
        <f t="shared" ca="1" si="23"/>
        <v>0.91115435741242057</v>
      </c>
      <c r="D130" s="72">
        <f t="shared" ca="1" si="16"/>
        <v>48.057237914892134</v>
      </c>
      <c r="E130" s="72">
        <f t="shared" ca="1" si="17"/>
        <v>53.796772620663326</v>
      </c>
      <c r="F130" s="72">
        <f t="shared" ca="1" si="18"/>
        <v>3121.7660253170147</v>
      </c>
      <c r="G130" s="72">
        <f t="shared" ca="1" si="19"/>
        <v>52.045549801476227</v>
      </c>
      <c r="H130" s="72">
        <f t="shared" ca="1" si="20"/>
        <v>3173.811575118491</v>
      </c>
      <c r="I130" s="72">
        <f t="shared" ca="1" si="21"/>
        <v>3227.6083477391544</v>
      </c>
      <c r="J130" s="72">
        <f t="shared" ca="1" si="22"/>
        <v>105.84232242213966</v>
      </c>
    </row>
    <row r="131" spans="1:10" x14ac:dyDescent="0.3">
      <c r="A131" s="30">
        <v>118</v>
      </c>
      <c r="B131" s="72">
        <f t="shared" ca="1" si="23"/>
        <v>0.84347110773330758</v>
      </c>
      <c r="C131" s="72">
        <f t="shared" ca="1" si="23"/>
        <v>9.1450454017559246E-2</v>
      </c>
      <c r="D131" s="72">
        <f t="shared" ca="1" si="16"/>
        <v>46.36286677296421</v>
      </c>
      <c r="E131" s="72">
        <f t="shared" ca="1" si="17"/>
        <v>2.1312412578631683</v>
      </c>
      <c r="F131" s="72">
        <f t="shared" ca="1" si="18"/>
        <v>3168.1288920899788</v>
      </c>
      <c r="G131" s="72">
        <f t="shared" ca="1" si="19"/>
        <v>59.479455649175634</v>
      </c>
      <c r="H131" s="72">
        <f t="shared" ca="1" si="20"/>
        <v>3227.6083477391544</v>
      </c>
      <c r="I131" s="72">
        <f t="shared" ca="1" si="21"/>
        <v>3229.7395889970176</v>
      </c>
      <c r="J131" s="72">
        <f t="shared" ca="1" si="22"/>
        <v>61.6106969070388</v>
      </c>
    </row>
    <row r="132" spans="1:10" x14ac:dyDescent="0.3">
      <c r="A132" s="30">
        <v>119</v>
      </c>
      <c r="B132" s="72">
        <f t="shared" ca="1" si="23"/>
        <v>0.84337548472572976</v>
      </c>
      <c r="C132" s="72">
        <f t="shared" ca="1" si="23"/>
        <v>0.35375324713425704</v>
      </c>
      <c r="D132" s="72">
        <f t="shared" ca="1" si="16"/>
        <v>46.347599014695078</v>
      </c>
      <c r="E132" s="72">
        <f t="shared" ca="1" si="17"/>
        <v>9.7016417278053897</v>
      </c>
      <c r="F132" s="72">
        <f t="shared" ca="1" si="18"/>
        <v>3214.4764911046736</v>
      </c>
      <c r="G132" s="72">
        <f t="shared" ca="1" si="19"/>
        <v>15.263097892343922</v>
      </c>
      <c r="H132" s="72">
        <f t="shared" ca="1" si="20"/>
        <v>3229.7395889970176</v>
      </c>
      <c r="I132" s="72">
        <f t="shared" ca="1" si="21"/>
        <v>3239.4412307248231</v>
      </c>
      <c r="J132" s="72">
        <f t="shared" ca="1" si="22"/>
        <v>24.96473962014943</v>
      </c>
    </row>
    <row r="133" spans="1:10" x14ac:dyDescent="0.3">
      <c r="A133" s="30">
        <v>120</v>
      </c>
      <c r="B133" s="72">
        <f t="shared" ca="1" si="23"/>
        <v>0.32561622471423468</v>
      </c>
      <c r="C133" s="72">
        <f t="shared" ca="1" si="23"/>
        <v>2.3334916934658723E-2</v>
      </c>
      <c r="D133" s="72">
        <f t="shared" ca="1" si="16"/>
        <v>9.8488982645614556</v>
      </c>
      <c r="E133" s="72">
        <f t="shared" ca="1" si="17"/>
        <v>0.52469971278338978</v>
      </c>
      <c r="F133" s="72">
        <f t="shared" ca="1" si="18"/>
        <v>3224.3253893692349</v>
      </c>
      <c r="G133" s="72">
        <f t="shared" ca="1" si="19"/>
        <v>15.115841355588145</v>
      </c>
      <c r="H133" s="72">
        <f t="shared" ca="1" si="20"/>
        <v>3239.4412307248231</v>
      </c>
      <c r="I133" s="72">
        <f t="shared" ca="1" si="21"/>
        <v>3239.9659304376064</v>
      </c>
      <c r="J133" s="72">
        <f t="shared" ca="1" si="22"/>
        <v>15.640541068371476</v>
      </c>
    </row>
    <row r="134" spans="1:10" x14ac:dyDescent="0.3">
      <c r="A134" s="30">
        <v>121</v>
      </c>
      <c r="B134" s="72">
        <f t="shared" ca="1" si="23"/>
        <v>0.2764736824227636</v>
      </c>
      <c r="C134" s="72">
        <f t="shared" ca="1" si="23"/>
        <v>0.60436969070903912</v>
      </c>
      <c r="D134" s="72">
        <f t="shared" ca="1" si="16"/>
        <v>8.0904589551563841</v>
      </c>
      <c r="E134" s="72">
        <f t="shared" ca="1" si="17"/>
        <v>20.606112581444357</v>
      </c>
      <c r="F134" s="72">
        <f t="shared" ca="1" si="18"/>
        <v>3232.4158483243914</v>
      </c>
      <c r="G134" s="72">
        <f t="shared" ca="1" si="19"/>
        <v>7.5500821132150122</v>
      </c>
      <c r="H134" s="72">
        <f t="shared" ca="1" si="20"/>
        <v>3239.9659304376064</v>
      </c>
      <c r="I134" s="72">
        <f t="shared" ca="1" si="21"/>
        <v>3260.5720430190509</v>
      </c>
      <c r="J134" s="72">
        <f t="shared" ca="1" si="22"/>
        <v>28.156194694659462</v>
      </c>
    </row>
    <row r="135" spans="1:10" x14ac:dyDescent="0.3">
      <c r="A135" s="30">
        <v>122</v>
      </c>
      <c r="B135" s="72">
        <f t="shared" ca="1" si="23"/>
        <v>0.17601420731406436</v>
      </c>
      <c r="C135" s="72">
        <f t="shared" ca="1" si="23"/>
        <v>0.28488085956631626</v>
      </c>
      <c r="D135" s="72">
        <f t="shared" ca="1" si="16"/>
        <v>4.8400497776827196</v>
      </c>
      <c r="E135" s="72">
        <f t="shared" ca="1" si="17"/>
        <v>7.4512471153818227</v>
      </c>
      <c r="F135" s="72">
        <f t="shared" ca="1" si="18"/>
        <v>3237.2558981020743</v>
      </c>
      <c r="G135" s="72">
        <f t="shared" ca="1" si="19"/>
        <v>23.316144916976555</v>
      </c>
      <c r="H135" s="72">
        <f t="shared" ca="1" si="20"/>
        <v>3260.5720430190509</v>
      </c>
      <c r="I135" s="72">
        <f t="shared" ca="1" si="21"/>
        <v>3268.0232901344325</v>
      </c>
      <c r="J135" s="72">
        <f t="shared" ca="1" si="22"/>
        <v>30.767392032358202</v>
      </c>
    </row>
    <row r="136" spans="1:10" x14ac:dyDescent="0.3">
      <c r="A136" s="30">
        <v>123</v>
      </c>
      <c r="B136" s="72">
        <f t="shared" ca="1" si="23"/>
        <v>0.8814049151120591</v>
      </c>
      <c r="C136" s="72">
        <f t="shared" ca="1" si="23"/>
        <v>0.75425541097331994</v>
      </c>
      <c r="D136" s="72">
        <f t="shared" ca="1" si="16"/>
        <v>53.301005901084594</v>
      </c>
      <c r="E136" s="72">
        <f t="shared" ca="1" si="17"/>
        <v>31.188056408888698</v>
      </c>
      <c r="F136" s="72">
        <f t="shared" ca="1" si="18"/>
        <v>3290.5569040031587</v>
      </c>
      <c r="G136" s="72">
        <f t="shared" ca="1" si="19"/>
        <v>0</v>
      </c>
      <c r="H136" s="72">
        <f t="shared" ca="1" si="20"/>
        <v>3290.5569040031587</v>
      </c>
      <c r="I136" s="72">
        <f t="shared" ca="1" si="21"/>
        <v>3321.7449604120475</v>
      </c>
      <c r="J136" s="72">
        <f t="shared" ca="1" si="22"/>
        <v>31.18805640888877</v>
      </c>
    </row>
    <row r="137" spans="1:10" x14ac:dyDescent="0.3">
      <c r="A137" s="30">
        <v>124</v>
      </c>
      <c r="B137" s="72">
        <f t="shared" ca="1" si="23"/>
        <v>0.2639962941762859</v>
      </c>
      <c r="C137" s="72">
        <f t="shared" ca="1" si="23"/>
        <v>6.7883363597737056E-2</v>
      </c>
      <c r="D137" s="72">
        <f t="shared" ca="1" si="16"/>
        <v>7.6630031294842196</v>
      </c>
      <c r="E137" s="72">
        <f t="shared" ca="1" si="17"/>
        <v>1.5621627949408516</v>
      </c>
      <c r="F137" s="72">
        <f t="shared" ca="1" si="18"/>
        <v>3298.2199071326431</v>
      </c>
      <c r="G137" s="72">
        <f t="shared" ca="1" si="19"/>
        <v>23.525053279404347</v>
      </c>
      <c r="H137" s="72">
        <f t="shared" ca="1" si="20"/>
        <v>3321.7449604120475</v>
      </c>
      <c r="I137" s="72">
        <f t="shared" ca="1" si="21"/>
        <v>3323.3071232069883</v>
      </c>
      <c r="J137" s="72">
        <f t="shared" ca="1" si="22"/>
        <v>25.087216074345179</v>
      </c>
    </row>
    <row r="138" spans="1:10" x14ac:dyDescent="0.3">
      <c r="A138" s="30">
        <v>125</v>
      </c>
      <c r="B138" s="72">
        <f t="shared" ca="1" si="23"/>
        <v>0.68840602441389087</v>
      </c>
      <c r="C138" s="72">
        <f t="shared" ca="1" si="23"/>
        <v>0.55841387024199773</v>
      </c>
      <c r="D138" s="72">
        <f t="shared" ca="1" si="16"/>
        <v>29.151357474456397</v>
      </c>
      <c r="E138" s="72">
        <f t="shared" ca="1" si="17"/>
        <v>18.164048746111582</v>
      </c>
      <c r="F138" s="72">
        <f t="shared" ca="1" si="18"/>
        <v>3327.3712646070994</v>
      </c>
      <c r="G138" s="72">
        <f t="shared" ca="1" si="19"/>
        <v>0</v>
      </c>
      <c r="H138" s="72">
        <f t="shared" ca="1" si="20"/>
        <v>3327.3712646070994</v>
      </c>
      <c r="I138" s="72">
        <f t="shared" ca="1" si="21"/>
        <v>3345.5353133532112</v>
      </c>
      <c r="J138" s="72">
        <f t="shared" ca="1" si="22"/>
        <v>18.164048746111803</v>
      </c>
    </row>
    <row r="139" spans="1:10" x14ac:dyDescent="0.3">
      <c r="A139" s="30">
        <v>126</v>
      </c>
      <c r="B139" s="72">
        <f t="shared" ca="1" si="23"/>
        <v>0.30362640817982756</v>
      </c>
      <c r="C139" s="72">
        <f t="shared" ca="1" si="23"/>
        <v>0.63105783728518239</v>
      </c>
      <c r="D139" s="72">
        <f t="shared" ca="1" si="16"/>
        <v>9.046724820013905</v>
      </c>
      <c r="E139" s="72">
        <f t="shared" ca="1" si="17"/>
        <v>22.158119729710076</v>
      </c>
      <c r="F139" s="72">
        <f t="shared" ca="1" si="18"/>
        <v>3336.4179894271133</v>
      </c>
      <c r="G139" s="72">
        <f t="shared" ca="1" si="19"/>
        <v>9.1173239260979244</v>
      </c>
      <c r="H139" s="72">
        <f t="shared" ca="1" si="20"/>
        <v>3345.5353133532112</v>
      </c>
      <c r="I139" s="72">
        <f t="shared" ca="1" si="21"/>
        <v>3367.6934330829213</v>
      </c>
      <c r="J139" s="72">
        <f t="shared" ca="1" si="22"/>
        <v>31.275443655807976</v>
      </c>
    </row>
    <row r="140" spans="1:10" x14ac:dyDescent="0.3">
      <c r="A140" s="30">
        <v>127</v>
      </c>
      <c r="B140" s="72">
        <f t="shared" ca="1" si="23"/>
        <v>8.9227996531636711E-3</v>
      </c>
      <c r="C140" s="72">
        <f t="shared" ca="1" si="23"/>
        <v>7.6637252983546733E-2</v>
      </c>
      <c r="D140" s="72">
        <f t="shared" ca="1" si="16"/>
        <v>0.22407115565835409</v>
      </c>
      <c r="E140" s="72">
        <f t="shared" ca="1" si="17"/>
        <v>1.7718469555945597</v>
      </c>
      <c r="F140" s="72">
        <f t="shared" ca="1" si="18"/>
        <v>3336.6420605827716</v>
      </c>
      <c r="G140" s="72">
        <f t="shared" ca="1" si="19"/>
        <v>31.051372500149682</v>
      </c>
      <c r="H140" s="72">
        <f t="shared" ca="1" si="20"/>
        <v>3367.6934330829213</v>
      </c>
      <c r="I140" s="72">
        <f t="shared" ca="1" si="21"/>
        <v>3369.4652800385156</v>
      </c>
      <c r="J140" s="72">
        <f t="shared" ca="1" si="22"/>
        <v>32.823219455744038</v>
      </c>
    </row>
    <row r="141" spans="1:10" x14ac:dyDescent="0.3">
      <c r="A141" s="30">
        <v>128</v>
      </c>
      <c r="B141" s="72">
        <f t="shared" ca="1" si="23"/>
        <v>3.3749108795980254E-2</v>
      </c>
      <c r="C141" s="72">
        <f t="shared" ca="1" si="23"/>
        <v>3.1456396425440292E-2</v>
      </c>
      <c r="D141" s="72">
        <f t="shared" ca="1" si="16"/>
        <v>0.85829391870451477</v>
      </c>
      <c r="E141" s="72">
        <f t="shared" ca="1" si="17"/>
        <v>0.71026167530079376</v>
      </c>
      <c r="F141" s="72">
        <f t="shared" ca="1" si="18"/>
        <v>3337.5003545014761</v>
      </c>
      <c r="G141" s="72">
        <f t="shared" ca="1" si="19"/>
        <v>31.964925537039562</v>
      </c>
      <c r="H141" s="72">
        <f t="shared" ca="1" si="20"/>
        <v>3369.4652800385156</v>
      </c>
      <c r="I141" s="72">
        <f t="shared" ca="1" si="21"/>
        <v>3370.1755417138165</v>
      </c>
      <c r="J141" s="72">
        <f t="shared" ca="1" si="22"/>
        <v>32.675187212340461</v>
      </c>
    </row>
    <row r="142" spans="1:10" x14ac:dyDescent="0.3">
      <c r="A142" s="30">
        <v>129</v>
      </c>
      <c r="B142" s="72">
        <f t="shared" ca="1" si="23"/>
        <v>0.62323239365475291</v>
      </c>
      <c r="C142" s="72">
        <f t="shared" ca="1" si="23"/>
        <v>0.77554435853902814</v>
      </c>
      <c r="D142" s="72">
        <f t="shared" ca="1" si="16"/>
        <v>24.403167759922908</v>
      </c>
      <c r="E142" s="72">
        <f t="shared" ca="1" si="17"/>
        <v>33.201715099334585</v>
      </c>
      <c r="F142" s="72">
        <f t="shared" ca="1" si="18"/>
        <v>3361.9035222613988</v>
      </c>
      <c r="G142" s="72">
        <f t="shared" ca="1" si="19"/>
        <v>8.2720194524176804</v>
      </c>
      <c r="H142" s="72">
        <f t="shared" ca="1" si="20"/>
        <v>3370.1755417138165</v>
      </c>
      <c r="I142" s="72">
        <f t="shared" ca="1" si="21"/>
        <v>3403.3772568131512</v>
      </c>
      <c r="J142" s="72">
        <f t="shared" ca="1" si="22"/>
        <v>41.473734551752386</v>
      </c>
    </row>
    <row r="143" spans="1:10" x14ac:dyDescent="0.3">
      <c r="A143" s="30">
        <v>130</v>
      </c>
      <c r="B143" s="72">
        <f t="shared" ca="1" si="23"/>
        <v>0.21257269352066999</v>
      </c>
      <c r="C143" s="72">
        <f t="shared" ca="1" si="23"/>
        <v>1.5063875416666761E-2</v>
      </c>
      <c r="D143" s="72">
        <f t="shared" ca="1" si="16"/>
        <v>5.97460554439263</v>
      </c>
      <c r="E143" s="72">
        <f t="shared" ca="1" si="17"/>
        <v>0.33729973447839101</v>
      </c>
      <c r="F143" s="72">
        <f t="shared" ca="1" si="18"/>
        <v>3367.8781278057913</v>
      </c>
      <c r="G143" s="72">
        <f t="shared" ca="1" si="19"/>
        <v>35.499129007359898</v>
      </c>
      <c r="H143" s="72">
        <f t="shared" ca="1" si="20"/>
        <v>3403.3772568131512</v>
      </c>
      <c r="I143" s="72">
        <f t="shared" ca="1" si="21"/>
        <v>3403.7145565476294</v>
      </c>
      <c r="J143" s="72">
        <f t="shared" ca="1" si="22"/>
        <v>35.836428741838063</v>
      </c>
    </row>
    <row r="144" spans="1:10" x14ac:dyDescent="0.3">
      <c r="A144" s="30">
        <v>131</v>
      </c>
      <c r="B144" s="72">
        <f t="shared" ca="1" si="23"/>
        <v>0.79388816344409563</v>
      </c>
      <c r="C144" s="72">
        <f t="shared" ca="1" si="23"/>
        <v>0.11040612867797417</v>
      </c>
      <c r="D144" s="72">
        <f t="shared" ca="1" si="16"/>
        <v>39.483409040119319</v>
      </c>
      <c r="E144" s="72">
        <f t="shared" ca="1" si="17"/>
        <v>2.5997832169082242</v>
      </c>
      <c r="F144" s="72">
        <f t="shared" ca="1" si="18"/>
        <v>3407.3615368459105</v>
      </c>
      <c r="G144" s="72">
        <f t="shared" ca="1" si="19"/>
        <v>0</v>
      </c>
      <c r="H144" s="72">
        <f t="shared" ca="1" si="20"/>
        <v>3407.3615368459105</v>
      </c>
      <c r="I144" s="72">
        <f t="shared" ca="1" si="21"/>
        <v>3409.9613200628187</v>
      </c>
      <c r="J144" s="72">
        <f t="shared" ca="1" si="22"/>
        <v>2.5997832169082358</v>
      </c>
    </row>
    <row r="145" spans="1:10" x14ac:dyDescent="0.3">
      <c r="A145" s="30">
        <v>132</v>
      </c>
      <c r="B145" s="72">
        <f t="shared" ca="1" si="23"/>
        <v>0.13272415133055271</v>
      </c>
      <c r="C145" s="72">
        <f t="shared" ca="1" si="23"/>
        <v>0.6371610991764437</v>
      </c>
      <c r="D145" s="72">
        <f t="shared" ca="1" si="16"/>
        <v>3.5599547062475376</v>
      </c>
      <c r="E145" s="72">
        <f t="shared" ca="1" si="17"/>
        <v>22.528807613544927</v>
      </c>
      <c r="F145" s="72">
        <f t="shared" ca="1" si="18"/>
        <v>3410.9214915521579</v>
      </c>
      <c r="G145" s="72">
        <f t="shared" ca="1" si="19"/>
        <v>0</v>
      </c>
      <c r="H145" s="72">
        <f t="shared" ca="1" si="20"/>
        <v>3410.9214915521579</v>
      </c>
      <c r="I145" s="72">
        <f t="shared" ca="1" si="21"/>
        <v>3433.4502991657027</v>
      </c>
      <c r="J145" s="72">
        <f t="shared" ca="1" si="22"/>
        <v>22.528807613544814</v>
      </c>
    </row>
    <row r="146" spans="1:10" x14ac:dyDescent="0.3">
      <c r="A146" s="30">
        <v>133</v>
      </c>
      <c r="B146" s="72">
        <f t="shared" ca="1" si="23"/>
        <v>0.2784308992003045</v>
      </c>
      <c r="C146" s="72">
        <f t="shared" ca="1" si="23"/>
        <v>0.43995718707740528</v>
      </c>
      <c r="D146" s="72">
        <f t="shared" ca="1" si="16"/>
        <v>8.158178288751941</v>
      </c>
      <c r="E146" s="72">
        <f t="shared" ca="1" si="17"/>
        <v>12.883156589505107</v>
      </c>
      <c r="F146" s="72">
        <f t="shared" ca="1" si="18"/>
        <v>3419.0796698409099</v>
      </c>
      <c r="G146" s="72">
        <f t="shared" ca="1" si="19"/>
        <v>14.370629324792844</v>
      </c>
      <c r="H146" s="72">
        <f t="shared" ca="1" si="20"/>
        <v>3433.4502991657027</v>
      </c>
      <c r="I146" s="72">
        <f t="shared" ca="1" si="21"/>
        <v>3446.333455755208</v>
      </c>
      <c r="J146" s="72">
        <f t="shared" ca="1" si="22"/>
        <v>27.253785914298078</v>
      </c>
    </row>
    <row r="147" spans="1:10" x14ac:dyDescent="0.3">
      <c r="A147" s="30">
        <v>134</v>
      </c>
      <c r="B147" s="72">
        <f t="shared" ca="1" si="23"/>
        <v>0.33371093427517562</v>
      </c>
      <c r="C147" s="72">
        <f t="shared" ca="1" si="23"/>
        <v>0.93421035345516745</v>
      </c>
      <c r="D147" s="72">
        <f t="shared" ca="1" si="16"/>
        <v>10.150791749670072</v>
      </c>
      <c r="E147" s="72">
        <f t="shared" ca="1" si="17"/>
        <v>60.473173341649506</v>
      </c>
      <c r="F147" s="72">
        <f t="shared" ca="1" si="18"/>
        <v>3429.23046159058</v>
      </c>
      <c r="G147" s="72">
        <f t="shared" ca="1" si="19"/>
        <v>17.102994164627944</v>
      </c>
      <c r="H147" s="72">
        <f t="shared" ca="1" si="20"/>
        <v>3446.333455755208</v>
      </c>
      <c r="I147" s="72">
        <f t="shared" ca="1" si="21"/>
        <v>3506.8066290968577</v>
      </c>
      <c r="J147" s="72">
        <f t="shared" ca="1" si="22"/>
        <v>77.57616750627767</v>
      </c>
    </row>
    <row r="148" spans="1:10" x14ac:dyDescent="0.3">
      <c r="A148" s="30">
        <v>135</v>
      </c>
      <c r="B148" s="72">
        <f t="shared" ca="1" si="23"/>
        <v>0.58449046737871746</v>
      </c>
      <c r="C148" s="72">
        <f t="shared" ca="1" si="23"/>
        <v>0.70958292061415995</v>
      </c>
      <c r="D148" s="72">
        <f t="shared" ca="1" si="16"/>
        <v>21.956243060491186</v>
      </c>
      <c r="E148" s="72">
        <f t="shared" ca="1" si="17"/>
        <v>27.476381876640211</v>
      </c>
      <c r="F148" s="72">
        <f t="shared" ca="1" si="18"/>
        <v>3451.1867046510711</v>
      </c>
      <c r="G148" s="72">
        <f t="shared" ca="1" si="19"/>
        <v>55.619924445786637</v>
      </c>
      <c r="H148" s="72">
        <f t="shared" ca="1" si="20"/>
        <v>3506.8066290968577</v>
      </c>
      <c r="I148" s="72">
        <f t="shared" ca="1" si="21"/>
        <v>3534.2830109734978</v>
      </c>
      <c r="J148" s="72">
        <f t="shared" ca="1" si="22"/>
        <v>83.096306322426699</v>
      </c>
    </row>
    <row r="149" spans="1:10" x14ac:dyDescent="0.3">
      <c r="A149" s="30">
        <v>136</v>
      </c>
      <c r="B149" s="72">
        <f t="shared" ca="1" si="23"/>
        <v>0.44206551767923064</v>
      </c>
      <c r="C149" s="72">
        <f t="shared" ca="1" si="23"/>
        <v>0.70234797241295588</v>
      </c>
      <c r="D149" s="72">
        <f t="shared" ca="1" si="16"/>
        <v>14.587843467257091</v>
      </c>
      <c r="E149" s="72">
        <f t="shared" ca="1" si="17"/>
        <v>26.929559276042614</v>
      </c>
      <c r="F149" s="72">
        <f t="shared" ca="1" si="18"/>
        <v>3465.7745481183283</v>
      </c>
      <c r="G149" s="72">
        <f t="shared" ca="1" si="19"/>
        <v>68.508462855169455</v>
      </c>
      <c r="H149" s="72">
        <f t="shared" ca="1" si="20"/>
        <v>3534.2830109734978</v>
      </c>
      <c r="I149" s="72">
        <f t="shared" ca="1" si="21"/>
        <v>3561.2125702495405</v>
      </c>
      <c r="J149" s="72">
        <f t="shared" ca="1" si="22"/>
        <v>95.438022131212165</v>
      </c>
    </row>
    <row r="150" spans="1:10" x14ac:dyDescent="0.3">
      <c r="A150" s="30">
        <v>137</v>
      </c>
      <c r="B150" s="72">
        <f t="shared" ca="1" si="23"/>
        <v>0.90532391191081074</v>
      </c>
      <c r="C150" s="72">
        <f t="shared" ca="1" si="23"/>
        <v>0.77088852337685043</v>
      </c>
      <c r="D150" s="72">
        <f t="shared" ca="1" si="16"/>
        <v>58.932345309303315</v>
      </c>
      <c r="E150" s="72">
        <f t="shared" ca="1" si="17"/>
        <v>32.745479919874448</v>
      </c>
      <c r="F150" s="72">
        <f t="shared" ca="1" si="18"/>
        <v>3524.7068934276317</v>
      </c>
      <c r="G150" s="72">
        <f t="shared" ca="1" si="19"/>
        <v>36.505676821908764</v>
      </c>
      <c r="H150" s="72">
        <f t="shared" ca="1" si="20"/>
        <v>3561.2125702495405</v>
      </c>
      <c r="I150" s="72">
        <f t="shared" ca="1" si="21"/>
        <v>3593.9580501694149</v>
      </c>
      <c r="J150" s="72">
        <f t="shared" ca="1" si="22"/>
        <v>69.251156741783234</v>
      </c>
    </row>
    <row r="151" spans="1:10" x14ac:dyDescent="0.3">
      <c r="A151" s="30">
        <v>138</v>
      </c>
      <c r="B151" s="72">
        <f t="shared" ca="1" si="23"/>
        <v>0.63861213450045828</v>
      </c>
      <c r="C151" s="72">
        <f t="shared" ca="1" si="23"/>
        <v>0.1123814794314042</v>
      </c>
      <c r="D151" s="72">
        <f t="shared" ca="1" si="16"/>
        <v>25.445086943966238</v>
      </c>
      <c r="E151" s="72">
        <f t="shared" ca="1" si="17"/>
        <v>2.6491827165815485</v>
      </c>
      <c r="F151" s="72">
        <f t="shared" ca="1" si="18"/>
        <v>3550.1519803715978</v>
      </c>
      <c r="G151" s="72">
        <f t="shared" ca="1" si="19"/>
        <v>43.806069797817145</v>
      </c>
      <c r="H151" s="72">
        <f t="shared" ca="1" si="20"/>
        <v>3593.9580501694149</v>
      </c>
      <c r="I151" s="72">
        <f t="shared" ca="1" si="21"/>
        <v>3596.6072328859964</v>
      </c>
      <c r="J151" s="72">
        <f t="shared" ca="1" si="22"/>
        <v>46.45525251439858</v>
      </c>
    </row>
    <row r="152" spans="1:10" x14ac:dyDescent="0.3">
      <c r="A152" s="30">
        <v>139</v>
      </c>
      <c r="B152" s="72">
        <f t="shared" ca="1" si="23"/>
        <v>0.65994652170731838</v>
      </c>
      <c r="C152" s="72">
        <f t="shared" ca="1" si="23"/>
        <v>0.60375274459156847</v>
      </c>
      <c r="D152" s="72">
        <f t="shared" ca="1" si="16"/>
        <v>26.966309616111012</v>
      </c>
      <c r="E152" s="72">
        <f t="shared" ca="1" si="17"/>
        <v>20.571486227304163</v>
      </c>
      <c r="F152" s="72">
        <f t="shared" ca="1" si="18"/>
        <v>3577.118289987709</v>
      </c>
      <c r="G152" s="72">
        <f t="shared" ca="1" si="19"/>
        <v>19.488942898287405</v>
      </c>
      <c r="H152" s="72">
        <f t="shared" ca="1" si="20"/>
        <v>3596.6072328859964</v>
      </c>
      <c r="I152" s="72">
        <f t="shared" ca="1" si="21"/>
        <v>3617.1787191133008</v>
      </c>
      <c r="J152" s="72">
        <f t="shared" ca="1" si="22"/>
        <v>40.060429125591781</v>
      </c>
    </row>
    <row r="153" spans="1:10" x14ac:dyDescent="0.3">
      <c r="A153" s="30">
        <v>140</v>
      </c>
      <c r="B153" s="72">
        <f t="shared" ca="1" si="23"/>
        <v>0.51639427371956559</v>
      </c>
      <c r="C153" s="72">
        <f t="shared" ca="1" si="23"/>
        <v>6.8199238650957561E-2</v>
      </c>
      <c r="D153" s="72">
        <f t="shared" ca="1" si="16"/>
        <v>18.162132984194415</v>
      </c>
      <c r="E153" s="72">
        <f t="shared" ca="1" si="17"/>
        <v>1.5696947228071689</v>
      </c>
      <c r="F153" s="72">
        <f t="shared" ca="1" si="18"/>
        <v>3595.2804229719036</v>
      </c>
      <c r="G153" s="72">
        <f t="shared" ca="1" si="19"/>
        <v>21.898296141397168</v>
      </c>
      <c r="H153" s="72">
        <f t="shared" ca="1" si="20"/>
        <v>3617.1787191133008</v>
      </c>
      <c r="I153" s="72">
        <f t="shared" ca="1" si="21"/>
        <v>3618.7484138361078</v>
      </c>
      <c r="J153" s="72">
        <f t="shared" ca="1" si="22"/>
        <v>23.467990864204239</v>
      </c>
    </row>
    <row r="154" spans="1:10" x14ac:dyDescent="0.3">
      <c r="A154" s="30">
        <v>141</v>
      </c>
      <c r="B154" s="72">
        <f t="shared" ca="1" si="23"/>
        <v>0.47022834637213307</v>
      </c>
      <c r="C154" s="72">
        <f t="shared" ca="1" si="23"/>
        <v>0.52460299208459871</v>
      </c>
      <c r="D154" s="72">
        <f t="shared" ca="1" si="16"/>
        <v>15.882730187167851</v>
      </c>
      <c r="E154" s="72">
        <f t="shared" ca="1" si="17"/>
        <v>16.524555953361272</v>
      </c>
      <c r="F154" s="72">
        <f t="shared" ca="1" si="18"/>
        <v>3611.1631531590715</v>
      </c>
      <c r="G154" s="72">
        <f t="shared" ca="1" si="19"/>
        <v>7.5852606770363309</v>
      </c>
      <c r="H154" s="72">
        <f t="shared" ca="1" si="20"/>
        <v>3618.7484138361078</v>
      </c>
      <c r="I154" s="72">
        <f t="shared" ca="1" si="21"/>
        <v>3635.2729697894692</v>
      </c>
      <c r="J154" s="72">
        <f t="shared" ca="1" si="22"/>
        <v>24.109816630397745</v>
      </c>
    </row>
    <row r="155" spans="1:10" x14ac:dyDescent="0.3">
      <c r="A155" s="30">
        <v>142</v>
      </c>
      <c r="B155" s="72">
        <f t="shared" ca="1" si="23"/>
        <v>0.1242192782103746</v>
      </c>
      <c r="C155" s="72">
        <f t="shared" ca="1" si="23"/>
        <v>0.62314561511780664</v>
      </c>
      <c r="D155" s="72">
        <f t="shared" ref="D155:D213" ca="1" si="24">(1/$F$1)*LN(1/(1-B155))</f>
        <v>3.315988424304376</v>
      </c>
      <c r="E155" s="72">
        <f t="shared" ref="E155:E213" ca="1" si="25">(1/$J$1)*LN(1/(1-C155))</f>
        <v>21.686586958745455</v>
      </c>
      <c r="F155" s="72">
        <f t="shared" ref="F155:F213" ca="1" si="26">F154+D155</f>
        <v>3614.4791415833761</v>
      </c>
      <c r="G155" s="72">
        <f t="shared" ref="G155:G213" ca="1" si="27">IF(I154&gt;F155,I154-F155,0)</f>
        <v>20.793828206093167</v>
      </c>
      <c r="H155" s="72">
        <f t="shared" ref="H155:H213" ca="1" si="28">F155+G155</f>
        <v>3635.2729697894692</v>
      </c>
      <c r="I155" s="72">
        <f t="shared" ref="I155:I213" ca="1" si="29">H155+E155</f>
        <v>3656.9595567482147</v>
      </c>
      <c r="J155" s="72">
        <f t="shared" ref="J155:J213" ca="1" si="30">I155-F155</f>
        <v>42.480415164838632</v>
      </c>
    </row>
    <row r="156" spans="1:10" x14ac:dyDescent="0.3">
      <c r="A156" s="30">
        <v>143</v>
      </c>
      <c r="B156" s="72">
        <f t="shared" ca="1" si="23"/>
        <v>0.30414934109839342</v>
      </c>
      <c r="C156" s="72">
        <f t="shared" ca="1" si="23"/>
        <v>0.61932780171131152</v>
      </c>
      <c r="D156" s="72">
        <f t="shared" ca="1" si="24"/>
        <v>9.0655053053734669</v>
      </c>
      <c r="E156" s="72">
        <f t="shared" ca="1" si="25"/>
        <v>21.462592136300199</v>
      </c>
      <c r="F156" s="72">
        <f t="shared" ca="1" si="26"/>
        <v>3623.5446468887494</v>
      </c>
      <c r="G156" s="72">
        <f t="shared" ca="1" si="27"/>
        <v>33.414909859465297</v>
      </c>
      <c r="H156" s="72">
        <f t="shared" ca="1" si="28"/>
        <v>3656.9595567482147</v>
      </c>
      <c r="I156" s="72">
        <f t="shared" ca="1" si="29"/>
        <v>3678.4221488845151</v>
      </c>
      <c r="J156" s="72">
        <f t="shared" ca="1" si="30"/>
        <v>54.87750199576567</v>
      </c>
    </row>
    <row r="157" spans="1:10" x14ac:dyDescent="0.3">
      <c r="A157" s="30">
        <v>144</v>
      </c>
      <c r="B157" s="72">
        <f t="shared" ca="1" si="23"/>
        <v>0.63285655801817442</v>
      </c>
      <c r="C157" s="72">
        <f t="shared" ca="1" si="23"/>
        <v>0.44950498779757297</v>
      </c>
      <c r="D157" s="72">
        <f t="shared" ca="1" si="24"/>
        <v>25.050066430071173</v>
      </c>
      <c r="E157" s="72">
        <f t="shared" ca="1" si="25"/>
        <v>13.265275185477849</v>
      </c>
      <c r="F157" s="72">
        <f t="shared" ca="1" si="26"/>
        <v>3648.5947133188206</v>
      </c>
      <c r="G157" s="72">
        <f t="shared" ca="1" si="27"/>
        <v>29.827435565694486</v>
      </c>
      <c r="H157" s="72">
        <f t="shared" ca="1" si="28"/>
        <v>3678.4221488845151</v>
      </c>
      <c r="I157" s="72">
        <f t="shared" ca="1" si="29"/>
        <v>3691.6874240699931</v>
      </c>
      <c r="J157" s="72">
        <f t="shared" ca="1" si="30"/>
        <v>43.09271075117249</v>
      </c>
    </row>
    <row r="158" spans="1:10" x14ac:dyDescent="0.3">
      <c r="A158" s="30">
        <v>145</v>
      </c>
      <c r="B158" s="72">
        <f t="shared" ca="1" si="23"/>
        <v>7.4166531054201124E-2</v>
      </c>
      <c r="C158" s="72">
        <f t="shared" ca="1" si="23"/>
        <v>0.780056038084186</v>
      </c>
      <c r="D158" s="72">
        <f t="shared" ca="1" si="24"/>
        <v>1.9265224915090491</v>
      </c>
      <c r="E158" s="72">
        <f t="shared" ca="1" si="25"/>
        <v>33.652944080900909</v>
      </c>
      <c r="F158" s="72">
        <f t="shared" ca="1" si="26"/>
        <v>3650.5212358103295</v>
      </c>
      <c r="G158" s="72">
        <f t="shared" ca="1" si="27"/>
        <v>41.166188259663613</v>
      </c>
      <c r="H158" s="72">
        <f t="shared" ca="1" si="28"/>
        <v>3691.6874240699931</v>
      </c>
      <c r="I158" s="72">
        <f t="shared" ca="1" si="29"/>
        <v>3725.3403681508939</v>
      </c>
      <c r="J158" s="72">
        <f t="shared" ca="1" si="30"/>
        <v>74.819132340564465</v>
      </c>
    </row>
    <row r="159" spans="1:10" x14ac:dyDescent="0.3">
      <c r="A159" s="30">
        <v>146</v>
      </c>
      <c r="B159" s="72">
        <f t="shared" ca="1" si="23"/>
        <v>0.51835183454232137</v>
      </c>
      <c r="C159" s="72">
        <f t="shared" ca="1" si="23"/>
        <v>0.16687730122095579</v>
      </c>
      <c r="D159" s="72">
        <f t="shared" ca="1" si="24"/>
        <v>18.263534466398411</v>
      </c>
      <c r="E159" s="72">
        <f t="shared" ca="1" si="25"/>
        <v>4.0572077824147676</v>
      </c>
      <c r="F159" s="72">
        <f t="shared" ca="1" si="26"/>
        <v>3668.7847702767281</v>
      </c>
      <c r="G159" s="72">
        <f t="shared" ca="1" si="27"/>
        <v>56.555597874165869</v>
      </c>
      <c r="H159" s="72">
        <f t="shared" ca="1" si="28"/>
        <v>3725.3403681508939</v>
      </c>
      <c r="I159" s="72">
        <f t="shared" ca="1" si="29"/>
        <v>3729.3975759333089</v>
      </c>
      <c r="J159" s="72">
        <f t="shared" ca="1" si="30"/>
        <v>60.612805656580804</v>
      </c>
    </row>
    <row r="160" spans="1:10" x14ac:dyDescent="0.3">
      <c r="A160" s="30">
        <v>147</v>
      </c>
      <c r="B160" s="72">
        <f t="shared" ref="B160:C213" ca="1" si="31">RAND()</f>
        <v>7.1700510244568694E-2</v>
      </c>
      <c r="C160" s="72">
        <f t="shared" ca="1" si="31"/>
        <v>0.59634228958532898</v>
      </c>
      <c r="D160" s="72">
        <f t="shared" ca="1" si="24"/>
        <v>1.8600218057805114</v>
      </c>
      <c r="E160" s="72">
        <f t="shared" ca="1" si="25"/>
        <v>20.159733590893058</v>
      </c>
      <c r="F160" s="72">
        <f t="shared" ca="1" si="26"/>
        <v>3670.6447920825085</v>
      </c>
      <c r="G160" s="72">
        <f t="shared" ca="1" si="27"/>
        <v>58.75278385080037</v>
      </c>
      <c r="H160" s="72">
        <f t="shared" ca="1" si="28"/>
        <v>3729.3975759333089</v>
      </c>
      <c r="I160" s="72">
        <f t="shared" ca="1" si="29"/>
        <v>3749.5573095242021</v>
      </c>
      <c r="J160" s="72">
        <f t="shared" ca="1" si="30"/>
        <v>78.912517441693581</v>
      </c>
    </row>
    <row r="161" spans="1:10" x14ac:dyDescent="0.3">
      <c r="A161" s="30">
        <v>148</v>
      </c>
      <c r="B161" s="72">
        <f t="shared" ca="1" si="31"/>
        <v>0.79940034712962793</v>
      </c>
      <c r="C161" s="72">
        <f t="shared" ca="1" si="31"/>
        <v>0.38838972797259297</v>
      </c>
      <c r="D161" s="72">
        <f t="shared" ca="1" si="24"/>
        <v>40.161103347814212</v>
      </c>
      <c r="E161" s="72">
        <f t="shared" ca="1" si="25"/>
        <v>10.925777994053732</v>
      </c>
      <c r="F161" s="72">
        <f t="shared" ca="1" si="26"/>
        <v>3710.8058954303228</v>
      </c>
      <c r="G161" s="72">
        <f t="shared" ca="1" si="27"/>
        <v>38.751414093879248</v>
      </c>
      <c r="H161" s="72">
        <f t="shared" ca="1" si="28"/>
        <v>3749.5573095242021</v>
      </c>
      <c r="I161" s="72">
        <f t="shared" ca="1" si="29"/>
        <v>3760.4830875182556</v>
      </c>
      <c r="J161" s="72">
        <f t="shared" ca="1" si="30"/>
        <v>49.677192087932781</v>
      </c>
    </row>
    <row r="162" spans="1:10" x14ac:dyDescent="0.3">
      <c r="A162" s="30">
        <v>149</v>
      </c>
      <c r="B162" s="72">
        <f t="shared" ca="1" si="31"/>
        <v>0.79819367351610382</v>
      </c>
      <c r="C162" s="72">
        <f t="shared" ca="1" si="31"/>
        <v>0.4076137208596301</v>
      </c>
      <c r="D162" s="72">
        <f t="shared" ca="1" si="24"/>
        <v>40.011170532174013</v>
      </c>
      <c r="E162" s="72">
        <f t="shared" ca="1" si="25"/>
        <v>11.635474629662905</v>
      </c>
      <c r="F162" s="72">
        <f t="shared" ca="1" si="26"/>
        <v>3750.8170659624971</v>
      </c>
      <c r="G162" s="72">
        <f t="shared" ca="1" si="27"/>
        <v>9.6660215557585616</v>
      </c>
      <c r="H162" s="72">
        <f t="shared" ca="1" si="28"/>
        <v>3760.4830875182556</v>
      </c>
      <c r="I162" s="72">
        <f t="shared" ca="1" si="29"/>
        <v>3772.1185621479185</v>
      </c>
      <c r="J162" s="72">
        <f t="shared" ca="1" si="30"/>
        <v>21.301496185421456</v>
      </c>
    </row>
    <row r="163" spans="1:10" x14ac:dyDescent="0.3">
      <c r="A163" s="30">
        <v>150</v>
      </c>
      <c r="B163" s="72">
        <f t="shared" ca="1" si="31"/>
        <v>0.18485361603779071</v>
      </c>
      <c r="C163" s="72">
        <f t="shared" ca="1" si="31"/>
        <v>6.9125873065186361E-2</v>
      </c>
      <c r="D163" s="72">
        <f t="shared" ca="1" si="24"/>
        <v>5.109689241151222</v>
      </c>
      <c r="E163" s="72">
        <f t="shared" ca="1" si="25"/>
        <v>1.591804729980163</v>
      </c>
      <c r="F163" s="72">
        <f t="shared" ca="1" si="26"/>
        <v>3755.9267552036481</v>
      </c>
      <c r="G163" s="72">
        <f t="shared" ca="1" si="27"/>
        <v>16.191806944270411</v>
      </c>
      <c r="H163" s="72">
        <f t="shared" ca="1" si="28"/>
        <v>3772.1185621479185</v>
      </c>
      <c r="I163" s="72">
        <f t="shared" ca="1" si="29"/>
        <v>3773.7103668778987</v>
      </c>
      <c r="J163" s="72">
        <f t="shared" ca="1" si="30"/>
        <v>17.783611674250551</v>
      </c>
    </row>
    <row r="164" spans="1:10" x14ac:dyDescent="0.3">
      <c r="A164" s="30">
        <v>151</v>
      </c>
      <c r="B164" s="72">
        <f t="shared" ca="1" si="31"/>
        <v>0.38340716738279434</v>
      </c>
      <c r="C164" s="72">
        <f t="shared" ca="1" si="31"/>
        <v>0.68709895742068061</v>
      </c>
      <c r="D164" s="72">
        <f t="shared" ca="1" si="24"/>
        <v>12.088659690930234</v>
      </c>
      <c r="E164" s="72">
        <f t="shared" ca="1" si="25"/>
        <v>25.81929547386612</v>
      </c>
      <c r="F164" s="72">
        <f t="shared" ca="1" si="26"/>
        <v>3768.0154148945785</v>
      </c>
      <c r="G164" s="72">
        <f t="shared" ca="1" si="27"/>
        <v>5.6949519833201521</v>
      </c>
      <c r="H164" s="72">
        <f t="shared" ca="1" si="28"/>
        <v>3773.7103668778987</v>
      </c>
      <c r="I164" s="72">
        <f t="shared" ca="1" si="29"/>
        <v>3799.5296623517647</v>
      </c>
      <c r="J164" s="72">
        <f t="shared" ca="1" si="30"/>
        <v>31.514247457186229</v>
      </c>
    </row>
    <row r="165" spans="1:10" x14ac:dyDescent="0.3">
      <c r="A165" s="30">
        <v>152</v>
      </c>
      <c r="B165" s="72">
        <f t="shared" ca="1" si="31"/>
        <v>1.286906650954478E-2</v>
      </c>
      <c r="C165" s="72">
        <f t="shared" ca="1" si="31"/>
        <v>0.91484399455619847</v>
      </c>
      <c r="D165" s="72">
        <f t="shared" ca="1" si="24"/>
        <v>0.32381475754787775</v>
      </c>
      <c r="E165" s="72">
        <f t="shared" ca="1" si="25"/>
        <v>54.739341034249968</v>
      </c>
      <c r="F165" s="72">
        <f t="shared" ca="1" si="26"/>
        <v>3768.3392296521265</v>
      </c>
      <c r="G165" s="72">
        <f t="shared" ca="1" si="27"/>
        <v>31.190432699638222</v>
      </c>
      <c r="H165" s="72">
        <f t="shared" ca="1" si="28"/>
        <v>3799.5296623517647</v>
      </c>
      <c r="I165" s="72">
        <f t="shared" ca="1" si="29"/>
        <v>3854.2690033860149</v>
      </c>
      <c r="J165" s="72">
        <f t="shared" ca="1" si="30"/>
        <v>85.929773733888396</v>
      </c>
    </row>
    <row r="166" spans="1:10" x14ac:dyDescent="0.3">
      <c r="A166" s="30">
        <v>153</v>
      </c>
      <c r="B166" s="72">
        <f t="shared" ca="1" si="31"/>
        <v>0.2510990303291879</v>
      </c>
      <c r="C166" s="72">
        <f t="shared" ca="1" si="31"/>
        <v>0.39594700716585629</v>
      </c>
      <c r="D166" s="72">
        <f t="shared" ca="1" si="24"/>
        <v>7.2287130233551853</v>
      </c>
      <c r="E166" s="72">
        <f t="shared" ca="1" si="25"/>
        <v>11.202074409234925</v>
      </c>
      <c r="F166" s="72">
        <f t="shared" ca="1" si="26"/>
        <v>3775.5679426754818</v>
      </c>
      <c r="G166" s="72">
        <f t="shared" ca="1" si="27"/>
        <v>78.701060710533056</v>
      </c>
      <c r="H166" s="72">
        <f t="shared" ca="1" si="28"/>
        <v>3854.2690033860149</v>
      </c>
      <c r="I166" s="72">
        <f t="shared" ca="1" si="29"/>
        <v>3865.47107779525</v>
      </c>
      <c r="J166" s="72">
        <f t="shared" ca="1" si="30"/>
        <v>89.903135119768194</v>
      </c>
    </row>
    <row r="167" spans="1:10" x14ac:dyDescent="0.3">
      <c r="A167" s="30">
        <v>154</v>
      </c>
      <c r="B167" s="72">
        <f t="shared" ca="1" si="31"/>
        <v>0.64153723192732959</v>
      </c>
      <c r="C167" s="72">
        <f t="shared" ca="1" si="31"/>
        <v>0.54037056693748231</v>
      </c>
      <c r="D167" s="72">
        <f t="shared" ca="1" si="24"/>
        <v>25.648261977105463</v>
      </c>
      <c r="E167" s="72">
        <f t="shared" ca="1" si="25"/>
        <v>17.274104321156631</v>
      </c>
      <c r="F167" s="72">
        <f t="shared" ca="1" si="26"/>
        <v>3801.2162046525873</v>
      </c>
      <c r="G167" s="72">
        <f t="shared" ca="1" si="27"/>
        <v>64.254873142662746</v>
      </c>
      <c r="H167" s="72">
        <f t="shared" ca="1" si="28"/>
        <v>3865.47107779525</v>
      </c>
      <c r="I167" s="72">
        <f t="shared" ca="1" si="29"/>
        <v>3882.7451821164068</v>
      </c>
      <c r="J167" s="72">
        <f t="shared" ca="1" si="30"/>
        <v>81.528977463819501</v>
      </c>
    </row>
    <row r="168" spans="1:10" x14ac:dyDescent="0.3">
      <c r="A168" s="30">
        <v>155</v>
      </c>
      <c r="B168" s="72">
        <f t="shared" ca="1" si="31"/>
        <v>0.84876018023742872</v>
      </c>
      <c r="C168" s="72">
        <f t="shared" ca="1" si="31"/>
        <v>5.7799080513970535E-3</v>
      </c>
      <c r="D168" s="72">
        <f t="shared" ca="1" si="24"/>
        <v>47.22221229228321</v>
      </c>
      <c r="E168" s="72">
        <f t="shared" ca="1" si="25"/>
        <v>0.12881503031169256</v>
      </c>
      <c r="F168" s="72">
        <f t="shared" ca="1" si="26"/>
        <v>3848.4384169448704</v>
      </c>
      <c r="G168" s="72">
        <f t="shared" ca="1" si="27"/>
        <v>34.306765171536426</v>
      </c>
      <c r="H168" s="72">
        <f t="shared" ca="1" si="28"/>
        <v>3882.7451821164068</v>
      </c>
      <c r="I168" s="72">
        <f t="shared" ca="1" si="29"/>
        <v>3882.8739971467185</v>
      </c>
      <c r="J168" s="72">
        <f t="shared" ca="1" si="30"/>
        <v>34.435580201848097</v>
      </c>
    </row>
    <row r="169" spans="1:10" x14ac:dyDescent="0.3">
      <c r="A169" s="30">
        <v>156</v>
      </c>
      <c r="B169" s="72">
        <f t="shared" ca="1" si="31"/>
        <v>0.64059998324828671</v>
      </c>
      <c r="C169" s="72">
        <f t="shared" ca="1" si="31"/>
        <v>0.11366917473383442</v>
      </c>
      <c r="D169" s="72">
        <f t="shared" ca="1" si="24"/>
        <v>25.582981450561469</v>
      </c>
      <c r="E169" s="72">
        <f t="shared" ca="1" si="25"/>
        <v>2.6814445804936287</v>
      </c>
      <c r="F169" s="72">
        <f t="shared" ca="1" si="26"/>
        <v>3874.0213983954318</v>
      </c>
      <c r="G169" s="72">
        <f t="shared" ca="1" si="27"/>
        <v>8.8525987512866777</v>
      </c>
      <c r="H169" s="72">
        <f t="shared" ca="1" si="28"/>
        <v>3882.8739971467185</v>
      </c>
      <c r="I169" s="72">
        <f t="shared" ca="1" si="29"/>
        <v>3885.5554417272119</v>
      </c>
      <c r="J169" s="72">
        <f t="shared" ca="1" si="30"/>
        <v>11.53404333178014</v>
      </c>
    </row>
    <row r="170" spans="1:10" x14ac:dyDescent="0.3">
      <c r="A170" s="30">
        <v>157</v>
      </c>
      <c r="B170" s="72">
        <f t="shared" ca="1" si="31"/>
        <v>0.5055872638097324</v>
      </c>
      <c r="C170" s="72">
        <f t="shared" ca="1" si="31"/>
        <v>0.28898014887067647</v>
      </c>
      <c r="D170" s="72">
        <f t="shared" ca="1" si="24"/>
        <v>17.609615306695439</v>
      </c>
      <c r="E170" s="72">
        <f t="shared" ca="1" si="25"/>
        <v>7.5789984345675396</v>
      </c>
      <c r="F170" s="72">
        <f t="shared" ca="1" si="26"/>
        <v>3891.6310137021273</v>
      </c>
      <c r="G170" s="72">
        <f t="shared" ca="1" si="27"/>
        <v>0</v>
      </c>
      <c r="H170" s="72">
        <f t="shared" ca="1" si="28"/>
        <v>3891.6310137021273</v>
      </c>
      <c r="I170" s="72">
        <f t="shared" ca="1" si="29"/>
        <v>3899.2100121366948</v>
      </c>
      <c r="J170" s="72">
        <f t="shared" ca="1" si="30"/>
        <v>7.5789984345674384</v>
      </c>
    </row>
    <row r="171" spans="1:10" x14ac:dyDescent="0.3">
      <c r="A171" s="30">
        <v>158</v>
      </c>
      <c r="B171" s="72">
        <f t="shared" ca="1" si="31"/>
        <v>0.81984794334523503</v>
      </c>
      <c r="C171" s="72">
        <f t="shared" ca="1" si="31"/>
        <v>0.92795290573845934</v>
      </c>
      <c r="D171" s="72">
        <f t="shared" ca="1" si="24"/>
        <v>42.848850637675426</v>
      </c>
      <c r="E171" s="72">
        <f t="shared" ca="1" si="25"/>
        <v>58.454117484930784</v>
      </c>
      <c r="F171" s="72">
        <f t="shared" ca="1" si="26"/>
        <v>3934.4798643398026</v>
      </c>
      <c r="G171" s="72">
        <f t="shared" ca="1" si="27"/>
        <v>0</v>
      </c>
      <c r="H171" s="72">
        <f t="shared" ca="1" si="28"/>
        <v>3934.4798643398026</v>
      </c>
      <c r="I171" s="72">
        <f t="shared" ca="1" si="29"/>
        <v>3992.9339818247336</v>
      </c>
      <c r="J171" s="72">
        <f t="shared" ca="1" si="30"/>
        <v>58.454117484930975</v>
      </c>
    </row>
    <row r="172" spans="1:10" x14ac:dyDescent="0.3">
      <c r="A172" s="30">
        <v>159</v>
      </c>
      <c r="B172" s="72">
        <f t="shared" ca="1" si="31"/>
        <v>9.1984746576654342E-3</v>
      </c>
      <c r="C172" s="72">
        <f t="shared" ca="1" si="31"/>
        <v>0.94144229800115442</v>
      </c>
      <c r="D172" s="72">
        <f t="shared" ca="1" si="24"/>
        <v>0.23102604655824227</v>
      </c>
      <c r="E172" s="72">
        <f t="shared" ca="1" si="25"/>
        <v>63.060947820490078</v>
      </c>
      <c r="F172" s="72">
        <f t="shared" ca="1" si="26"/>
        <v>3934.7108903863609</v>
      </c>
      <c r="G172" s="72">
        <f t="shared" ca="1" si="27"/>
        <v>58.223091438372649</v>
      </c>
      <c r="H172" s="72">
        <f t="shared" ca="1" si="28"/>
        <v>3992.9339818247336</v>
      </c>
      <c r="I172" s="72">
        <f t="shared" ca="1" si="29"/>
        <v>4055.9949296452237</v>
      </c>
      <c r="J172" s="72">
        <f t="shared" ca="1" si="30"/>
        <v>121.28403925886278</v>
      </c>
    </row>
    <row r="173" spans="1:10" x14ac:dyDescent="0.3">
      <c r="A173" s="30">
        <v>160</v>
      </c>
      <c r="B173" s="72">
        <f t="shared" ca="1" si="31"/>
        <v>0.85462095751149392</v>
      </c>
      <c r="C173" s="72">
        <f t="shared" ca="1" si="31"/>
        <v>0.35456868063907521</v>
      </c>
      <c r="D173" s="72">
        <f t="shared" ca="1" si="24"/>
        <v>48.210271530357993</v>
      </c>
      <c r="E173" s="72">
        <f t="shared" ca="1" si="25"/>
        <v>9.7296994108278163</v>
      </c>
      <c r="F173" s="72">
        <f t="shared" ca="1" si="26"/>
        <v>3982.921161916719</v>
      </c>
      <c r="G173" s="72">
        <f t="shared" ca="1" si="27"/>
        <v>73.073767728504663</v>
      </c>
      <c r="H173" s="72">
        <f t="shared" ca="1" si="28"/>
        <v>4055.9949296452237</v>
      </c>
      <c r="I173" s="72">
        <f t="shared" ca="1" si="29"/>
        <v>4065.7246290560515</v>
      </c>
      <c r="J173" s="72">
        <f t="shared" ca="1" si="30"/>
        <v>82.803467139332497</v>
      </c>
    </row>
    <row r="174" spans="1:10" x14ac:dyDescent="0.3">
      <c r="A174" s="30">
        <v>161</v>
      </c>
      <c r="B174" s="72">
        <f t="shared" ca="1" si="31"/>
        <v>0.13906825908420417</v>
      </c>
      <c r="C174" s="72">
        <f t="shared" ca="1" si="31"/>
        <v>0.85117556495735758</v>
      </c>
      <c r="D174" s="72">
        <f t="shared" ca="1" si="24"/>
        <v>3.7435014135145641</v>
      </c>
      <c r="E174" s="72">
        <f t="shared" ca="1" si="25"/>
        <v>42.333065690411885</v>
      </c>
      <c r="F174" s="72">
        <f t="shared" ca="1" si="26"/>
        <v>3986.6646633302335</v>
      </c>
      <c r="G174" s="72">
        <f t="shared" ca="1" si="27"/>
        <v>79.059965725818074</v>
      </c>
      <c r="H174" s="72">
        <f t="shared" ca="1" si="28"/>
        <v>4065.7246290560515</v>
      </c>
      <c r="I174" s="72">
        <f t="shared" ca="1" si="29"/>
        <v>4108.0576947464633</v>
      </c>
      <c r="J174" s="72">
        <f t="shared" ca="1" si="30"/>
        <v>121.39303141622986</v>
      </c>
    </row>
    <row r="175" spans="1:10" x14ac:dyDescent="0.3">
      <c r="A175" s="30">
        <v>162</v>
      </c>
      <c r="B175" s="72">
        <f t="shared" ca="1" si="31"/>
        <v>0.68333738077456818</v>
      </c>
      <c r="C175" s="72">
        <f t="shared" ca="1" si="31"/>
        <v>0.12359633776004564</v>
      </c>
      <c r="D175" s="72">
        <f t="shared" ca="1" si="24"/>
        <v>28.7479591132679</v>
      </c>
      <c r="E175" s="72">
        <f t="shared" ca="1" si="25"/>
        <v>2.9317442786318999</v>
      </c>
      <c r="F175" s="72">
        <f t="shared" ca="1" si="26"/>
        <v>4015.4126224435013</v>
      </c>
      <c r="G175" s="72">
        <f t="shared" ca="1" si="27"/>
        <v>92.645072302962035</v>
      </c>
      <c r="H175" s="72">
        <f t="shared" ca="1" si="28"/>
        <v>4108.0576947464633</v>
      </c>
      <c r="I175" s="72">
        <f t="shared" ca="1" si="29"/>
        <v>4110.9894390250956</v>
      </c>
      <c r="J175" s="72">
        <f t="shared" ca="1" si="30"/>
        <v>95.576816581594358</v>
      </c>
    </row>
    <row r="176" spans="1:10" x14ac:dyDescent="0.3">
      <c r="A176" s="30">
        <v>163</v>
      </c>
      <c r="B176" s="72">
        <f t="shared" ca="1" si="31"/>
        <v>0.2687392465658397</v>
      </c>
      <c r="C176" s="72">
        <f t="shared" ca="1" si="31"/>
        <v>0.37700083105416138</v>
      </c>
      <c r="D176" s="72">
        <f t="shared" ca="1" si="24"/>
        <v>7.824629374830196</v>
      </c>
      <c r="E176" s="72">
        <f t="shared" ca="1" si="25"/>
        <v>10.515779870019752</v>
      </c>
      <c r="F176" s="72">
        <f t="shared" ca="1" si="26"/>
        <v>4023.2372518183315</v>
      </c>
      <c r="G176" s="72">
        <f t="shared" ca="1" si="27"/>
        <v>87.75218720676412</v>
      </c>
      <c r="H176" s="72">
        <f t="shared" ca="1" si="28"/>
        <v>4110.9894390250956</v>
      </c>
      <c r="I176" s="72">
        <f t="shared" ca="1" si="29"/>
        <v>4121.5052188951158</v>
      </c>
      <c r="J176" s="72">
        <f t="shared" ca="1" si="30"/>
        <v>98.267967076784316</v>
      </c>
    </row>
    <row r="177" spans="1:10" x14ac:dyDescent="0.3">
      <c r="A177" s="30">
        <v>164</v>
      </c>
      <c r="B177" s="72">
        <f t="shared" ca="1" si="31"/>
        <v>0.59226473351409847</v>
      </c>
      <c r="C177" s="72">
        <f t="shared" ca="1" si="31"/>
        <v>0.90364181023132417</v>
      </c>
      <c r="D177" s="72">
        <f t="shared" ca="1" si="24"/>
        <v>22.428429295718974</v>
      </c>
      <c r="E177" s="72">
        <f t="shared" ca="1" si="25"/>
        <v>51.992953056449778</v>
      </c>
      <c r="F177" s="72">
        <f t="shared" ca="1" si="26"/>
        <v>4045.6656811140506</v>
      </c>
      <c r="G177" s="72">
        <f t="shared" ca="1" si="27"/>
        <v>75.839537781065246</v>
      </c>
      <c r="H177" s="72">
        <f t="shared" ca="1" si="28"/>
        <v>4121.5052188951158</v>
      </c>
      <c r="I177" s="72">
        <f t="shared" ca="1" si="29"/>
        <v>4173.4981719515654</v>
      </c>
      <c r="J177" s="72">
        <f t="shared" ca="1" si="30"/>
        <v>127.8324908375148</v>
      </c>
    </row>
    <row r="178" spans="1:10" x14ac:dyDescent="0.3">
      <c r="A178" s="30">
        <v>165</v>
      </c>
      <c r="B178" s="72">
        <f t="shared" ca="1" si="31"/>
        <v>3.910539244198008E-2</v>
      </c>
      <c r="C178" s="72">
        <f t="shared" ca="1" si="31"/>
        <v>0.16466441939324739</v>
      </c>
      <c r="D178" s="72">
        <f t="shared" ca="1" si="24"/>
        <v>0.99726363951499297</v>
      </c>
      <c r="E178" s="72">
        <f t="shared" ca="1" si="25"/>
        <v>3.9982609316977826</v>
      </c>
      <c r="F178" s="72">
        <f t="shared" ca="1" si="26"/>
        <v>4046.6629447535656</v>
      </c>
      <c r="G178" s="72">
        <f t="shared" ca="1" si="27"/>
        <v>126.83522719799976</v>
      </c>
      <c r="H178" s="72">
        <f t="shared" ca="1" si="28"/>
        <v>4173.4981719515654</v>
      </c>
      <c r="I178" s="72">
        <f t="shared" ca="1" si="29"/>
        <v>4177.496432883263</v>
      </c>
      <c r="J178" s="72">
        <f t="shared" ca="1" si="30"/>
        <v>130.83348812969734</v>
      </c>
    </row>
    <row r="179" spans="1:10" x14ac:dyDescent="0.3">
      <c r="A179" s="30">
        <v>166</v>
      </c>
      <c r="B179" s="72">
        <f t="shared" ca="1" si="31"/>
        <v>0.98720808603390586</v>
      </c>
      <c r="C179" s="72">
        <f t="shared" ca="1" si="31"/>
        <v>0.89152123603974887</v>
      </c>
      <c r="D179" s="72">
        <f t="shared" ca="1" si="24"/>
        <v>108.97355072688745</v>
      </c>
      <c r="E179" s="72">
        <f t="shared" ca="1" si="25"/>
        <v>49.360018867259825</v>
      </c>
      <c r="F179" s="72">
        <f t="shared" ca="1" si="26"/>
        <v>4155.636495480453</v>
      </c>
      <c r="G179" s="72">
        <f t="shared" ca="1" si="27"/>
        <v>21.859937402809919</v>
      </c>
      <c r="H179" s="72">
        <f t="shared" ca="1" si="28"/>
        <v>4177.496432883263</v>
      </c>
      <c r="I179" s="72">
        <f t="shared" ca="1" si="29"/>
        <v>4226.8564517505229</v>
      </c>
      <c r="J179" s="72">
        <f t="shared" ca="1" si="30"/>
        <v>71.219956270069815</v>
      </c>
    </row>
    <row r="180" spans="1:10" x14ac:dyDescent="0.3">
      <c r="A180" s="30">
        <v>167</v>
      </c>
      <c r="B180" s="72">
        <f t="shared" ca="1" si="31"/>
        <v>0.12079967207699627</v>
      </c>
      <c r="C180" s="72">
        <f t="shared" ca="1" si="31"/>
        <v>0.40751840105849724</v>
      </c>
      <c r="D180" s="72">
        <f t="shared" ca="1" si="24"/>
        <v>3.2185625728486564</v>
      </c>
      <c r="E180" s="72">
        <f t="shared" ca="1" si="25"/>
        <v>11.631899179865156</v>
      </c>
      <c r="F180" s="72">
        <f t="shared" ca="1" si="26"/>
        <v>4158.8550580533019</v>
      </c>
      <c r="G180" s="72">
        <f t="shared" ca="1" si="27"/>
        <v>68.001393697220919</v>
      </c>
      <c r="H180" s="72">
        <f t="shared" ca="1" si="28"/>
        <v>4226.8564517505229</v>
      </c>
      <c r="I180" s="72">
        <f t="shared" ca="1" si="29"/>
        <v>4238.4883509303882</v>
      </c>
      <c r="J180" s="72">
        <f t="shared" ca="1" si="30"/>
        <v>79.633292877086205</v>
      </c>
    </row>
    <row r="181" spans="1:10" x14ac:dyDescent="0.3">
      <c r="A181" s="30">
        <v>168</v>
      </c>
      <c r="B181" s="72">
        <f t="shared" ca="1" si="31"/>
        <v>0.76723060830282752</v>
      </c>
      <c r="C181" s="72">
        <f t="shared" ca="1" si="31"/>
        <v>0.15877493714904034</v>
      </c>
      <c r="D181" s="72">
        <f t="shared" ca="1" si="24"/>
        <v>36.442676268325172</v>
      </c>
      <c r="E181" s="72">
        <f t="shared" ca="1" si="25"/>
        <v>3.8421342540708543</v>
      </c>
      <c r="F181" s="72">
        <f t="shared" ca="1" si="26"/>
        <v>4195.2977343216271</v>
      </c>
      <c r="G181" s="72">
        <f t="shared" ca="1" si="27"/>
        <v>43.190616608761047</v>
      </c>
      <c r="H181" s="72">
        <f t="shared" ca="1" si="28"/>
        <v>4238.4883509303882</v>
      </c>
      <c r="I181" s="72">
        <f t="shared" ca="1" si="29"/>
        <v>4242.3304851844587</v>
      </c>
      <c r="J181" s="72">
        <f t="shared" ca="1" si="30"/>
        <v>47.032750862831563</v>
      </c>
    </row>
    <row r="182" spans="1:10" x14ac:dyDescent="0.3">
      <c r="A182" s="30">
        <v>169</v>
      </c>
      <c r="B182" s="72">
        <f t="shared" ca="1" si="31"/>
        <v>0.99338669502420329</v>
      </c>
      <c r="C182" s="72">
        <f t="shared" ca="1" si="31"/>
        <v>0.84857352033326405</v>
      </c>
      <c r="D182" s="72">
        <f t="shared" ca="1" si="24"/>
        <v>125.46679384341697</v>
      </c>
      <c r="E182" s="72">
        <f t="shared" ca="1" si="25"/>
        <v>41.947890101073334</v>
      </c>
      <c r="F182" s="72">
        <f t="shared" ca="1" si="26"/>
        <v>4320.7645281650439</v>
      </c>
      <c r="G182" s="72">
        <f t="shared" ca="1" si="27"/>
        <v>0</v>
      </c>
      <c r="H182" s="72">
        <f t="shared" ca="1" si="28"/>
        <v>4320.7645281650439</v>
      </c>
      <c r="I182" s="72">
        <f t="shared" ca="1" si="29"/>
        <v>4362.7124182661173</v>
      </c>
      <c r="J182" s="72">
        <f t="shared" ca="1" si="30"/>
        <v>41.947890101073426</v>
      </c>
    </row>
    <row r="183" spans="1:10" x14ac:dyDescent="0.3">
      <c r="A183" s="30">
        <v>170</v>
      </c>
      <c r="B183" s="72">
        <f t="shared" ca="1" si="31"/>
        <v>0.76332074439073205</v>
      </c>
      <c r="C183" s="72">
        <f t="shared" ca="1" si="31"/>
        <v>0.46364335740364593</v>
      </c>
      <c r="D183" s="72">
        <f t="shared" ca="1" si="24"/>
        <v>36.026235157858785</v>
      </c>
      <c r="E183" s="72">
        <f t="shared" ca="1" si="25"/>
        <v>13.84346580441877</v>
      </c>
      <c r="F183" s="72">
        <f t="shared" ca="1" si="26"/>
        <v>4356.7907633229024</v>
      </c>
      <c r="G183" s="72">
        <f t="shared" ca="1" si="27"/>
        <v>5.9216549432148895</v>
      </c>
      <c r="H183" s="72">
        <f t="shared" ca="1" si="28"/>
        <v>4362.7124182661173</v>
      </c>
      <c r="I183" s="72">
        <f t="shared" ca="1" si="29"/>
        <v>4376.5558840705362</v>
      </c>
      <c r="J183" s="72">
        <f t="shared" ca="1" si="30"/>
        <v>19.765120747633773</v>
      </c>
    </row>
    <row r="184" spans="1:10" x14ac:dyDescent="0.3">
      <c r="A184" s="30">
        <v>171</v>
      </c>
      <c r="B184" s="72">
        <f t="shared" ca="1" si="31"/>
        <v>0.83607206991103888</v>
      </c>
      <c r="C184" s="72">
        <f t="shared" ca="1" si="31"/>
        <v>0.23137909391911005</v>
      </c>
      <c r="D184" s="72">
        <f t="shared" ca="1" si="24"/>
        <v>45.20820996054379</v>
      </c>
      <c r="E184" s="72">
        <f t="shared" ca="1" si="25"/>
        <v>5.8479422447107536</v>
      </c>
      <c r="F184" s="72">
        <f t="shared" ca="1" si="26"/>
        <v>4401.9989732834465</v>
      </c>
      <c r="G184" s="72">
        <f t="shared" ca="1" si="27"/>
        <v>0</v>
      </c>
      <c r="H184" s="72">
        <f t="shared" ca="1" si="28"/>
        <v>4401.9989732834465</v>
      </c>
      <c r="I184" s="72">
        <f t="shared" ca="1" si="29"/>
        <v>4407.8469155281573</v>
      </c>
      <c r="J184" s="72">
        <f t="shared" ca="1" si="30"/>
        <v>5.8479422447107936</v>
      </c>
    </row>
    <row r="185" spans="1:10" x14ac:dyDescent="0.3">
      <c r="A185" s="30">
        <v>172</v>
      </c>
      <c r="B185" s="72">
        <f t="shared" ca="1" si="31"/>
        <v>0.16812329749280952</v>
      </c>
      <c r="C185" s="72">
        <f t="shared" ca="1" si="31"/>
        <v>0.34273949032993178</v>
      </c>
      <c r="D185" s="72">
        <f t="shared" ca="1" si="24"/>
        <v>4.6017760811173476</v>
      </c>
      <c r="E185" s="72">
        <f t="shared" ca="1" si="25"/>
        <v>9.3261072251316808</v>
      </c>
      <c r="F185" s="72">
        <f t="shared" ca="1" si="26"/>
        <v>4406.6007493645639</v>
      </c>
      <c r="G185" s="72">
        <f t="shared" ca="1" si="27"/>
        <v>1.2461661635934433</v>
      </c>
      <c r="H185" s="72">
        <f t="shared" ca="1" si="28"/>
        <v>4407.8469155281573</v>
      </c>
      <c r="I185" s="72">
        <f t="shared" ca="1" si="29"/>
        <v>4417.1730227532889</v>
      </c>
      <c r="J185" s="72">
        <f t="shared" ca="1" si="30"/>
        <v>10.57227338872508</v>
      </c>
    </row>
    <row r="186" spans="1:10" x14ac:dyDescent="0.3">
      <c r="A186" s="30">
        <v>173</v>
      </c>
      <c r="B186" s="72">
        <f t="shared" ca="1" si="31"/>
        <v>0.73055169144094678</v>
      </c>
      <c r="C186" s="72">
        <f t="shared" ca="1" si="31"/>
        <v>0.10551588083365238</v>
      </c>
      <c r="D186" s="72">
        <f t="shared" ca="1" si="24"/>
        <v>32.784467800142394</v>
      </c>
      <c r="E186" s="72">
        <f t="shared" ca="1" si="25"/>
        <v>2.4779584457231363</v>
      </c>
      <c r="F186" s="72">
        <f t="shared" ca="1" si="26"/>
        <v>4439.3852171647059</v>
      </c>
      <c r="G186" s="72">
        <f t="shared" ca="1" si="27"/>
        <v>0</v>
      </c>
      <c r="H186" s="72">
        <f t="shared" ca="1" si="28"/>
        <v>4439.3852171647059</v>
      </c>
      <c r="I186" s="72">
        <f t="shared" ca="1" si="29"/>
        <v>4441.8631756104287</v>
      </c>
      <c r="J186" s="72">
        <f t="shared" ca="1" si="30"/>
        <v>2.4779584457228339</v>
      </c>
    </row>
    <row r="187" spans="1:10" x14ac:dyDescent="0.3">
      <c r="A187" s="30">
        <v>174</v>
      </c>
      <c r="B187" s="72">
        <f t="shared" ca="1" si="31"/>
        <v>5.939017555324444E-2</v>
      </c>
      <c r="C187" s="72">
        <f t="shared" ca="1" si="31"/>
        <v>0.77930770939470206</v>
      </c>
      <c r="D187" s="72">
        <f t="shared" ca="1" si="24"/>
        <v>1.5306716163393705</v>
      </c>
      <c r="E187" s="72">
        <f t="shared" ca="1" si="25"/>
        <v>33.577464397486544</v>
      </c>
      <c r="F187" s="72">
        <f t="shared" ca="1" si="26"/>
        <v>4440.9158887810454</v>
      </c>
      <c r="G187" s="72">
        <f t="shared" ca="1" si="27"/>
        <v>0.94728682938330167</v>
      </c>
      <c r="H187" s="72">
        <f t="shared" ca="1" si="28"/>
        <v>4441.8631756104287</v>
      </c>
      <c r="I187" s="72">
        <f t="shared" ca="1" si="29"/>
        <v>4475.4406400079151</v>
      </c>
      <c r="J187" s="72">
        <f t="shared" ca="1" si="30"/>
        <v>34.524751226869739</v>
      </c>
    </row>
    <row r="188" spans="1:10" x14ac:dyDescent="0.3">
      <c r="A188" s="30">
        <v>175</v>
      </c>
      <c r="B188" s="72">
        <f t="shared" ca="1" si="31"/>
        <v>0.6438689137226985</v>
      </c>
      <c r="C188" s="72">
        <f t="shared" ca="1" si="31"/>
        <v>0.44617295074597685</v>
      </c>
      <c r="D188" s="72">
        <f t="shared" ca="1" si="24"/>
        <v>25.81140990065872</v>
      </c>
      <c r="E188" s="72">
        <f t="shared" ca="1" si="25"/>
        <v>13.131173920820684</v>
      </c>
      <c r="F188" s="72">
        <f t="shared" ca="1" si="26"/>
        <v>4466.7272986817043</v>
      </c>
      <c r="G188" s="72">
        <f t="shared" ca="1" si="27"/>
        <v>8.7133413262108661</v>
      </c>
      <c r="H188" s="72">
        <f t="shared" ca="1" si="28"/>
        <v>4475.4406400079151</v>
      </c>
      <c r="I188" s="72">
        <f t="shared" ca="1" si="29"/>
        <v>4488.5718139287355</v>
      </c>
      <c r="J188" s="72">
        <f t="shared" ca="1" si="30"/>
        <v>21.844515247031268</v>
      </c>
    </row>
    <row r="189" spans="1:10" x14ac:dyDescent="0.3">
      <c r="A189" s="30">
        <v>176</v>
      </c>
      <c r="B189" s="72">
        <f t="shared" ca="1" si="31"/>
        <v>0.73322258655233485</v>
      </c>
      <c r="C189" s="72">
        <f t="shared" ca="1" si="31"/>
        <v>0.63529968150872307</v>
      </c>
      <c r="D189" s="72">
        <f t="shared" ca="1" si="24"/>
        <v>33.033515644173235</v>
      </c>
      <c r="E189" s="72">
        <f t="shared" ca="1" si="25"/>
        <v>22.415095730472551</v>
      </c>
      <c r="F189" s="72">
        <f t="shared" ca="1" si="26"/>
        <v>4499.7608143258776</v>
      </c>
      <c r="G189" s="72">
        <f t="shared" ca="1" si="27"/>
        <v>0</v>
      </c>
      <c r="H189" s="72">
        <f t="shared" ca="1" si="28"/>
        <v>4499.7608143258776</v>
      </c>
      <c r="I189" s="72">
        <f t="shared" ca="1" si="29"/>
        <v>4522.1759100563504</v>
      </c>
      <c r="J189" s="72">
        <f t="shared" ca="1" si="30"/>
        <v>22.415095730472785</v>
      </c>
    </row>
    <row r="190" spans="1:10" x14ac:dyDescent="0.3">
      <c r="A190" s="30">
        <v>177</v>
      </c>
      <c r="B190" s="72">
        <f t="shared" ca="1" si="31"/>
        <v>0.96170203262504494</v>
      </c>
      <c r="C190" s="72">
        <f t="shared" ca="1" si="31"/>
        <v>0.80319358687872988</v>
      </c>
      <c r="D190" s="72">
        <f t="shared" ca="1" si="24"/>
        <v>81.558961383846466</v>
      </c>
      <c r="E190" s="72">
        <f t="shared" ca="1" si="25"/>
        <v>36.122993508813444</v>
      </c>
      <c r="F190" s="72">
        <f t="shared" ca="1" si="26"/>
        <v>4581.3197757097241</v>
      </c>
      <c r="G190" s="72">
        <f t="shared" ca="1" si="27"/>
        <v>0</v>
      </c>
      <c r="H190" s="72">
        <f t="shared" ca="1" si="28"/>
        <v>4581.3197757097241</v>
      </c>
      <c r="I190" s="72">
        <f t="shared" ca="1" si="29"/>
        <v>4617.4427692185373</v>
      </c>
      <c r="J190" s="72">
        <f t="shared" ca="1" si="30"/>
        <v>36.122993508813124</v>
      </c>
    </row>
    <row r="191" spans="1:10" x14ac:dyDescent="0.3">
      <c r="A191" s="30">
        <v>178</v>
      </c>
      <c r="B191" s="72">
        <f t="shared" ca="1" si="31"/>
        <v>0.87630780795104324</v>
      </c>
      <c r="C191" s="72">
        <f t="shared" ca="1" si="31"/>
        <v>0.69791708730934576</v>
      </c>
      <c r="D191" s="72">
        <f t="shared" ca="1" si="24"/>
        <v>52.248978040819679</v>
      </c>
      <c r="E191" s="72">
        <f t="shared" ca="1" si="25"/>
        <v>26.601194532325529</v>
      </c>
      <c r="F191" s="72">
        <f t="shared" ca="1" si="26"/>
        <v>4633.5687537505437</v>
      </c>
      <c r="G191" s="72">
        <f t="shared" ca="1" si="27"/>
        <v>0</v>
      </c>
      <c r="H191" s="72">
        <f t="shared" ca="1" si="28"/>
        <v>4633.5687537505437</v>
      </c>
      <c r="I191" s="72">
        <f t="shared" ca="1" si="29"/>
        <v>4660.169948282869</v>
      </c>
      <c r="J191" s="72">
        <f t="shared" ca="1" si="30"/>
        <v>26.60119453232528</v>
      </c>
    </row>
    <row r="192" spans="1:10" x14ac:dyDescent="0.3">
      <c r="A192" s="30">
        <v>179</v>
      </c>
      <c r="B192" s="72">
        <f t="shared" ca="1" si="31"/>
        <v>0.15270818865578661</v>
      </c>
      <c r="C192" s="72">
        <f t="shared" ca="1" si="31"/>
        <v>0.89392844958426498</v>
      </c>
      <c r="D192" s="72">
        <f t="shared" ca="1" si="24"/>
        <v>4.1427530058957034</v>
      </c>
      <c r="E192" s="72">
        <f t="shared" ca="1" si="25"/>
        <v>49.858697970238296</v>
      </c>
      <c r="F192" s="72">
        <f t="shared" ca="1" si="26"/>
        <v>4637.7115067564391</v>
      </c>
      <c r="G192" s="72">
        <f t="shared" ca="1" si="27"/>
        <v>22.458441526429851</v>
      </c>
      <c r="H192" s="72">
        <f t="shared" ca="1" si="28"/>
        <v>4660.169948282869</v>
      </c>
      <c r="I192" s="72">
        <f t="shared" ca="1" si="29"/>
        <v>4710.0286462531076</v>
      </c>
      <c r="J192" s="72">
        <f t="shared" ca="1" si="30"/>
        <v>72.31713949666846</v>
      </c>
    </row>
    <row r="193" spans="1:10" x14ac:dyDescent="0.3">
      <c r="A193" s="30">
        <v>180</v>
      </c>
      <c r="B193" s="72">
        <f t="shared" ca="1" si="31"/>
        <v>0.48508942050570014</v>
      </c>
      <c r="C193" s="72">
        <f t="shared" ca="1" si="31"/>
        <v>0.87559540990647333</v>
      </c>
      <c r="D193" s="72">
        <f t="shared" ca="1" si="24"/>
        <v>16.594050636102338</v>
      </c>
      <c r="E193" s="72">
        <f t="shared" ca="1" si="25"/>
        <v>46.315915588885233</v>
      </c>
      <c r="F193" s="72">
        <f t="shared" ca="1" si="26"/>
        <v>4654.3055573925412</v>
      </c>
      <c r="G193" s="72">
        <f t="shared" ca="1" si="27"/>
        <v>55.723088860566349</v>
      </c>
      <c r="H193" s="72">
        <f t="shared" ca="1" si="28"/>
        <v>4710.0286462531076</v>
      </c>
      <c r="I193" s="72">
        <f t="shared" ca="1" si="29"/>
        <v>4756.3445618419928</v>
      </c>
      <c r="J193" s="72">
        <f t="shared" ca="1" si="30"/>
        <v>102.03900444945157</v>
      </c>
    </row>
    <row r="194" spans="1:10" x14ac:dyDescent="0.3">
      <c r="A194" s="30">
        <v>181</v>
      </c>
      <c r="B194" s="72">
        <f t="shared" ca="1" si="31"/>
        <v>0.31562207990311442</v>
      </c>
      <c r="C194" s="72">
        <f t="shared" ca="1" si="31"/>
        <v>0.11596538969823955</v>
      </c>
      <c r="D194" s="72">
        <f t="shared" ca="1" si="24"/>
        <v>9.4811249794534866</v>
      </c>
      <c r="E194" s="72">
        <f t="shared" ca="1" si="25"/>
        <v>2.7390903374631512</v>
      </c>
      <c r="F194" s="72">
        <f t="shared" ca="1" si="26"/>
        <v>4663.7866823719951</v>
      </c>
      <c r="G194" s="72">
        <f t="shared" ca="1" si="27"/>
        <v>92.557879469997715</v>
      </c>
      <c r="H194" s="72">
        <f t="shared" ca="1" si="28"/>
        <v>4756.3445618419928</v>
      </c>
      <c r="I194" s="72">
        <f t="shared" ca="1" si="29"/>
        <v>4759.0836521794563</v>
      </c>
      <c r="J194" s="72">
        <f t="shared" ca="1" si="30"/>
        <v>95.29696980746121</v>
      </c>
    </row>
    <row r="195" spans="1:10" x14ac:dyDescent="0.3">
      <c r="A195" s="30">
        <v>182</v>
      </c>
      <c r="B195" s="72">
        <f t="shared" ca="1" si="31"/>
        <v>0.94618831189265784</v>
      </c>
      <c r="C195" s="72">
        <f t="shared" ca="1" si="31"/>
        <v>0.56030091605645604</v>
      </c>
      <c r="D195" s="72">
        <f t="shared" ca="1" si="24"/>
        <v>73.056614608603851</v>
      </c>
      <c r="E195" s="72">
        <f t="shared" ca="1" si="25"/>
        <v>18.259215248100251</v>
      </c>
      <c r="F195" s="72">
        <f t="shared" ca="1" si="26"/>
        <v>4736.843296980599</v>
      </c>
      <c r="G195" s="72">
        <f t="shared" ca="1" si="27"/>
        <v>22.240355198857287</v>
      </c>
      <c r="H195" s="72">
        <f t="shared" ca="1" si="28"/>
        <v>4759.0836521794563</v>
      </c>
      <c r="I195" s="72">
        <f t="shared" ca="1" si="29"/>
        <v>4777.3428674275565</v>
      </c>
      <c r="J195" s="72">
        <f t="shared" ca="1" si="30"/>
        <v>40.499570446957478</v>
      </c>
    </row>
    <row r="196" spans="1:10" x14ac:dyDescent="0.3">
      <c r="A196" s="30">
        <v>183</v>
      </c>
      <c r="B196" s="72">
        <f t="shared" ca="1" si="31"/>
        <v>0.68743201046152635</v>
      </c>
      <c r="C196" s="72">
        <f t="shared" ca="1" si="31"/>
        <v>0.34063647060976143</v>
      </c>
      <c r="D196" s="72">
        <f t="shared" ca="1" si="24"/>
        <v>29.073331673668225</v>
      </c>
      <c r="E196" s="72">
        <f t="shared" ca="1" si="25"/>
        <v>9.2551168589875843</v>
      </c>
      <c r="F196" s="72">
        <f t="shared" ca="1" si="26"/>
        <v>4765.9166286542668</v>
      </c>
      <c r="G196" s="72">
        <f t="shared" ca="1" si="27"/>
        <v>11.426238773289697</v>
      </c>
      <c r="H196" s="72">
        <f t="shared" ca="1" si="28"/>
        <v>4777.3428674275565</v>
      </c>
      <c r="I196" s="72">
        <f t="shared" ca="1" si="29"/>
        <v>4786.5979842865445</v>
      </c>
      <c r="J196" s="72">
        <f t="shared" ca="1" si="30"/>
        <v>20.6813556322777</v>
      </c>
    </row>
    <row r="197" spans="1:10" x14ac:dyDescent="0.3">
      <c r="A197" s="30">
        <v>184</v>
      </c>
      <c r="B197" s="72">
        <f t="shared" ca="1" si="31"/>
        <v>0.20068904901878348</v>
      </c>
      <c r="C197" s="72">
        <f t="shared" ca="1" si="31"/>
        <v>0.2391043046645126</v>
      </c>
      <c r="D197" s="72">
        <f t="shared" ca="1" si="24"/>
        <v>5.6001308432342904</v>
      </c>
      <c r="E197" s="72">
        <f t="shared" ca="1" si="25"/>
        <v>6.0724220699654019</v>
      </c>
      <c r="F197" s="72">
        <f t="shared" ca="1" si="26"/>
        <v>4771.516759497501</v>
      </c>
      <c r="G197" s="72">
        <f t="shared" ca="1" si="27"/>
        <v>15.081224789043517</v>
      </c>
      <c r="H197" s="72">
        <f t="shared" ca="1" si="28"/>
        <v>4786.5979842865445</v>
      </c>
      <c r="I197" s="72">
        <f t="shared" ca="1" si="29"/>
        <v>4792.6704063565103</v>
      </c>
      <c r="J197" s="72">
        <f t="shared" ca="1" si="30"/>
        <v>21.153646859009314</v>
      </c>
    </row>
    <row r="198" spans="1:10" x14ac:dyDescent="0.3">
      <c r="A198" s="30">
        <v>185</v>
      </c>
      <c r="B198" s="72">
        <f t="shared" ca="1" si="31"/>
        <v>0.26115824686177491</v>
      </c>
      <c r="C198" s="72">
        <f t="shared" ca="1" si="31"/>
        <v>0.43343784797636375</v>
      </c>
      <c r="D198" s="72">
        <f t="shared" ca="1" si="24"/>
        <v>7.5667879362139878</v>
      </c>
      <c r="E198" s="72">
        <f t="shared" ca="1" si="25"/>
        <v>12.625966493822087</v>
      </c>
      <c r="F198" s="72">
        <f t="shared" ca="1" si="26"/>
        <v>4779.0835474337146</v>
      </c>
      <c r="G198" s="72">
        <f t="shared" ca="1" si="27"/>
        <v>13.586858922795727</v>
      </c>
      <c r="H198" s="72">
        <f t="shared" ca="1" si="28"/>
        <v>4792.6704063565103</v>
      </c>
      <c r="I198" s="72">
        <f t="shared" ca="1" si="29"/>
        <v>4805.2963728503328</v>
      </c>
      <c r="J198" s="72">
        <f t="shared" ca="1" si="30"/>
        <v>26.212825416618216</v>
      </c>
    </row>
    <row r="199" spans="1:10" x14ac:dyDescent="0.3">
      <c r="A199" s="30">
        <v>186</v>
      </c>
      <c r="B199" s="72">
        <f t="shared" ca="1" si="31"/>
        <v>6.5006364919516613E-2</v>
      </c>
      <c r="C199" s="72">
        <f t="shared" ca="1" si="31"/>
        <v>0.14130087608188158</v>
      </c>
      <c r="D199" s="72">
        <f t="shared" ca="1" si="24"/>
        <v>1.6803889279293267</v>
      </c>
      <c r="E199" s="72">
        <f t="shared" ca="1" si="25"/>
        <v>3.385259589917939</v>
      </c>
      <c r="F199" s="72">
        <f t="shared" ca="1" si="26"/>
        <v>4780.7639363616436</v>
      </c>
      <c r="G199" s="72">
        <f t="shared" ca="1" si="27"/>
        <v>24.5324364886892</v>
      </c>
      <c r="H199" s="72">
        <f t="shared" ca="1" si="28"/>
        <v>4805.2963728503328</v>
      </c>
      <c r="I199" s="72">
        <f t="shared" ca="1" si="29"/>
        <v>4808.6816324402507</v>
      </c>
      <c r="J199" s="72">
        <f t="shared" ca="1" si="30"/>
        <v>27.91769607860715</v>
      </c>
    </row>
    <row r="200" spans="1:10" x14ac:dyDescent="0.3">
      <c r="A200" s="30">
        <v>187</v>
      </c>
      <c r="B200" s="72">
        <f t="shared" ca="1" si="31"/>
        <v>3.303115981961724E-2</v>
      </c>
      <c r="C200" s="72">
        <f t="shared" ca="1" si="31"/>
        <v>0.2187534464318357</v>
      </c>
      <c r="D200" s="72">
        <f t="shared" ca="1" si="24"/>
        <v>0.83972518081833902</v>
      </c>
      <c r="E200" s="72">
        <f t="shared" ca="1" si="25"/>
        <v>5.4858775416445749</v>
      </c>
      <c r="F200" s="72">
        <f t="shared" ca="1" si="26"/>
        <v>4781.6036615424619</v>
      </c>
      <c r="G200" s="72">
        <f t="shared" ca="1" si="27"/>
        <v>27.077970897788873</v>
      </c>
      <c r="H200" s="72">
        <f t="shared" ca="1" si="28"/>
        <v>4808.6816324402507</v>
      </c>
      <c r="I200" s="72">
        <f t="shared" ca="1" si="29"/>
        <v>4814.1675099818949</v>
      </c>
      <c r="J200" s="72">
        <f t="shared" ca="1" si="30"/>
        <v>32.563848439433059</v>
      </c>
    </row>
    <row r="201" spans="1:10" x14ac:dyDescent="0.3">
      <c r="A201" s="30">
        <v>188</v>
      </c>
      <c r="B201" s="72">
        <f t="shared" ca="1" si="31"/>
        <v>0.16514606003400778</v>
      </c>
      <c r="C201" s="72">
        <f t="shared" ca="1" si="31"/>
        <v>0.21803663099586723</v>
      </c>
      <c r="D201" s="72">
        <f t="shared" ca="1" si="24"/>
        <v>4.5124622907092435</v>
      </c>
      <c r="E201" s="72">
        <f t="shared" ca="1" si="25"/>
        <v>5.4654973831042737</v>
      </c>
      <c r="F201" s="72">
        <f t="shared" ca="1" si="26"/>
        <v>4786.1161238331715</v>
      </c>
      <c r="G201" s="72">
        <f t="shared" ca="1" si="27"/>
        <v>28.051386148723395</v>
      </c>
      <c r="H201" s="72">
        <f t="shared" ca="1" si="28"/>
        <v>4814.1675099818949</v>
      </c>
      <c r="I201" s="72">
        <f t="shared" ca="1" si="29"/>
        <v>4819.6330073649988</v>
      </c>
      <c r="J201" s="72">
        <f t="shared" ca="1" si="30"/>
        <v>33.516883531827261</v>
      </c>
    </row>
    <row r="202" spans="1:10" x14ac:dyDescent="0.3">
      <c r="A202" s="30">
        <v>189</v>
      </c>
      <c r="B202" s="72">
        <f t="shared" ca="1" si="31"/>
        <v>0.19998929795771747</v>
      </c>
      <c r="C202" s="72">
        <f t="shared" ca="1" si="31"/>
        <v>0.14321814458409909</v>
      </c>
      <c r="D202" s="72">
        <f t="shared" ca="1" si="24"/>
        <v>5.5782543462708816</v>
      </c>
      <c r="E202" s="72">
        <f t="shared" ca="1" si="25"/>
        <v>3.4349319383366002</v>
      </c>
      <c r="F202" s="72">
        <f t="shared" ca="1" si="26"/>
        <v>4791.6943781794425</v>
      </c>
      <c r="G202" s="72">
        <f t="shared" ca="1" si="27"/>
        <v>27.938629185556238</v>
      </c>
      <c r="H202" s="72">
        <f t="shared" ca="1" si="28"/>
        <v>4819.6330073649988</v>
      </c>
      <c r="I202" s="72">
        <f t="shared" ca="1" si="29"/>
        <v>4823.0679393033352</v>
      </c>
      <c r="J202" s="72">
        <f t="shared" ca="1" si="30"/>
        <v>31.373561123892614</v>
      </c>
    </row>
    <row r="203" spans="1:10" x14ac:dyDescent="0.3">
      <c r="A203" s="30">
        <v>190</v>
      </c>
      <c r="B203" s="72">
        <f t="shared" ca="1" si="31"/>
        <v>0.83600489056180116</v>
      </c>
      <c r="C203" s="72">
        <f t="shared" ca="1" si="31"/>
        <v>0.13058724309355074</v>
      </c>
      <c r="D203" s="72">
        <f t="shared" ca="1" si="24"/>
        <v>45.197966802534154</v>
      </c>
      <c r="E203" s="72">
        <f t="shared" ca="1" si="25"/>
        <v>3.1097174956614602</v>
      </c>
      <c r="F203" s="72">
        <f t="shared" ca="1" si="26"/>
        <v>4836.8923449819767</v>
      </c>
      <c r="G203" s="72">
        <f t="shared" ca="1" si="27"/>
        <v>0</v>
      </c>
      <c r="H203" s="72">
        <f t="shared" ca="1" si="28"/>
        <v>4836.8923449819767</v>
      </c>
      <c r="I203" s="72">
        <f t="shared" ca="1" si="29"/>
        <v>4840.002062477638</v>
      </c>
      <c r="J203" s="72">
        <f t="shared" ca="1" si="30"/>
        <v>3.1097174956612434</v>
      </c>
    </row>
    <row r="204" spans="1:10" x14ac:dyDescent="0.3">
      <c r="A204" s="30">
        <v>191</v>
      </c>
      <c r="B204" s="72">
        <f t="shared" ca="1" si="31"/>
        <v>0.17601354595083285</v>
      </c>
      <c r="C204" s="72">
        <f t="shared" ca="1" si="31"/>
        <v>0.30647851726151121</v>
      </c>
      <c r="D204" s="72">
        <f t="shared" ca="1" si="24"/>
        <v>4.8400297117127735</v>
      </c>
      <c r="E204" s="72">
        <f t="shared" ca="1" si="25"/>
        <v>8.1327347207671572</v>
      </c>
      <c r="F204" s="72">
        <f t="shared" ca="1" si="26"/>
        <v>4841.73237469369</v>
      </c>
      <c r="G204" s="72">
        <f t="shared" ca="1" si="27"/>
        <v>0</v>
      </c>
      <c r="H204" s="72">
        <f t="shared" ca="1" si="28"/>
        <v>4841.73237469369</v>
      </c>
      <c r="I204" s="72">
        <f t="shared" ca="1" si="29"/>
        <v>4849.865109414457</v>
      </c>
      <c r="J204" s="72">
        <f t="shared" ca="1" si="30"/>
        <v>8.1327347207670755</v>
      </c>
    </row>
    <row r="205" spans="1:10" x14ac:dyDescent="0.3">
      <c r="A205" s="30">
        <v>192</v>
      </c>
      <c r="B205" s="72">
        <f t="shared" ca="1" si="31"/>
        <v>0.85958723264319103</v>
      </c>
      <c r="C205" s="72">
        <f t="shared" ca="1" si="31"/>
        <v>0.82920136368302921</v>
      </c>
      <c r="D205" s="72">
        <f t="shared" ca="1" si="24"/>
        <v>49.079221398375225</v>
      </c>
      <c r="E205" s="72">
        <f t="shared" ca="1" si="25"/>
        <v>39.272666261160389</v>
      </c>
      <c r="F205" s="72">
        <f t="shared" ca="1" si="26"/>
        <v>4890.811596092065</v>
      </c>
      <c r="G205" s="72">
        <f t="shared" ca="1" si="27"/>
        <v>0</v>
      </c>
      <c r="H205" s="72">
        <f t="shared" ca="1" si="28"/>
        <v>4890.811596092065</v>
      </c>
      <c r="I205" s="72">
        <f t="shared" ca="1" si="29"/>
        <v>4930.0842623532253</v>
      </c>
      <c r="J205" s="72">
        <f t="shared" ca="1" si="30"/>
        <v>39.272666261160339</v>
      </c>
    </row>
    <row r="206" spans="1:10" x14ac:dyDescent="0.3">
      <c r="A206" s="30">
        <v>193</v>
      </c>
      <c r="B206" s="72">
        <f t="shared" ca="1" si="31"/>
        <v>0.80008888305825654</v>
      </c>
      <c r="C206" s="72">
        <f t="shared" ca="1" si="31"/>
        <v>0.40413794340815046</v>
      </c>
      <c r="D206" s="72">
        <f t="shared" ca="1" si="24"/>
        <v>40.247060662678166</v>
      </c>
      <c r="E206" s="72">
        <f t="shared" ca="1" si="25"/>
        <v>11.505468608367954</v>
      </c>
      <c r="F206" s="72">
        <f t="shared" ca="1" si="26"/>
        <v>4931.0586567547434</v>
      </c>
      <c r="G206" s="72">
        <f t="shared" ca="1" si="27"/>
        <v>0</v>
      </c>
      <c r="H206" s="72">
        <f t="shared" ca="1" si="28"/>
        <v>4931.0586567547434</v>
      </c>
      <c r="I206" s="72">
        <f t="shared" ca="1" si="29"/>
        <v>4942.5641253631111</v>
      </c>
      <c r="J206" s="72">
        <f t="shared" ca="1" si="30"/>
        <v>11.505468608367664</v>
      </c>
    </row>
    <row r="207" spans="1:10" x14ac:dyDescent="0.3">
      <c r="A207" s="30">
        <v>194</v>
      </c>
      <c r="B207" s="72">
        <f t="shared" ca="1" si="31"/>
        <v>4.9914538656796625E-2</v>
      </c>
      <c r="C207" s="72">
        <f t="shared" ca="1" si="31"/>
        <v>0.48202336735427365</v>
      </c>
      <c r="D207" s="72">
        <f t="shared" ca="1" si="24"/>
        <v>1.2800834781252832</v>
      </c>
      <c r="E207" s="72">
        <f t="shared" ca="1" si="25"/>
        <v>14.618336632504649</v>
      </c>
      <c r="F207" s="72">
        <f t="shared" ca="1" si="26"/>
        <v>4932.338740232869</v>
      </c>
      <c r="G207" s="72">
        <f t="shared" ca="1" si="27"/>
        <v>10.225385130242103</v>
      </c>
      <c r="H207" s="72">
        <f t="shared" ca="1" si="28"/>
        <v>4942.5641253631111</v>
      </c>
      <c r="I207" s="72">
        <f t="shared" ca="1" si="29"/>
        <v>4957.182461995616</v>
      </c>
      <c r="J207" s="72">
        <f t="shared" ca="1" si="30"/>
        <v>24.843721762747009</v>
      </c>
    </row>
    <row r="208" spans="1:10" x14ac:dyDescent="0.3">
      <c r="A208" s="30">
        <v>195</v>
      </c>
      <c r="B208" s="72">
        <f t="shared" ca="1" si="31"/>
        <v>0.56048444529632635</v>
      </c>
      <c r="C208" s="72">
        <f t="shared" ca="1" si="31"/>
        <v>0.32746610002109577</v>
      </c>
      <c r="D208" s="72">
        <f t="shared" ca="1" si="24"/>
        <v>20.552054266648714</v>
      </c>
      <c r="E208" s="72">
        <f t="shared" ca="1" si="25"/>
        <v>8.8156168863569846</v>
      </c>
      <c r="F208" s="72">
        <f t="shared" ca="1" si="26"/>
        <v>4952.8907944995181</v>
      </c>
      <c r="G208" s="72">
        <f t="shared" ca="1" si="27"/>
        <v>4.2916674960979435</v>
      </c>
      <c r="H208" s="72">
        <f t="shared" ca="1" si="28"/>
        <v>4957.182461995616</v>
      </c>
      <c r="I208" s="72">
        <f t="shared" ca="1" si="29"/>
        <v>4965.998078881973</v>
      </c>
      <c r="J208" s="72">
        <f t="shared" ca="1" si="30"/>
        <v>13.107284382454964</v>
      </c>
    </row>
    <row r="209" spans="1:10" x14ac:dyDescent="0.3">
      <c r="A209" s="30">
        <v>196</v>
      </c>
      <c r="B209" s="72">
        <f t="shared" ca="1" si="31"/>
        <v>0.64684553459284222</v>
      </c>
      <c r="C209" s="72">
        <f t="shared" ca="1" si="31"/>
        <v>0.75768762483997532</v>
      </c>
      <c r="D209" s="72">
        <f t="shared" ca="1" si="24"/>
        <v>26.021243467538309</v>
      </c>
      <c r="E209" s="72">
        <f t="shared" ca="1" si="25"/>
        <v>31.500612861188802</v>
      </c>
      <c r="F209" s="72">
        <f t="shared" ca="1" si="26"/>
        <v>4978.9120379670567</v>
      </c>
      <c r="G209" s="72">
        <f t="shared" ca="1" si="27"/>
        <v>0</v>
      </c>
      <c r="H209" s="72">
        <f t="shared" ca="1" si="28"/>
        <v>4978.9120379670567</v>
      </c>
      <c r="I209" s="72">
        <f t="shared" ca="1" si="29"/>
        <v>5010.4126508282452</v>
      </c>
      <c r="J209" s="72">
        <f t="shared" ca="1" si="30"/>
        <v>31.500612861188529</v>
      </c>
    </row>
    <row r="210" spans="1:10" x14ac:dyDescent="0.3">
      <c r="A210" s="30">
        <v>197</v>
      </c>
      <c r="B210" s="72">
        <f t="shared" ca="1" si="31"/>
        <v>0.42842109854029475</v>
      </c>
      <c r="C210" s="72">
        <f t="shared" ca="1" si="31"/>
        <v>0.19491744871309669</v>
      </c>
      <c r="D210" s="72">
        <f t="shared" ca="1" si="24"/>
        <v>13.98381862449426</v>
      </c>
      <c r="E210" s="72">
        <f t="shared" ca="1" si="25"/>
        <v>4.8180101919731237</v>
      </c>
      <c r="F210" s="72">
        <f t="shared" ca="1" si="26"/>
        <v>4992.8958565915509</v>
      </c>
      <c r="G210" s="72">
        <f t="shared" ca="1" si="27"/>
        <v>17.516794236694295</v>
      </c>
      <c r="H210" s="72">
        <f t="shared" ca="1" si="28"/>
        <v>5010.4126508282452</v>
      </c>
      <c r="I210" s="72">
        <f t="shared" ca="1" si="29"/>
        <v>5015.2306610202186</v>
      </c>
      <c r="J210" s="72">
        <f t="shared" ca="1" si="30"/>
        <v>22.334804428667667</v>
      </c>
    </row>
    <row r="211" spans="1:10" x14ac:dyDescent="0.3">
      <c r="A211" s="30">
        <v>198</v>
      </c>
      <c r="B211" s="72">
        <f t="shared" ca="1" si="31"/>
        <v>0.30316914838527886</v>
      </c>
      <c r="C211" s="72">
        <f t="shared" ca="1" si="31"/>
        <v>0.97651635326805719</v>
      </c>
      <c r="D211" s="72">
        <f t="shared" ca="1" si="24"/>
        <v>9.0303144570868419</v>
      </c>
      <c r="E211" s="72">
        <f t="shared" ca="1" si="25"/>
        <v>83.365577418191549</v>
      </c>
      <c r="F211" s="72">
        <f t="shared" ca="1" si="26"/>
        <v>5001.926171048638</v>
      </c>
      <c r="G211" s="72">
        <f t="shared" ca="1" si="27"/>
        <v>13.304489971580551</v>
      </c>
      <c r="H211" s="72">
        <f t="shared" ca="1" si="28"/>
        <v>5015.2306610202186</v>
      </c>
      <c r="I211" s="72">
        <f t="shared" ca="1" si="29"/>
        <v>5098.5962384384102</v>
      </c>
      <c r="J211" s="72">
        <f t="shared" ca="1" si="30"/>
        <v>96.670067389772157</v>
      </c>
    </row>
    <row r="212" spans="1:10" x14ac:dyDescent="0.3">
      <c r="A212" s="30">
        <v>199</v>
      </c>
      <c r="B212" s="72">
        <f t="shared" ca="1" si="31"/>
        <v>0.12433397957434167</v>
      </c>
      <c r="C212" s="72">
        <f t="shared" ca="1" si="31"/>
        <v>0.91676384930834254</v>
      </c>
      <c r="D212" s="72">
        <f t="shared" ca="1" si="24"/>
        <v>3.3192628990961701</v>
      </c>
      <c r="E212" s="72">
        <f t="shared" ca="1" si="25"/>
        <v>55.246078267084194</v>
      </c>
      <c r="F212" s="72">
        <f t="shared" ca="1" si="26"/>
        <v>5005.2454339477345</v>
      </c>
      <c r="G212" s="72">
        <f t="shared" ca="1" si="27"/>
        <v>93.350804490675728</v>
      </c>
      <c r="H212" s="72">
        <f t="shared" ca="1" si="28"/>
        <v>5098.5962384384102</v>
      </c>
      <c r="I212" s="72">
        <f t="shared" ca="1" si="29"/>
        <v>5153.8423167054943</v>
      </c>
      <c r="J212" s="72">
        <f t="shared" ca="1" si="30"/>
        <v>148.59688275775989</v>
      </c>
    </row>
    <row r="213" spans="1:10" x14ac:dyDescent="0.3">
      <c r="A213" s="30">
        <v>200</v>
      </c>
      <c r="B213" s="72">
        <f t="shared" ca="1" si="31"/>
        <v>0.57675544657603439</v>
      </c>
      <c r="C213" s="72">
        <f t="shared" ca="1" si="31"/>
        <v>0.82568834456331686</v>
      </c>
      <c r="D213" s="72">
        <f t="shared" ca="1" si="24"/>
        <v>21.495128162812343</v>
      </c>
      <c r="E213" s="72">
        <f t="shared" ca="1" si="25"/>
        <v>38.820232415925013</v>
      </c>
      <c r="F213" s="72">
        <f t="shared" ca="1" si="26"/>
        <v>5026.7405621105472</v>
      </c>
      <c r="G213" s="72">
        <f t="shared" ca="1" si="27"/>
        <v>127.10175459494712</v>
      </c>
      <c r="H213" s="72">
        <f t="shared" ca="1" si="28"/>
        <v>5153.8423167054943</v>
      </c>
      <c r="I213" s="72">
        <f t="shared" ca="1" si="29"/>
        <v>5192.662549121419</v>
      </c>
      <c r="J213" s="72">
        <f t="shared" ca="1" si="30"/>
        <v>165.92198701087182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7" r:id="rId3" name="CommandButton1">
          <controlPr defaultSize="0" autoLine="0" r:id="rId4">
            <anchor moveWithCells="1">
              <from>
                <xdr:col>10</xdr:col>
                <xdr:colOff>480060</xdr:colOff>
                <xdr:row>0</xdr:row>
                <xdr:rowOff>213360</xdr:rowOff>
              </from>
              <to>
                <xdr:col>11</xdr:col>
                <xdr:colOff>510540</xdr:colOff>
                <xdr:row>1</xdr:row>
                <xdr:rowOff>137160</xdr:rowOff>
              </to>
            </anchor>
          </controlPr>
        </control>
      </mc:Choice>
      <mc:Fallback>
        <control shapeId="29697" r:id="rId3" name="CommandButton1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6"/>
  <dimension ref="A2:J214"/>
  <sheetViews>
    <sheetView topLeftCell="A157" zoomScale="70" zoomScaleNormal="70" workbookViewId="0"/>
  </sheetViews>
  <sheetFormatPr defaultRowHeight="14.4" x14ac:dyDescent="0.3"/>
  <cols>
    <col min="2" max="2" width="12.44140625" customWidth="1"/>
    <col min="3" max="3" width="11.6640625" customWidth="1"/>
    <col min="4" max="4" width="14.6640625" customWidth="1"/>
    <col min="5" max="5" width="14.33203125" customWidth="1"/>
    <col min="6" max="6" width="13.5546875" customWidth="1"/>
    <col min="7" max="7" width="14.109375" customWidth="1"/>
    <col min="8" max="8" width="14.6640625" customWidth="1"/>
    <col min="9" max="9" width="13.33203125" customWidth="1"/>
    <col min="10" max="10" width="13.6640625" customWidth="1"/>
  </cols>
  <sheetData>
    <row r="2" spans="1:10" ht="43.2" x14ac:dyDescent="0.3">
      <c r="D2" s="2" t="s">
        <v>1</v>
      </c>
      <c r="E2" s="3" t="s">
        <v>2</v>
      </c>
      <c r="F2" s="4">
        <v>0.04</v>
      </c>
      <c r="H2" s="5" t="s">
        <v>3</v>
      </c>
      <c r="I2" s="6" t="s">
        <v>4</v>
      </c>
      <c r="J2" s="42">
        <v>4.4999999999999998E-2</v>
      </c>
    </row>
    <row r="6" spans="1:10" x14ac:dyDescent="0.3">
      <c r="D6" t="s">
        <v>6</v>
      </c>
    </row>
    <row r="7" spans="1:10" ht="18.600000000000001" x14ac:dyDescent="0.3">
      <c r="D7" s="8" t="s">
        <v>7</v>
      </c>
      <c r="E7" s="7" t="s">
        <v>8</v>
      </c>
    </row>
    <row r="8" spans="1:10" ht="18.600000000000001" x14ac:dyDescent="0.3">
      <c r="D8" s="8" t="s">
        <v>9</v>
      </c>
      <c r="E8" s="7" t="s">
        <v>10</v>
      </c>
    </row>
    <row r="9" spans="1:10" ht="18" x14ac:dyDescent="0.3">
      <c r="D9" s="9" t="s">
        <v>11</v>
      </c>
      <c r="E9" s="7" t="s">
        <v>12</v>
      </c>
    </row>
    <row r="10" spans="1:10" ht="18.600000000000001" x14ac:dyDescent="0.3">
      <c r="D10" s="8" t="s">
        <v>13</v>
      </c>
      <c r="E10" s="7" t="s">
        <v>14</v>
      </c>
    </row>
    <row r="11" spans="1:10" ht="18" x14ac:dyDescent="0.3">
      <c r="D11" s="9" t="s">
        <v>15</v>
      </c>
      <c r="E11" s="7" t="s">
        <v>16</v>
      </c>
    </row>
    <row r="12" spans="1:10" ht="18.600000000000001" x14ac:dyDescent="0.3">
      <c r="D12" s="8" t="s">
        <v>17</v>
      </c>
      <c r="E12" s="7" t="s">
        <v>18</v>
      </c>
    </row>
    <row r="14" spans="1:10" ht="21" x14ac:dyDescent="0.3">
      <c r="A14" s="8" t="s">
        <v>19</v>
      </c>
      <c r="B14" s="8" t="s">
        <v>20</v>
      </c>
      <c r="C14" s="8" t="s">
        <v>21</v>
      </c>
      <c r="D14" s="8" t="s">
        <v>7</v>
      </c>
      <c r="E14" s="8" t="s">
        <v>9</v>
      </c>
      <c r="F14" s="9" t="s">
        <v>11</v>
      </c>
      <c r="G14" s="8" t="s">
        <v>13</v>
      </c>
      <c r="H14" s="9" t="s">
        <v>189</v>
      </c>
      <c r="I14" s="9" t="s">
        <v>15</v>
      </c>
      <c r="J14" s="10" t="s">
        <v>22</v>
      </c>
    </row>
    <row r="15" spans="1:10" ht="18" x14ac:dyDescent="0.3">
      <c r="A15" s="86">
        <v>1</v>
      </c>
      <c r="B15" s="72">
        <f ca="1">RAND()</f>
        <v>0.63896701054944693</v>
      </c>
      <c r="C15" s="72">
        <f ca="1">RAND()</f>
        <v>0.45790081604456445</v>
      </c>
      <c r="D15" s="72">
        <f ca="1">(1/$F$2)*LN(1/(1-B15))</f>
        <v>25.469648532623452</v>
      </c>
      <c r="E15" s="72">
        <f ca="1">(1/$J$2)*LN(1/(1-C15))</f>
        <v>13.60680662347816</v>
      </c>
      <c r="F15" s="72">
        <f ca="1">D15</f>
        <v>25.469648532623452</v>
      </c>
      <c r="G15" s="72">
        <v>0</v>
      </c>
      <c r="H15" s="72">
        <f ca="1">F15+G15</f>
        <v>25.469648532623452</v>
      </c>
      <c r="I15" s="72">
        <f ca="1">H15+E15</f>
        <v>39.076455156101616</v>
      </c>
      <c r="J15" s="72">
        <f ca="1">I15-F15</f>
        <v>13.606806623478164</v>
      </c>
    </row>
    <row r="16" spans="1:10" ht="18" x14ac:dyDescent="0.3">
      <c r="A16" s="86">
        <v>2</v>
      </c>
      <c r="B16" s="72">
        <f ca="1">RAND()</f>
        <v>7.9504138950816094E-2</v>
      </c>
      <c r="C16" s="72">
        <f ca="1">RAND()</f>
        <v>0.82340110116799292</v>
      </c>
      <c r="D16" s="72">
        <f ca="1">(1/$F$2)*LN(1/(1-B16))</f>
        <v>2.0710693683747983</v>
      </c>
      <c r="E16" s="72">
        <f ca="1">(1/$J$2)*LN(1/(1-C16))</f>
        <v>38.530538360245906</v>
      </c>
      <c r="F16" s="72">
        <f ca="1">F15+D16</f>
        <v>27.540717900998249</v>
      </c>
      <c r="G16" s="72">
        <f ca="1">IF(I15&gt;F16,I15-F16,0)</f>
        <v>11.535737255103367</v>
      </c>
      <c r="H16" s="72">
        <f ca="1">F16+G16</f>
        <v>39.076455156101616</v>
      </c>
      <c r="I16" s="72">
        <f ca="1">H16+E16</f>
        <v>77.606993516347529</v>
      </c>
      <c r="J16" s="72">
        <f ca="1">I16-F16</f>
        <v>50.066275615349284</v>
      </c>
    </row>
    <row r="17" spans="1:10" ht="18" x14ac:dyDescent="0.3">
      <c r="A17" s="86">
        <v>3</v>
      </c>
      <c r="B17" s="72">
        <f t="shared" ref="B17:C48" ca="1" si="0">RAND()</f>
        <v>0.91140829195391904</v>
      </c>
      <c r="C17" s="72">
        <f t="shared" ca="1" si="0"/>
        <v>0.90507179457010478</v>
      </c>
      <c r="D17" s="72">
        <f t="shared" ref="D17:D80" ca="1" si="1">(1/$F$2)*LN(1/(1-B17))</f>
        <v>60.59292535988692</v>
      </c>
      <c r="E17" s="72">
        <f t="shared" ref="E17:E80" ca="1" si="2">(1/$J$2)*LN(1/(1-C17))</f>
        <v>52.325209009069148</v>
      </c>
      <c r="F17" s="72">
        <f t="shared" ref="F17:F80" ca="1" si="3">F16+D17</f>
        <v>88.133643260885165</v>
      </c>
      <c r="G17" s="72">
        <f t="shared" ref="G17:G80" ca="1" si="4">IF(I16&gt;F17,I16-F17,0)</f>
        <v>0</v>
      </c>
      <c r="H17" s="72">
        <f t="shared" ref="H17:H80" ca="1" si="5">F17+G17</f>
        <v>88.133643260885165</v>
      </c>
      <c r="I17" s="72">
        <f t="shared" ref="I17:I80" ca="1" si="6">H17+E17</f>
        <v>140.45885226995432</v>
      </c>
      <c r="J17" s="72">
        <f t="shared" ref="J17:J80" ca="1" si="7">I17-F17</f>
        <v>52.325209009069155</v>
      </c>
    </row>
    <row r="18" spans="1:10" ht="18" x14ac:dyDescent="0.3">
      <c r="A18" s="86">
        <v>4</v>
      </c>
      <c r="B18" s="72">
        <f t="shared" ca="1" si="0"/>
        <v>0.4948589831309016</v>
      </c>
      <c r="C18" s="72">
        <f t="shared" ca="1" si="0"/>
        <v>0.65266312942694538</v>
      </c>
      <c r="D18" s="72">
        <f t="shared" ca="1" si="1"/>
        <v>17.072941184060806</v>
      </c>
      <c r="E18" s="72">
        <f t="shared" ca="1" si="2"/>
        <v>23.499114697717133</v>
      </c>
      <c r="F18" s="72">
        <f t="shared" ca="1" si="3"/>
        <v>105.20658444494597</v>
      </c>
      <c r="G18" s="72">
        <f t="shared" ca="1" si="4"/>
        <v>35.252267825008346</v>
      </c>
      <c r="H18" s="72">
        <f t="shared" ca="1" si="5"/>
        <v>140.45885226995432</v>
      </c>
      <c r="I18" s="72">
        <f t="shared" ca="1" si="6"/>
        <v>163.95796696767144</v>
      </c>
      <c r="J18" s="72">
        <f t="shared" ca="1" si="7"/>
        <v>58.751382522725464</v>
      </c>
    </row>
    <row r="19" spans="1:10" ht="18" x14ac:dyDescent="0.3">
      <c r="A19" s="86">
        <v>5</v>
      </c>
      <c r="B19" s="72">
        <f t="shared" ca="1" si="0"/>
        <v>0.96872733674925959</v>
      </c>
      <c r="C19" s="72">
        <f t="shared" ca="1" si="0"/>
        <v>0.15767130106182958</v>
      </c>
      <c r="D19" s="72">
        <f t="shared" ca="1" si="1"/>
        <v>86.625273540597519</v>
      </c>
      <c r="E19" s="72">
        <f t="shared" ca="1" si="2"/>
        <v>3.8129991584746263</v>
      </c>
      <c r="F19" s="72">
        <f t="shared" ca="1" si="3"/>
        <v>191.83185798554348</v>
      </c>
      <c r="G19" s="72">
        <f t="shared" ca="1" si="4"/>
        <v>0</v>
      </c>
      <c r="H19" s="72">
        <f t="shared" ca="1" si="5"/>
        <v>191.83185798554348</v>
      </c>
      <c r="I19" s="72">
        <f t="shared" ca="1" si="6"/>
        <v>195.64485714401812</v>
      </c>
      <c r="J19" s="72">
        <f t="shared" ca="1" si="7"/>
        <v>3.8129991584746392</v>
      </c>
    </row>
    <row r="20" spans="1:10" ht="18" x14ac:dyDescent="0.3">
      <c r="A20" s="86">
        <v>6</v>
      </c>
      <c r="B20" s="72">
        <f t="shared" ca="1" si="0"/>
        <v>0.16910592167758043</v>
      </c>
      <c r="C20" s="72">
        <f t="shared" ca="1" si="0"/>
        <v>0.53554441372144923</v>
      </c>
      <c r="D20" s="72">
        <f t="shared" ca="1" si="1"/>
        <v>4.6313238790004565</v>
      </c>
      <c r="E20" s="72">
        <f t="shared" ca="1" si="2"/>
        <v>17.04198536649632</v>
      </c>
      <c r="F20" s="72">
        <f t="shared" ca="1" si="3"/>
        <v>196.46318186454394</v>
      </c>
      <c r="G20" s="72">
        <f t="shared" ca="1" si="4"/>
        <v>0</v>
      </c>
      <c r="H20" s="72">
        <f t="shared" ca="1" si="5"/>
        <v>196.46318186454394</v>
      </c>
      <c r="I20" s="72">
        <f t="shared" ca="1" si="6"/>
        <v>213.50516723104028</v>
      </c>
      <c r="J20" s="72">
        <f t="shared" ca="1" si="7"/>
        <v>17.041985366496334</v>
      </c>
    </row>
    <row r="21" spans="1:10" ht="18" x14ac:dyDescent="0.3">
      <c r="A21" s="86">
        <v>7</v>
      </c>
      <c r="B21" s="72">
        <f t="shared" ca="1" si="0"/>
        <v>0.41145506949503208</v>
      </c>
      <c r="C21" s="72">
        <f t="shared" ca="1" si="0"/>
        <v>9.7352740994706921E-2</v>
      </c>
      <c r="D21" s="72">
        <f t="shared" ca="1" si="1"/>
        <v>13.252550192351459</v>
      </c>
      <c r="E21" s="72">
        <f t="shared" ca="1" si="2"/>
        <v>2.2760763158362156</v>
      </c>
      <c r="F21" s="72">
        <f t="shared" ca="1" si="3"/>
        <v>209.7157320568954</v>
      </c>
      <c r="G21" s="72">
        <f t="shared" ca="1" si="4"/>
        <v>3.7894351741448702</v>
      </c>
      <c r="H21" s="72">
        <f t="shared" ca="1" si="5"/>
        <v>213.50516723104028</v>
      </c>
      <c r="I21" s="72">
        <f t="shared" ca="1" si="6"/>
        <v>215.78124354687648</v>
      </c>
      <c r="J21" s="72">
        <f t="shared" ca="1" si="7"/>
        <v>6.0655114899810769</v>
      </c>
    </row>
    <row r="22" spans="1:10" ht="18" x14ac:dyDescent="0.3">
      <c r="A22" s="86">
        <v>8</v>
      </c>
      <c r="B22" s="72">
        <f t="shared" ca="1" si="0"/>
        <v>0.93958923098098635</v>
      </c>
      <c r="C22" s="72">
        <f t="shared" ca="1" si="0"/>
        <v>0.20133092092894023</v>
      </c>
      <c r="D22" s="72">
        <f t="shared" ca="1" si="1"/>
        <v>70.164697372931315</v>
      </c>
      <c r="E22" s="72">
        <f t="shared" ca="1" si="2"/>
        <v>4.9957463973276521</v>
      </c>
      <c r="F22" s="72">
        <f t="shared" ca="1" si="3"/>
        <v>279.88042942982673</v>
      </c>
      <c r="G22" s="72">
        <f t="shared" ca="1" si="4"/>
        <v>0</v>
      </c>
      <c r="H22" s="72">
        <f t="shared" ca="1" si="5"/>
        <v>279.88042942982673</v>
      </c>
      <c r="I22" s="72">
        <f t="shared" ca="1" si="6"/>
        <v>284.87617582715438</v>
      </c>
      <c r="J22" s="72">
        <f t="shared" ca="1" si="7"/>
        <v>4.9957463973276504</v>
      </c>
    </row>
    <row r="23" spans="1:10" ht="18" x14ac:dyDescent="0.3">
      <c r="A23" s="86">
        <v>9</v>
      </c>
      <c r="B23" s="72">
        <f t="shared" ca="1" si="0"/>
        <v>2.2327301141596978E-3</v>
      </c>
      <c r="C23" s="72">
        <f t="shared" ca="1" si="0"/>
        <v>0.51536095348449773</v>
      </c>
      <c r="D23" s="72">
        <f t="shared" ca="1" si="1"/>
        <v>5.588065930951084E-2</v>
      </c>
      <c r="E23" s="72">
        <f t="shared" ca="1" si="2"/>
        <v>16.09668664695349</v>
      </c>
      <c r="F23" s="72">
        <f t="shared" ca="1" si="3"/>
        <v>279.93631008913627</v>
      </c>
      <c r="G23" s="72">
        <f t="shared" ca="1" si="4"/>
        <v>4.9398657380181135</v>
      </c>
      <c r="H23" s="72">
        <f t="shared" ca="1" si="5"/>
        <v>284.87617582715438</v>
      </c>
      <c r="I23" s="72">
        <f t="shared" ca="1" si="6"/>
        <v>300.9728624741079</v>
      </c>
      <c r="J23" s="72">
        <f t="shared" ca="1" si="7"/>
        <v>21.036552384971628</v>
      </c>
    </row>
    <row r="24" spans="1:10" ht="18" x14ac:dyDescent="0.3">
      <c r="A24" s="86">
        <v>10</v>
      </c>
      <c r="B24" s="72">
        <f t="shared" ca="1" si="0"/>
        <v>0.96916342381542675</v>
      </c>
      <c r="C24" s="72">
        <f t="shared" ca="1" si="0"/>
        <v>0.93943807318232264</v>
      </c>
      <c r="D24" s="72">
        <f t="shared" ca="1" si="1"/>
        <v>86.976343877712267</v>
      </c>
      <c r="E24" s="72">
        <f t="shared" ca="1" si="2"/>
        <v>62.313085637483013</v>
      </c>
      <c r="F24" s="72">
        <f t="shared" ca="1" si="3"/>
        <v>366.91265396684855</v>
      </c>
      <c r="G24" s="72">
        <f t="shared" ca="1" si="4"/>
        <v>0</v>
      </c>
      <c r="H24" s="72">
        <f t="shared" ca="1" si="5"/>
        <v>366.91265396684855</v>
      </c>
      <c r="I24" s="72">
        <f t="shared" ca="1" si="6"/>
        <v>429.22573960433158</v>
      </c>
      <c r="J24" s="72">
        <f t="shared" ca="1" si="7"/>
        <v>62.313085637483027</v>
      </c>
    </row>
    <row r="25" spans="1:10" ht="18" x14ac:dyDescent="0.3">
      <c r="A25" s="86">
        <v>11</v>
      </c>
      <c r="B25" s="72">
        <f t="shared" ca="1" si="0"/>
        <v>0.28064175811870862</v>
      </c>
      <c r="C25" s="72">
        <f t="shared" ca="1" si="0"/>
        <v>0.40680413381598779</v>
      </c>
      <c r="D25" s="72">
        <f t="shared" ca="1" si="1"/>
        <v>8.2348948790973626</v>
      </c>
      <c r="E25" s="72">
        <f t="shared" ca="1" si="2"/>
        <v>11.605125275871828</v>
      </c>
      <c r="F25" s="72">
        <f t="shared" ca="1" si="3"/>
        <v>375.14754884594589</v>
      </c>
      <c r="G25" s="72">
        <f t="shared" ca="1" si="4"/>
        <v>54.078190758385688</v>
      </c>
      <c r="H25" s="72">
        <f t="shared" ca="1" si="5"/>
        <v>429.22573960433158</v>
      </c>
      <c r="I25" s="72">
        <f t="shared" ca="1" si="6"/>
        <v>440.83086488020342</v>
      </c>
      <c r="J25" s="72">
        <f t="shared" ca="1" si="7"/>
        <v>65.68331603425753</v>
      </c>
    </row>
    <row r="26" spans="1:10" ht="18" x14ac:dyDescent="0.3">
      <c r="A26" s="86">
        <v>12</v>
      </c>
      <c r="B26" s="72">
        <f t="shared" ca="1" si="0"/>
        <v>0.92588788768308605</v>
      </c>
      <c r="C26" s="72">
        <f t="shared" ca="1" si="0"/>
        <v>0.63172388956901415</v>
      </c>
      <c r="D26" s="72">
        <f t="shared" ca="1" si="1"/>
        <v>65.054407524260228</v>
      </c>
      <c r="E26" s="72">
        <f t="shared" ca="1" si="2"/>
        <v>22.198273823631087</v>
      </c>
      <c r="F26" s="72">
        <f t="shared" ca="1" si="3"/>
        <v>440.20195637020612</v>
      </c>
      <c r="G26" s="72">
        <f t="shared" ca="1" si="4"/>
        <v>0.62890850999730219</v>
      </c>
      <c r="H26" s="72">
        <f t="shared" ca="1" si="5"/>
        <v>440.83086488020342</v>
      </c>
      <c r="I26" s="72">
        <f t="shared" ca="1" si="6"/>
        <v>463.02913870383452</v>
      </c>
      <c r="J26" s="72">
        <f t="shared" ca="1" si="7"/>
        <v>22.8271823336284</v>
      </c>
    </row>
    <row r="27" spans="1:10" ht="18" x14ac:dyDescent="0.3">
      <c r="A27" s="86">
        <v>13</v>
      </c>
      <c r="B27" s="72">
        <f t="shared" ca="1" si="0"/>
        <v>0.79545654005855271</v>
      </c>
      <c r="C27" s="72">
        <f t="shared" ca="1" si="0"/>
        <v>0.38638339787365128</v>
      </c>
      <c r="D27" s="72">
        <f t="shared" ca="1" si="1"/>
        <v>39.674370200673891</v>
      </c>
      <c r="E27" s="72">
        <f t="shared" ca="1" si="2"/>
        <v>10.852999386105258</v>
      </c>
      <c r="F27" s="72">
        <f t="shared" ca="1" si="3"/>
        <v>479.87632657088</v>
      </c>
      <c r="G27" s="72">
        <f t="shared" ca="1" si="4"/>
        <v>0</v>
      </c>
      <c r="H27" s="72">
        <f t="shared" ca="1" si="5"/>
        <v>479.87632657088</v>
      </c>
      <c r="I27" s="72">
        <f t="shared" ca="1" si="6"/>
        <v>490.72932595698524</v>
      </c>
      <c r="J27" s="72">
        <f t="shared" ca="1" si="7"/>
        <v>10.852999386105239</v>
      </c>
    </row>
    <row r="28" spans="1:10" ht="18" x14ac:dyDescent="0.3">
      <c r="A28" s="86">
        <v>14</v>
      </c>
      <c r="B28" s="72">
        <f t="shared" ca="1" si="0"/>
        <v>0.16305304675951326</v>
      </c>
      <c r="C28" s="72">
        <f t="shared" ca="1" si="0"/>
        <v>0.20698344156083459</v>
      </c>
      <c r="D28" s="72">
        <f t="shared" ca="1" si="1"/>
        <v>4.4498646938148481</v>
      </c>
      <c r="E28" s="72">
        <f t="shared" ca="1" si="2"/>
        <v>5.153581706882691</v>
      </c>
      <c r="F28" s="72">
        <f t="shared" ca="1" si="3"/>
        <v>484.32619126469484</v>
      </c>
      <c r="G28" s="72">
        <f t="shared" ca="1" si="4"/>
        <v>6.4031346922903936</v>
      </c>
      <c r="H28" s="72">
        <f t="shared" ca="1" si="5"/>
        <v>490.72932595698524</v>
      </c>
      <c r="I28" s="72">
        <f t="shared" ca="1" si="6"/>
        <v>495.88290766386791</v>
      </c>
      <c r="J28" s="72">
        <f t="shared" ca="1" si="7"/>
        <v>11.556716399173069</v>
      </c>
    </row>
    <row r="29" spans="1:10" ht="18" x14ac:dyDescent="0.3">
      <c r="A29" s="86">
        <v>15</v>
      </c>
      <c r="B29" s="72">
        <f t="shared" ca="1" si="0"/>
        <v>0.98269962901374097</v>
      </c>
      <c r="C29" s="72">
        <f t="shared" ca="1" si="0"/>
        <v>0.61045940380551111</v>
      </c>
      <c r="D29" s="72">
        <f t="shared" ca="1" si="1"/>
        <v>101.42568333539749</v>
      </c>
      <c r="E29" s="72">
        <f t="shared" ca="1" si="2"/>
        <v>20.950826503833802</v>
      </c>
      <c r="F29" s="72">
        <f t="shared" ca="1" si="3"/>
        <v>585.75187460009238</v>
      </c>
      <c r="G29" s="72">
        <f t="shared" ca="1" si="4"/>
        <v>0</v>
      </c>
      <c r="H29" s="72">
        <f t="shared" ca="1" si="5"/>
        <v>585.75187460009238</v>
      </c>
      <c r="I29" s="72">
        <f t="shared" ca="1" si="6"/>
        <v>606.70270110392619</v>
      </c>
      <c r="J29" s="72">
        <f t="shared" ca="1" si="7"/>
        <v>20.95082650383381</v>
      </c>
    </row>
    <row r="30" spans="1:10" ht="18" x14ac:dyDescent="0.3">
      <c r="A30" s="86">
        <v>16</v>
      </c>
      <c r="B30" s="72">
        <f t="shared" ca="1" si="0"/>
        <v>0.92689914477224833</v>
      </c>
      <c r="C30" s="72">
        <f t="shared" ca="1" si="0"/>
        <v>0.39770606364861005</v>
      </c>
      <c r="D30" s="72">
        <f t="shared" ca="1" si="1"/>
        <v>65.397880321819855</v>
      </c>
      <c r="E30" s="72">
        <f t="shared" ca="1" si="2"/>
        <v>11.266881921602552</v>
      </c>
      <c r="F30" s="72">
        <f t="shared" ca="1" si="3"/>
        <v>651.14975492191229</v>
      </c>
      <c r="G30" s="72">
        <f t="shared" ca="1" si="4"/>
        <v>0</v>
      </c>
      <c r="H30" s="72">
        <f t="shared" ca="1" si="5"/>
        <v>651.14975492191229</v>
      </c>
      <c r="I30" s="72">
        <f t="shared" ca="1" si="6"/>
        <v>662.41663684351488</v>
      </c>
      <c r="J30" s="72">
        <f t="shared" ca="1" si="7"/>
        <v>11.26688192160259</v>
      </c>
    </row>
    <row r="31" spans="1:10" ht="18" x14ac:dyDescent="0.3">
      <c r="A31" s="86">
        <v>17</v>
      </c>
      <c r="B31" s="72">
        <f t="shared" ca="1" si="0"/>
        <v>0.52320637077782373</v>
      </c>
      <c r="C31" s="72">
        <f t="shared" ca="1" si="0"/>
        <v>0.37384371691743101</v>
      </c>
      <c r="D31" s="72">
        <f t="shared" ca="1" si="1"/>
        <v>18.51678812127334</v>
      </c>
      <c r="E31" s="72">
        <f t="shared" ca="1" si="2"/>
        <v>10.40345079008339</v>
      </c>
      <c r="F31" s="72">
        <f t="shared" ca="1" si="3"/>
        <v>669.66654304318558</v>
      </c>
      <c r="G31" s="72">
        <f t="shared" ca="1" si="4"/>
        <v>0</v>
      </c>
      <c r="H31" s="72">
        <f t="shared" ca="1" si="5"/>
        <v>669.66654304318558</v>
      </c>
      <c r="I31" s="72">
        <f t="shared" ca="1" si="6"/>
        <v>680.069993833269</v>
      </c>
      <c r="J31" s="72">
        <f t="shared" ca="1" si="7"/>
        <v>10.403450790083411</v>
      </c>
    </row>
    <row r="32" spans="1:10" ht="18" x14ac:dyDescent="0.3">
      <c r="A32" s="86">
        <v>18</v>
      </c>
      <c r="B32" s="72">
        <f t="shared" ca="1" si="0"/>
        <v>8.9373424623036657E-2</v>
      </c>
      <c r="C32" s="72">
        <f t="shared" ca="1" si="0"/>
        <v>4.8304552761874398E-2</v>
      </c>
      <c r="D32" s="72">
        <f t="shared" ca="1" si="1"/>
        <v>2.3405593009717904</v>
      </c>
      <c r="E32" s="72">
        <f t="shared" ca="1" si="2"/>
        <v>1.1002267496818137</v>
      </c>
      <c r="F32" s="72">
        <f t="shared" ca="1" si="3"/>
        <v>672.00710234415737</v>
      </c>
      <c r="G32" s="72">
        <f t="shared" ca="1" si="4"/>
        <v>8.062891489111621</v>
      </c>
      <c r="H32" s="72">
        <f t="shared" ca="1" si="5"/>
        <v>680.069993833269</v>
      </c>
      <c r="I32" s="72">
        <f t="shared" ca="1" si="6"/>
        <v>681.17022058295083</v>
      </c>
      <c r="J32" s="72">
        <f t="shared" ca="1" si="7"/>
        <v>9.1631182387934587</v>
      </c>
    </row>
    <row r="33" spans="1:10" ht="18" x14ac:dyDescent="0.3">
      <c r="A33" s="86">
        <v>19</v>
      </c>
      <c r="B33" s="72">
        <f t="shared" ca="1" si="0"/>
        <v>0.88444429133513802</v>
      </c>
      <c r="C33" s="72">
        <f t="shared" ca="1" si="0"/>
        <v>0.1568432811356073</v>
      </c>
      <c r="D33" s="72">
        <f t="shared" ca="1" si="1"/>
        <v>53.950063479985829</v>
      </c>
      <c r="E33" s="72">
        <f t="shared" ca="1" si="2"/>
        <v>3.7911651584994832</v>
      </c>
      <c r="F33" s="72">
        <f t="shared" ca="1" si="3"/>
        <v>725.9571658241432</v>
      </c>
      <c r="G33" s="72">
        <f t="shared" ca="1" si="4"/>
        <v>0</v>
      </c>
      <c r="H33" s="72">
        <f t="shared" ca="1" si="5"/>
        <v>725.9571658241432</v>
      </c>
      <c r="I33" s="72">
        <f t="shared" ca="1" si="6"/>
        <v>729.74833098264264</v>
      </c>
      <c r="J33" s="72">
        <f t="shared" ca="1" si="7"/>
        <v>3.7911651584994388</v>
      </c>
    </row>
    <row r="34" spans="1:10" ht="18" x14ac:dyDescent="0.3">
      <c r="A34" s="86">
        <v>20</v>
      </c>
      <c r="B34" s="72">
        <f t="shared" ca="1" si="0"/>
        <v>0.46636999199109552</v>
      </c>
      <c r="C34" s="72">
        <f t="shared" ca="1" si="0"/>
        <v>0.25490745030595419</v>
      </c>
      <c r="D34" s="72">
        <f t="shared" ca="1" si="1"/>
        <v>15.701313726592787</v>
      </c>
      <c r="E34" s="72">
        <f t="shared" ca="1" si="2"/>
        <v>6.5388186786881359</v>
      </c>
      <c r="F34" s="72">
        <f t="shared" ca="1" si="3"/>
        <v>741.65847955073605</v>
      </c>
      <c r="G34" s="72">
        <f t="shared" ca="1" si="4"/>
        <v>0</v>
      </c>
      <c r="H34" s="72">
        <f t="shared" ca="1" si="5"/>
        <v>741.65847955073605</v>
      </c>
      <c r="I34" s="72">
        <f t="shared" ca="1" si="6"/>
        <v>748.19729822942418</v>
      </c>
      <c r="J34" s="72">
        <f t="shared" ca="1" si="7"/>
        <v>6.5388186786881306</v>
      </c>
    </row>
    <row r="35" spans="1:10" ht="18" x14ac:dyDescent="0.3">
      <c r="A35" s="86">
        <v>21</v>
      </c>
      <c r="B35" s="72">
        <f t="shared" ca="1" si="0"/>
        <v>0.8882179669351935</v>
      </c>
      <c r="C35" s="72">
        <f t="shared" ca="1" si="0"/>
        <v>0.19338163629159599</v>
      </c>
      <c r="D35" s="72">
        <f t="shared" ca="1" si="1"/>
        <v>54.780110930375884</v>
      </c>
      <c r="E35" s="72">
        <f t="shared" ca="1" si="2"/>
        <v>4.7756584442822456</v>
      </c>
      <c r="F35" s="72">
        <f t="shared" ca="1" si="3"/>
        <v>796.43859048111199</v>
      </c>
      <c r="G35" s="72">
        <f t="shared" ca="1" si="4"/>
        <v>0</v>
      </c>
      <c r="H35" s="72">
        <f t="shared" ca="1" si="5"/>
        <v>796.43859048111199</v>
      </c>
      <c r="I35" s="72">
        <f t="shared" ca="1" si="6"/>
        <v>801.21424892539426</v>
      </c>
      <c r="J35" s="72">
        <f t="shared" ca="1" si="7"/>
        <v>4.7756584442822714</v>
      </c>
    </row>
    <row r="36" spans="1:10" ht="18" x14ac:dyDescent="0.3">
      <c r="A36" s="86">
        <v>22</v>
      </c>
      <c r="B36" s="72">
        <f t="shared" ca="1" si="0"/>
        <v>0.76162480926316756</v>
      </c>
      <c r="C36" s="72">
        <f t="shared" ca="1" si="0"/>
        <v>0.71116664065663748</v>
      </c>
      <c r="D36" s="72">
        <f t="shared" ca="1" si="1"/>
        <v>35.847735372683985</v>
      </c>
      <c r="E36" s="72">
        <f t="shared" ca="1" si="2"/>
        <v>27.597897076501244</v>
      </c>
      <c r="F36" s="72">
        <f t="shared" ca="1" si="3"/>
        <v>832.28632585379592</v>
      </c>
      <c r="G36" s="72">
        <f t="shared" ca="1" si="4"/>
        <v>0</v>
      </c>
      <c r="H36" s="72">
        <f t="shared" ca="1" si="5"/>
        <v>832.28632585379592</v>
      </c>
      <c r="I36" s="72">
        <f t="shared" ca="1" si="6"/>
        <v>859.88422293029714</v>
      </c>
      <c r="J36" s="72">
        <f t="shared" ca="1" si="7"/>
        <v>27.597897076501226</v>
      </c>
    </row>
    <row r="37" spans="1:10" ht="18" x14ac:dyDescent="0.3">
      <c r="A37" s="86">
        <v>23</v>
      </c>
      <c r="B37" s="72">
        <f t="shared" ca="1" si="0"/>
        <v>0.20925940968004542</v>
      </c>
      <c r="C37" s="72">
        <f t="shared" ca="1" si="0"/>
        <v>0.35689947348125362</v>
      </c>
      <c r="D37" s="72">
        <f t="shared" ca="1" si="1"/>
        <v>5.8696329139351437</v>
      </c>
      <c r="E37" s="72">
        <f t="shared" ca="1" si="2"/>
        <v>9.8100939360397295</v>
      </c>
      <c r="F37" s="72">
        <f t="shared" ca="1" si="3"/>
        <v>838.15595876773102</v>
      </c>
      <c r="G37" s="72">
        <f t="shared" ca="1" si="4"/>
        <v>21.72826416256612</v>
      </c>
      <c r="H37" s="72">
        <f t="shared" ca="1" si="5"/>
        <v>859.88422293029714</v>
      </c>
      <c r="I37" s="72">
        <f t="shared" ca="1" si="6"/>
        <v>869.69431686633686</v>
      </c>
      <c r="J37" s="72">
        <f t="shared" ca="1" si="7"/>
        <v>31.53835809860584</v>
      </c>
    </row>
    <row r="38" spans="1:10" ht="18" x14ac:dyDescent="0.3">
      <c r="A38" s="86">
        <v>24</v>
      </c>
      <c r="B38" s="72">
        <f t="shared" ca="1" si="0"/>
        <v>0.99447076225540587</v>
      </c>
      <c r="C38" s="72">
        <f t="shared" ca="1" si="0"/>
        <v>0.71479860264902828</v>
      </c>
      <c r="D38" s="72">
        <f t="shared" ca="1" si="1"/>
        <v>129.94263282464831</v>
      </c>
      <c r="E38" s="72">
        <f t="shared" ca="1" si="2"/>
        <v>27.879104242364715</v>
      </c>
      <c r="F38" s="72">
        <f t="shared" ca="1" si="3"/>
        <v>968.09859159237931</v>
      </c>
      <c r="G38" s="72">
        <f t="shared" ca="1" si="4"/>
        <v>0</v>
      </c>
      <c r="H38" s="72">
        <f t="shared" ca="1" si="5"/>
        <v>968.09859159237931</v>
      </c>
      <c r="I38" s="72">
        <f t="shared" ca="1" si="6"/>
        <v>995.97769583474405</v>
      </c>
      <c r="J38" s="72">
        <f t="shared" ca="1" si="7"/>
        <v>27.879104242364747</v>
      </c>
    </row>
    <row r="39" spans="1:10" ht="18" x14ac:dyDescent="0.3">
      <c r="A39" s="86">
        <v>25</v>
      </c>
      <c r="B39" s="72">
        <f t="shared" ca="1" si="0"/>
        <v>0.94301887760490199</v>
      </c>
      <c r="C39" s="72">
        <f t="shared" ca="1" si="0"/>
        <v>1.2204216678236346E-2</v>
      </c>
      <c r="D39" s="72">
        <f t="shared" ca="1" si="1"/>
        <v>71.625881301317776</v>
      </c>
      <c r="E39" s="72">
        <f t="shared" ca="1" si="2"/>
        <v>0.27287332537325093</v>
      </c>
      <c r="F39" s="72">
        <f t="shared" ca="1" si="3"/>
        <v>1039.7244728936971</v>
      </c>
      <c r="G39" s="72">
        <f t="shared" ca="1" si="4"/>
        <v>0</v>
      </c>
      <c r="H39" s="72">
        <f t="shared" ca="1" si="5"/>
        <v>1039.7244728936971</v>
      </c>
      <c r="I39" s="72">
        <f t="shared" ca="1" si="6"/>
        <v>1039.9973462190703</v>
      </c>
      <c r="J39" s="72">
        <f t="shared" ca="1" si="7"/>
        <v>0.27287332537321163</v>
      </c>
    </row>
    <row r="40" spans="1:10" ht="18" x14ac:dyDescent="0.3">
      <c r="A40" s="86">
        <v>26</v>
      </c>
      <c r="B40" s="72">
        <f t="shared" ca="1" si="0"/>
        <v>0.5794228558872474</v>
      </c>
      <c r="C40" s="72">
        <f t="shared" ca="1" si="0"/>
        <v>0.26034662879079495</v>
      </c>
      <c r="D40" s="72">
        <f t="shared" ca="1" si="1"/>
        <v>21.653183958475477</v>
      </c>
      <c r="E40" s="72">
        <f t="shared" ca="1" si="2"/>
        <v>6.7016359957872744</v>
      </c>
      <c r="F40" s="72">
        <f t="shared" ca="1" si="3"/>
        <v>1061.3776568521725</v>
      </c>
      <c r="G40" s="72">
        <f t="shared" ca="1" si="4"/>
        <v>0</v>
      </c>
      <c r="H40" s="72">
        <f t="shared" ca="1" si="5"/>
        <v>1061.3776568521725</v>
      </c>
      <c r="I40" s="72">
        <f t="shared" ca="1" si="6"/>
        <v>1068.0792928479598</v>
      </c>
      <c r="J40" s="72">
        <f t="shared" ca="1" si="7"/>
        <v>6.7016359957872282</v>
      </c>
    </row>
    <row r="41" spans="1:10" ht="18" x14ac:dyDescent="0.3">
      <c r="A41" s="86">
        <v>27</v>
      </c>
      <c r="B41" s="72">
        <f t="shared" ca="1" si="0"/>
        <v>0.61477356682448669</v>
      </c>
      <c r="C41" s="72">
        <f t="shared" ca="1" si="0"/>
        <v>0.85245062719395104</v>
      </c>
      <c r="D41" s="72">
        <f t="shared" ca="1" si="1"/>
        <v>23.848099486539397</v>
      </c>
      <c r="E41" s="72">
        <f t="shared" ca="1" si="2"/>
        <v>42.524276184970674</v>
      </c>
      <c r="F41" s="72">
        <f t="shared" ca="1" si="3"/>
        <v>1085.225756338712</v>
      </c>
      <c r="G41" s="72">
        <f t="shared" ca="1" si="4"/>
        <v>0</v>
      </c>
      <c r="H41" s="72">
        <f t="shared" ca="1" si="5"/>
        <v>1085.225756338712</v>
      </c>
      <c r="I41" s="72">
        <f t="shared" ca="1" si="6"/>
        <v>1127.7500325236826</v>
      </c>
      <c r="J41" s="72">
        <f t="shared" ca="1" si="7"/>
        <v>42.524276184970631</v>
      </c>
    </row>
    <row r="42" spans="1:10" ht="18" x14ac:dyDescent="0.3">
      <c r="A42" s="86">
        <v>28</v>
      </c>
      <c r="B42" s="72">
        <f t="shared" ca="1" si="0"/>
        <v>0.51448124394132566</v>
      </c>
      <c r="C42" s="72">
        <f t="shared" ca="1" si="0"/>
        <v>0.59659624321719684</v>
      </c>
      <c r="D42" s="72">
        <f t="shared" ca="1" si="1"/>
        <v>18.063433988458051</v>
      </c>
      <c r="E42" s="72">
        <f t="shared" ca="1" si="2"/>
        <v>20.17371868238148</v>
      </c>
      <c r="F42" s="72">
        <f t="shared" ca="1" si="3"/>
        <v>1103.28919032717</v>
      </c>
      <c r="G42" s="72">
        <f t="shared" ca="1" si="4"/>
        <v>24.460842196512658</v>
      </c>
      <c r="H42" s="72">
        <f t="shared" ca="1" si="5"/>
        <v>1127.7500325236826</v>
      </c>
      <c r="I42" s="72">
        <f t="shared" ca="1" si="6"/>
        <v>1147.923751206064</v>
      </c>
      <c r="J42" s="72">
        <f t="shared" ca="1" si="7"/>
        <v>44.634560878894035</v>
      </c>
    </row>
    <row r="43" spans="1:10" ht="18" x14ac:dyDescent="0.3">
      <c r="A43" s="86">
        <v>29</v>
      </c>
      <c r="B43" s="72">
        <f t="shared" ca="1" si="0"/>
        <v>0.96164874486472551</v>
      </c>
      <c r="C43" s="72">
        <f t="shared" ca="1" si="0"/>
        <v>0.2395095404161498</v>
      </c>
      <c r="D43" s="72">
        <f t="shared" ca="1" si="1"/>
        <v>81.524200581871327</v>
      </c>
      <c r="E43" s="72">
        <f t="shared" ca="1" si="2"/>
        <v>6.0842602730529212</v>
      </c>
      <c r="F43" s="72">
        <f t="shared" ca="1" si="3"/>
        <v>1184.8133909090413</v>
      </c>
      <c r="G43" s="72">
        <f t="shared" ca="1" si="4"/>
        <v>0</v>
      </c>
      <c r="H43" s="72">
        <f t="shared" ca="1" si="5"/>
        <v>1184.8133909090413</v>
      </c>
      <c r="I43" s="72">
        <f t="shared" ca="1" si="6"/>
        <v>1190.8976511820943</v>
      </c>
      <c r="J43" s="72">
        <f t="shared" ca="1" si="7"/>
        <v>6.0842602730529052</v>
      </c>
    </row>
    <row r="44" spans="1:10" ht="18" x14ac:dyDescent="0.3">
      <c r="A44" s="86">
        <v>30</v>
      </c>
      <c r="B44" s="72">
        <f t="shared" ca="1" si="0"/>
        <v>0.64267868838249509</v>
      </c>
      <c r="C44" s="72">
        <f t="shared" ca="1" si="0"/>
        <v>0.10687058018528461</v>
      </c>
      <c r="D44" s="72">
        <f t="shared" ca="1" si="1"/>
        <v>25.727996736172333</v>
      </c>
      <c r="E44" s="72">
        <f t="shared" ca="1" si="2"/>
        <v>2.5116395911640272</v>
      </c>
      <c r="F44" s="72">
        <f t="shared" ca="1" si="3"/>
        <v>1210.5413876452137</v>
      </c>
      <c r="G44" s="72">
        <f t="shared" ca="1" si="4"/>
        <v>0</v>
      </c>
      <c r="H44" s="72">
        <f t="shared" ca="1" si="5"/>
        <v>1210.5413876452137</v>
      </c>
      <c r="I44" s="72">
        <f t="shared" ca="1" si="6"/>
        <v>1213.0530272363778</v>
      </c>
      <c r="J44" s="72">
        <f t="shared" ca="1" si="7"/>
        <v>2.5116395911641121</v>
      </c>
    </row>
    <row r="45" spans="1:10" ht="18" x14ac:dyDescent="0.3">
      <c r="A45" s="86">
        <v>31</v>
      </c>
      <c r="B45" s="72">
        <f t="shared" ca="1" si="0"/>
        <v>0.51216378476315971</v>
      </c>
      <c r="C45" s="72">
        <f t="shared" ca="1" si="0"/>
        <v>0.25136860188532972</v>
      </c>
      <c r="D45" s="72">
        <f t="shared" ca="1" si="1"/>
        <v>17.944388849454352</v>
      </c>
      <c r="E45" s="72">
        <f t="shared" ca="1" si="2"/>
        <v>6.4335231543535487</v>
      </c>
      <c r="F45" s="72">
        <f t="shared" ca="1" si="3"/>
        <v>1228.485776494668</v>
      </c>
      <c r="G45" s="72">
        <f t="shared" ca="1" si="4"/>
        <v>0</v>
      </c>
      <c r="H45" s="72">
        <f t="shared" ca="1" si="5"/>
        <v>1228.485776494668</v>
      </c>
      <c r="I45" s="72">
        <f t="shared" ca="1" si="6"/>
        <v>1234.9192996490215</v>
      </c>
      <c r="J45" s="72">
        <f t="shared" ca="1" si="7"/>
        <v>6.4335231543534519</v>
      </c>
    </row>
    <row r="46" spans="1:10" ht="18" x14ac:dyDescent="0.3">
      <c r="A46" s="86">
        <v>32</v>
      </c>
      <c r="B46" s="72">
        <f t="shared" ca="1" si="0"/>
        <v>0.94421255617983968</v>
      </c>
      <c r="C46" s="72">
        <f t="shared" ca="1" si="0"/>
        <v>3.7858835355372489E-2</v>
      </c>
      <c r="D46" s="72">
        <f t="shared" ca="1" si="1"/>
        <v>72.155161401500209</v>
      </c>
      <c r="E46" s="72">
        <f t="shared" ca="1" si="2"/>
        <v>0.85764662859948404</v>
      </c>
      <c r="F46" s="72">
        <f t="shared" ca="1" si="3"/>
        <v>1300.6409378961682</v>
      </c>
      <c r="G46" s="72">
        <f t="shared" ca="1" si="4"/>
        <v>0</v>
      </c>
      <c r="H46" s="72">
        <f t="shared" ca="1" si="5"/>
        <v>1300.6409378961682</v>
      </c>
      <c r="I46" s="72">
        <f t="shared" ca="1" si="6"/>
        <v>1301.4985845247677</v>
      </c>
      <c r="J46" s="72">
        <f t="shared" ca="1" si="7"/>
        <v>0.85764662859946839</v>
      </c>
    </row>
    <row r="47" spans="1:10" ht="18" x14ac:dyDescent="0.3">
      <c r="A47" s="86">
        <v>33</v>
      </c>
      <c r="B47" s="72">
        <f t="shared" ca="1" si="0"/>
        <v>0.15783326441381706</v>
      </c>
      <c r="C47" s="72">
        <f t="shared" ca="1" si="0"/>
        <v>0.26547472383556669</v>
      </c>
      <c r="D47" s="72">
        <f t="shared" ca="1" si="1"/>
        <v>4.2944315270582125</v>
      </c>
      <c r="E47" s="72">
        <f t="shared" ca="1" si="2"/>
        <v>6.8562415824646985</v>
      </c>
      <c r="F47" s="72">
        <f t="shared" ca="1" si="3"/>
        <v>1304.9353694232263</v>
      </c>
      <c r="G47" s="72">
        <f t="shared" ca="1" si="4"/>
        <v>0</v>
      </c>
      <c r="H47" s="72">
        <f t="shared" ca="1" si="5"/>
        <v>1304.9353694232263</v>
      </c>
      <c r="I47" s="72">
        <f t="shared" ca="1" si="6"/>
        <v>1311.791611005691</v>
      </c>
      <c r="J47" s="72">
        <f t="shared" ca="1" si="7"/>
        <v>6.8562415824646905</v>
      </c>
    </row>
    <row r="48" spans="1:10" ht="18" x14ac:dyDescent="0.3">
      <c r="A48" s="86">
        <v>34</v>
      </c>
      <c r="B48" s="72">
        <f t="shared" ca="1" si="0"/>
        <v>5.9059887392398536E-2</v>
      </c>
      <c r="C48" s="72">
        <f t="shared" ca="1" si="0"/>
        <v>1.2803845207732811E-3</v>
      </c>
      <c r="D48" s="72">
        <f t="shared" ca="1" si="1"/>
        <v>1.5218945927341516</v>
      </c>
      <c r="E48" s="72">
        <f t="shared" ca="1" si="2"/>
        <v>2.8471220297493327E-2</v>
      </c>
      <c r="F48" s="72">
        <f t="shared" ca="1" si="3"/>
        <v>1306.4572640159604</v>
      </c>
      <c r="G48" s="72">
        <f t="shared" ca="1" si="4"/>
        <v>5.3343469897306477</v>
      </c>
      <c r="H48" s="72">
        <f t="shared" ca="1" si="5"/>
        <v>1311.791611005691</v>
      </c>
      <c r="I48" s="72">
        <f t="shared" ca="1" si="6"/>
        <v>1311.8200822259885</v>
      </c>
      <c r="J48" s="72">
        <f t="shared" ca="1" si="7"/>
        <v>5.362818210028081</v>
      </c>
    </row>
    <row r="49" spans="1:10" ht="18" x14ac:dyDescent="0.3">
      <c r="A49" s="86">
        <v>35</v>
      </c>
      <c r="B49" s="72">
        <f t="shared" ref="B49:C80" ca="1" si="8">RAND()</f>
        <v>0.58525978528307432</v>
      </c>
      <c r="C49" s="72">
        <f t="shared" ca="1" si="8"/>
        <v>0.10585454787262261</v>
      </c>
      <c r="D49" s="72">
        <f t="shared" ca="1" si="1"/>
        <v>22.002573584951076</v>
      </c>
      <c r="E49" s="72">
        <f t="shared" ca="1" si="2"/>
        <v>2.486373753632682</v>
      </c>
      <c r="F49" s="72">
        <f t="shared" ca="1" si="3"/>
        <v>1328.4598376009114</v>
      </c>
      <c r="G49" s="72">
        <f t="shared" ca="1" si="4"/>
        <v>0</v>
      </c>
      <c r="H49" s="72">
        <f t="shared" ca="1" si="5"/>
        <v>1328.4598376009114</v>
      </c>
      <c r="I49" s="72">
        <f t="shared" ca="1" si="6"/>
        <v>1330.9462113545442</v>
      </c>
      <c r="J49" s="72">
        <f t="shared" ca="1" si="7"/>
        <v>2.4863737536327335</v>
      </c>
    </row>
    <row r="50" spans="1:10" ht="18" x14ac:dyDescent="0.3">
      <c r="A50" s="86">
        <v>36</v>
      </c>
      <c r="B50" s="72">
        <f t="shared" ca="1" si="8"/>
        <v>0.29273238018614622</v>
      </c>
      <c r="C50" s="72">
        <f t="shared" ca="1" si="8"/>
        <v>0.28244471421348005</v>
      </c>
      <c r="D50" s="72">
        <f t="shared" ca="1" si="1"/>
        <v>8.6586538994256159</v>
      </c>
      <c r="E50" s="72">
        <f t="shared" ca="1" si="2"/>
        <v>7.375672910129226</v>
      </c>
      <c r="F50" s="72">
        <f t="shared" ca="1" si="3"/>
        <v>1337.1184915003371</v>
      </c>
      <c r="G50" s="72">
        <f t="shared" ca="1" si="4"/>
        <v>0</v>
      </c>
      <c r="H50" s="72">
        <f t="shared" ca="1" si="5"/>
        <v>1337.1184915003371</v>
      </c>
      <c r="I50" s="72">
        <f t="shared" ca="1" si="6"/>
        <v>1344.4941644104663</v>
      </c>
      <c r="J50" s="72">
        <f t="shared" ca="1" si="7"/>
        <v>7.3756729101291967</v>
      </c>
    </row>
    <row r="51" spans="1:10" ht="18" x14ac:dyDescent="0.3">
      <c r="A51" s="86">
        <v>37</v>
      </c>
      <c r="B51" s="72">
        <f t="shared" ca="1" si="8"/>
        <v>0.98132885341648479</v>
      </c>
      <c r="C51" s="72">
        <f t="shared" ca="1" si="8"/>
        <v>6.3499576794586399E-2</v>
      </c>
      <c r="D51" s="72">
        <f t="shared" ca="1" si="1"/>
        <v>99.519397754099089</v>
      </c>
      <c r="E51" s="72">
        <f t="shared" ca="1" si="2"/>
        <v>1.4578956710435591</v>
      </c>
      <c r="F51" s="72">
        <f t="shared" ca="1" si="3"/>
        <v>1436.6378892544362</v>
      </c>
      <c r="G51" s="72">
        <f t="shared" ca="1" si="4"/>
        <v>0</v>
      </c>
      <c r="H51" s="72">
        <f t="shared" ca="1" si="5"/>
        <v>1436.6378892544362</v>
      </c>
      <c r="I51" s="72">
        <f t="shared" ca="1" si="6"/>
        <v>1438.0957849254798</v>
      </c>
      <c r="J51" s="72">
        <f t="shared" ca="1" si="7"/>
        <v>1.4578956710436159</v>
      </c>
    </row>
    <row r="52" spans="1:10" ht="18" x14ac:dyDescent="0.3">
      <c r="A52" s="86">
        <v>38</v>
      </c>
      <c r="B52" s="72">
        <f t="shared" ca="1" si="8"/>
        <v>0.69911265853946769</v>
      </c>
      <c r="C52" s="72">
        <f t="shared" ca="1" si="8"/>
        <v>0.42414527826388437</v>
      </c>
      <c r="D52" s="72">
        <f t="shared" ca="1" si="1"/>
        <v>30.025484128896103</v>
      </c>
      <c r="E52" s="72">
        <f t="shared" ca="1" si="2"/>
        <v>12.26444154015538</v>
      </c>
      <c r="F52" s="72">
        <f t="shared" ca="1" si="3"/>
        <v>1466.6633733833323</v>
      </c>
      <c r="G52" s="72">
        <f t="shared" ca="1" si="4"/>
        <v>0</v>
      </c>
      <c r="H52" s="72">
        <f t="shared" ca="1" si="5"/>
        <v>1466.6633733833323</v>
      </c>
      <c r="I52" s="72">
        <f t="shared" ca="1" si="6"/>
        <v>1478.9278149234876</v>
      </c>
      <c r="J52" s="72">
        <f t="shared" ca="1" si="7"/>
        <v>12.264441540155303</v>
      </c>
    </row>
    <row r="53" spans="1:10" ht="18" x14ac:dyDescent="0.3">
      <c r="A53" s="86">
        <v>39</v>
      </c>
      <c r="B53" s="72">
        <f t="shared" ca="1" si="8"/>
        <v>2.5375687393120905E-2</v>
      </c>
      <c r="C53" s="72">
        <f t="shared" ca="1" si="8"/>
        <v>0.90871207677869414</v>
      </c>
      <c r="D53" s="72">
        <f t="shared" ca="1" si="1"/>
        <v>0.64258006606181661</v>
      </c>
      <c r="E53" s="72">
        <f t="shared" ca="1" si="2"/>
        <v>53.19415057578243</v>
      </c>
      <c r="F53" s="72">
        <f t="shared" ca="1" si="3"/>
        <v>1467.3059534493941</v>
      </c>
      <c r="G53" s="72">
        <f t="shared" ca="1" si="4"/>
        <v>11.621861474093521</v>
      </c>
      <c r="H53" s="72">
        <f t="shared" ca="1" si="5"/>
        <v>1478.9278149234876</v>
      </c>
      <c r="I53" s="72">
        <f t="shared" ca="1" si="6"/>
        <v>1532.1219654992701</v>
      </c>
      <c r="J53" s="72">
        <f t="shared" ca="1" si="7"/>
        <v>64.816012049876008</v>
      </c>
    </row>
    <row r="54" spans="1:10" ht="18" x14ac:dyDescent="0.3">
      <c r="A54" s="86">
        <v>40</v>
      </c>
      <c r="B54" s="72">
        <f t="shared" ca="1" si="8"/>
        <v>0.81883468970669537</v>
      </c>
      <c r="C54" s="72">
        <f t="shared" ca="1" si="8"/>
        <v>0.81554285848707042</v>
      </c>
      <c r="D54" s="72">
        <f t="shared" ca="1" si="1"/>
        <v>42.70863369996232</v>
      </c>
      <c r="E54" s="72">
        <f t="shared" ca="1" si="2"/>
        <v>37.563069729092611</v>
      </c>
      <c r="F54" s="72">
        <f t="shared" ca="1" si="3"/>
        <v>1510.0145871493564</v>
      </c>
      <c r="G54" s="72">
        <f t="shared" ca="1" si="4"/>
        <v>22.107378349913688</v>
      </c>
      <c r="H54" s="72">
        <f t="shared" ca="1" si="5"/>
        <v>1532.1219654992701</v>
      </c>
      <c r="I54" s="72">
        <f t="shared" ca="1" si="6"/>
        <v>1569.6850352283627</v>
      </c>
      <c r="J54" s="72">
        <f t="shared" ca="1" si="7"/>
        <v>59.670448079006292</v>
      </c>
    </row>
    <row r="55" spans="1:10" ht="18" x14ac:dyDescent="0.3">
      <c r="A55" s="86">
        <v>41</v>
      </c>
      <c r="B55" s="72">
        <f t="shared" ca="1" si="8"/>
        <v>0.61357346787730627</v>
      </c>
      <c r="C55" s="72">
        <f t="shared" ca="1" si="8"/>
        <v>0.45593683887978675</v>
      </c>
      <c r="D55" s="72">
        <f t="shared" ca="1" si="1"/>
        <v>23.770337852182443</v>
      </c>
      <c r="E55" s="72">
        <f t="shared" ca="1" si="2"/>
        <v>13.526442974788138</v>
      </c>
      <c r="F55" s="72">
        <f t="shared" ca="1" si="3"/>
        <v>1533.7849250015388</v>
      </c>
      <c r="G55" s="72">
        <f t="shared" ca="1" si="4"/>
        <v>35.900110226823926</v>
      </c>
      <c r="H55" s="72">
        <f t="shared" ca="1" si="5"/>
        <v>1569.6850352283627</v>
      </c>
      <c r="I55" s="72">
        <f t="shared" ca="1" si="6"/>
        <v>1583.2114782031508</v>
      </c>
      <c r="J55" s="72">
        <f t="shared" ca="1" si="7"/>
        <v>49.426553201612023</v>
      </c>
    </row>
    <row r="56" spans="1:10" ht="18" x14ac:dyDescent="0.3">
      <c r="A56" s="86">
        <v>42</v>
      </c>
      <c r="B56" s="72">
        <f t="shared" ca="1" si="8"/>
        <v>0.99667725784301253</v>
      </c>
      <c r="C56" s="72">
        <f t="shared" ca="1" si="8"/>
        <v>0.66894554217967661</v>
      </c>
      <c r="D56" s="72">
        <f t="shared" ca="1" si="1"/>
        <v>142.67412215159104</v>
      </c>
      <c r="E56" s="72">
        <f t="shared" ca="1" si="2"/>
        <v>24.566053155576032</v>
      </c>
      <c r="F56" s="72">
        <f t="shared" ca="1" si="3"/>
        <v>1676.4590471531299</v>
      </c>
      <c r="G56" s="72">
        <f t="shared" ca="1" si="4"/>
        <v>0</v>
      </c>
      <c r="H56" s="72">
        <f t="shared" ca="1" si="5"/>
        <v>1676.4590471531299</v>
      </c>
      <c r="I56" s="72">
        <f t="shared" ca="1" si="6"/>
        <v>1701.025100308706</v>
      </c>
      <c r="J56" s="72">
        <f t="shared" ca="1" si="7"/>
        <v>24.566053155576128</v>
      </c>
    </row>
    <row r="57" spans="1:10" ht="18" x14ac:dyDescent="0.3">
      <c r="A57" s="86">
        <v>43</v>
      </c>
      <c r="B57" s="72">
        <f t="shared" ca="1" si="8"/>
        <v>0.29778812667711152</v>
      </c>
      <c r="C57" s="72">
        <f t="shared" ca="1" si="8"/>
        <v>0.60463312977042305</v>
      </c>
      <c r="D57" s="72">
        <f t="shared" ca="1" si="1"/>
        <v>8.8380026660673856</v>
      </c>
      <c r="E57" s="72">
        <f t="shared" ca="1" si="2"/>
        <v>20.620914660976634</v>
      </c>
      <c r="F57" s="72">
        <f t="shared" ca="1" si="3"/>
        <v>1685.2970498191974</v>
      </c>
      <c r="G57" s="72">
        <f t="shared" ca="1" si="4"/>
        <v>15.728050489508632</v>
      </c>
      <c r="H57" s="72">
        <f t="shared" ca="1" si="5"/>
        <v>1701.025100308706</v>
      </c>
      <c r="I57" s="72">
        <f t="shared" ca="1" si="6"/>
        <v>1721.6460149696827</v>
      </c>
      <c r="J57" s="72">
        <f t="shared" ca="1" si="7"/>
        <v>36.348965150485355</v>
      </c>
    </row>
    <row r="58" spans="1:10" ht="18" x14ac:dyDescent="0.3">
      <c r="A58" s="86">
        <v>44</v>
      </c>
      <c r="B58" s="72">
        <f t="shared" ca="1" si="8"/>
        <v>0.81677922254673763</v>
      </c>
      <c r="C58" s="72">
        <f t="shared" ca="1" si="8"/>
        <v>0.51611211462089357</v>
      </c>
      <c r="D58" s="72">
        <f t="shared" ca="1" si="1"/>
        <v>42.426585478170047</v>
      </c>
      <c r="E58" s="72">
        <f t="shared" ca="1" si="2"/>
        <v>16.131156463940261</v>
      </c>
      <c r="F58" s="72">
        <f t="shared" ca="1" si="3"/>
        <v>1727.7236352973673</v>
      </c>
      <c r="G58" s="72">
        <f t="shared" ca="1" si="4"/>
        <v>0</v>
      </c>
      <c r="H58" s="72">
        <f t="shared" ca="1" si="5"/>
        <v>1727.7236352973673</v>
      </c>
      <c r="I58" s="72">
        <f t="shared" ca="1" si="6"/>
        <v>1743.8547917613075</v>
      </c>
      <c r="J58" s="72">
        <f t="shared" ca="1" si="7"/>
        <v>16.131156463940215</v>
      </c>
    </row>
    <row r="59" spans="1:10" ht="18" x14ac:dyDescent="0.3">
      <c r="A59" s="86">
        <v>45</v>
      </c>
      <c r="B59" s="72">
        <f t="shared" ca="1" si="8"/>
        <v>0.39305425428119578</v>
      </c>
      <c r="C59" s="72">
        <f t="shared" ca="1" si="8"/>
        <v>0.69817574515899028</v>
      </c>
      <c r="D59" s="72">
        <f t="shared" ca="1" si="1"/>
        <v>12.482896823518681</v>
      </c>
      <c r="E59" s="72">
        <f t="shared" ca="1" si="2"/>
        <v>26.620230413582899</v>
      </c>
      <c r="F59" s="72">
        <f t="shared" ca="1" si="3"/>
        <v>1740.2065321208861</v>
      </c>
      <c r="G59" s="72">
        <f t="shared" ca="1" si="4"/>
        <v>3.6482596404214291</v>
      </c>
      <c r="H59" s="72">
        <f t="shared" ca="1" si="5"/>
        <v>1743.8547917613075</v>
      </c>
      <c r="I59" s="72">
        <f t="shared" ca="1" si="6"/>
        <v>1770.4750221748905</v>
      </c>
      <c r="J59" s="72">
        <f t="shared" ca="1" si="7"/>
        <v>30.26849005400436</v>
      </c>
    </row>
    <row r="60" spans="1:10" ht="18" x14ac:dyDescent="0.3">
      <c r="A60" s="86">
        <v>46</v>
      </c>
      <c r="B60" s="72">
        <f t="shared" ca="1" si="8"/>
        <v>0.36531854579203937</v>
      </c>
      <c r="C60" s="72">
        <f t="shared" ca="1" si="8"/>
        <v>0.38258496283640031</v>
      </c>
      <c r="D60" s="72">
        <f t="shared" ca="1" si="1"/>
        <v>11.36580132182382</v>
      </c>
      <c r="E60" s="72">
        <f t="shared" ca="1" si="2"/>
        <v>10.715862479655508</v>
      </c>
      <c r="F60" s="72">
        <f t="shared" ca="1" si="3"/>
        <v>1751.5723334427098</v>
      </c>
      <c r="G60" s="72">
        <f t="shared" ca="1" si="4"/>
        <v>18.90268873218065</v>
      </c>
      <c r="H60" s="72">
        <f t="shared" ca="1" si="5"/>
        <v>1770.4750221748905</v>
      </c>
      <c r="I60" s="72">
        <f t="shared" ca="1" si="6"/>
        <v>1781.1908846545459</v>
      </c>
      <c r="J60" s="72">
        <f t="shared" ca="1" si="7"/>
        <v>29.61855121183612</v>
      </c>
    </row>
    <row r="61" spans="1:10" ht="18" x14ac:dyDescent="0.3">
      <c r="A61" s="86">
        <v>47</v>
      </c>
      <c r="B61" s="72">
        <f t="shared" ca="1" si="8"/>
        <v>0.2705171634289455</v>
      </c>
      <c r="C61" s="72">
        <f t="shared" ca="1" si="8"/>
        <v>8.1773223796904437E-2</v>
      </c>
      <c r="D61" s="72">
        <f t="shared" ca="1" si="1"/>
        <v>7.8854859739353422</v>
      </c>
      <c r="E61" s="72">
        <f t="shared" ca="1" si="2"/>
        <v>1.8957974659616432</v>
      </c>
      <c r="F61" s="72">
        <f t="shared" ca="1" si="3"/>
        <v>1759.4578194166452</v>
      </c>
      <c r="G61" s="72">
        <f t="shared" ca="1" si="4"/>
        <v>21.733065237900746</v>
      </c>
      <c r="H61" s="72">
        <f t="shared" ca="1" si="5"/>
        <v>1781.1908846545459</v>
      </c>
      <c r="I61" s="72">
        <f t="shared" ca="1" si="6"/>
        <v>1783.0866821205075</v>
      </c>
      <c r="J61" s="72">
        <f t="shared" ca="1" si="7"/>
        <v>23.628862703862296</v>
      </c>
    </row>
    <row r="62" spans="1:10" ht="18" x14ac:dyDescent="0.3">
      <c r="A62" s="86">
        <v>48</v>
      </c>
      <c r="B62" s="72">
        <f t="shared" ca="1" si="8"/>
        <v>0.48122073104201013</v>
      </c>
      <c r="C62" s="72">
        <f t="shared" ca="1" si="8"/>
        <v>0.41898684270292097</v>
      </c>
      <c r="D62" s="72">
        <f t="shared" ca="1" si="1"/>
        <v>16.406919673530098</v>
      </c>
      <c r="E62" s="72">
        <f t="shared" ca="1" si="2"/>
        <v>12.06626392080932</v>
      </c>
      <c r="F62" s="72">
        <f t="shared" ca="1" si="3"/>
        <v>1775.8647390901754</v>
      </c>
      <c r="G62" s="72">
        <f t="shared" ca="1" si="4"/>
        <v>7.2219430303321133</v>
      </c>
      <c r="H62" s="72">
        <f t="shared" ca="1" si="5"/>
        <v>1783.0866821205075</v>
      </c>
      <c r="I62" s="72">
        <f t="shared" ca="1" si="6"/>
        <v>1795.1529460413167</v>
      </c>
      <c r="J62" s="72">
        <f t="shared" ca="1" si="7"/>
        <v>19.288206951141319</v>
      </c>
    </row>
    <row r="63" spans="1:10" ht="18" x14ac:dyDescent="0.3">
      <c r="A63" s="86">
        <v>49</v>
      </c>
      <c r="B63" s="72">
        <f t="shared" ca="1" si="8"/>
        <v>1.5659439095989214E-2</v>
      </c>
      <c r="C63" s="72">
        <f t="shared" ca="1" si="8"/>
        <v>0.39492860838080868</v>
      </c>
      <c r="D63" s="72">
        <f t="shared" ca="1" si="1"/>
        <v>0.39458358321152837</v>
      </c>
      <c r="E63" s="72">
        <f t="shared" ca="1" si="2"/>
        <v>11.164640560815874</v>
      </c>
      <c r="F63" s="72">
        <f t="shared" ca="1" si="3"/>
        <v>1776.2593226733868</v>
      </c>
      <c r="G63" s="72">
        <f t="shared" ca="1" si="4"/>
        <v>18.893623367929877</v>
      </c>
      <c r="H63" s="72">
        <f t="shared" ca="1" si="5"/>
        <v>1795.1529460413167</v>
      </c>
      <c r="I63" s="72">
        <f t="shared" ca="1" si="6"/>
        <v>1806.3175866021325</v>
      </c>
      <c r="J63" s="72">
        <f t="shared" ca="1" si="7"/>
        <v>30.058263928745646</v>
      </c>
    </row>
    <row r="64" spans="1:10" ht="18" x14ac:dyDescent="0.3">
      <c r="A64" s="86">
        <v>50</v>
      </c>
      <c r="B64" s="72">
        <f t="shared" ca="1" si="8"/>
        <v>9.7370464848961502E-2</v>
      </c>
      <c r="C64" s="72">
        <f t="shared" ca="1" si="8"/>
        <v>3.3170868894328076E-2</v>
      </c>
      <c r="D64" s="72">
        <f t="shared" ca="1" si="1"/>
        <v>2.5610767455302641</v>
      </c>
      <c r="E64" s="72">
        <f t="shared" ca="1" si="2"/>
        <v>0.74963331413911993</v>
      </c>
      <c r="F64" s="72">
        <f t="shared" ca="1" si="3"/>
        <v>1778.8203994189171</v>
      </c>
      <c r="G64" s="72">
        <f t="shared" ca="1" si="4"/>
        <v>27.497187183215374</v>
      </c>
      <c r="H64" s="72">
        <f t="shared" ca="1" si="5"/>
        <v>1806.3175866021325</v>
      </c>
      <c r="I64" s="72">
        <f t="shared" ca="1" si="6"/>
        <v>1807.0672199162716</v>
      </c>
      <c r="J64" s="72">
        <f t="shared" ca="1" si="7"/>
        <v>28.24682049735452</v>
      </c>
    </row>
    <row r="65" spans="1:10" ht="18" x14ac:dyDescent="0.3">
      <c r="A65" s="86">
        <v>51</v>
      </c>
      <c r="B65" s="72">
        <f t="shared" ca="1" si="8"/>
        <v>0.67424644317123905</v>
      </c>
      <c r="C65" s="72">
        <f t="shared" ca="1" si="8"/>
        <v>0.22285612267296839</v>
      </c>
      <c r="D65" s="72">
        <f t="shared" ca="1" si="1"/>
        <v>28.040353603643471</v>
      </c>
      <c r="E65" s="72">
        <f t="shared" ca="1" si="2"/>
        <v>5.6028838989185425</v>
      </c>
      <c r="F65" s="72">
        <f t="shared" ca="1" si="3"/>
        <v>1806.8607530225606</v>
      </c>
      <c r="G65" s="72">
        <f t="shared" ca="1" si="4"/>
        <v>0.20646689371096727</v>
      </c>
      <c r="H65" s="72">
        <f t="shared" ca="1" si="5"/>
        <v>1807.0672199162716</v>
      </c>
      <c r="I65" s="72">
        <f t="shared" ca="1" si="6"/>
        <v>1812.67010381519</v>
      </c>
      <c r="J65" s="72">
        <f t="shared" ca="1" si="7"/>
        <v>5.8093507926294023</v>
      </c>
    </row>
    <row r="66" spans="1:10" ht="18" x14ac:dyDescent="0.3">
      <c r="A66" s="86">
        <v>52</v>
      </c>
      <c r="B66" s="72">
        <f t="shared" ca="1" si="8"/>
        <v>0.37954810184318133</v>
      </c>
      <c r="C66" s="72">
        <f t="shared" ca="1" si="8"/>
        <v>0.8789606757614653</v>
      </c>
      <c r="D66" s="72">
        <f t="shared" ca="1" si="1"/>
        <v>11.932679961085213</v>
      </c>
      <c r="E66" s="72">
        <f t="shared" ca="1" si="2"/>
        <v>46.925328721722515</v>
      </c>
      <c r="F66" s="72">
        <f t="shared" ca="1" si="3"/>
        <v>1818.7934329836457</v>
      </c>
      <c r="G66" s="72">
        <f t="shared" ca="1" si="4"/>
        <v>0</v>
      </c>
      <c r="H66" s="72">
        <f t="shared" ca="1" si="5"/>
        <v>1818.7934329836457</v>
      </c>
      <c r="I66" s="72">
        <f t="shared" ca="1" si="6"/>
        <v>1865.7187617053683</v>
      </c>
      <c r="J66" s="72">
        <f t="shared" ca="1" si="7"/>
        <v>46.925328721722508</v>
      </c>
    </row>
    <row r="67" spans="1:10" ht="18" x14ac:dyDescent="0.3">
      <c r="A67" s="86">
        <v>53</v>
      </c>
      <c r="B67" s="72">
        <f t="shared" ca="1" si="8"/>
        <v>0.52609992769674407</v>
      </c>
      <c r="C67" s="72">
        <f t="shared" ca="1" si="8"/>
        <v>0.61582141768237408</v>
      </c>
      <c r="D67" s="72">
        <f t="shared" ca="1" si="1"/>
        <v>18.668969935947587</v>
      </c>
      <c r="E67" s="72">
        <f t="shared" ca="1" si="2"/>
        <v>21.25883947514675</v>
      </c>
      <c r="F67" s="72">
        <f t="shared" ca="1" si="3"/>
        <v>1837.4624029195934</v>
      </c>
      <c r="G67" s="72">
        <f t="shared" ca="1" si="4"/>
        <v>28.256358785774864</v>
      </c>
      <c r="H67" s="72">
        <f t="shared" ca="1" si="5"/>
        <v>1865.7187617053683</v>
      </c>
      <c r="I67" s="72">
        <f t="shared" ca="1" si="6"/>
        <v>1886.977601180515</v>
      </c>
      <c r="J67" s="72">
        <f t="shared" ca="1" si="7"/>
        <v>49.515198260921579</v>
      </c>
    </row>
    <row r="68" spans="1:10" ht="18" x14ac:dyDescent="0.3">
      <c r="A68" s="86">
        <v>54</v>
      </c>
      <c r="B68" s="72">
        <f t="shared" ca="1" si="8"/>
        <v>0.41473047172714961</v>
      </c>
      <c r="C68" s="72">
        <f t="shared" ca="1" si="8"/>
        <v>0.73416602801550612</v>
      </c>
      <c r="D68" s="72">
        <f t="shared" ca="1" si="1"/>
        <v>13.392070144109455</v>
      </c>
      <c r="E68" s="72">
        <f t="shared" ca="1" si="2"/>
        <v>29.441851789880584</v>
      </c>
      <c r="F68" s="72">
        <f t="shared" ca="1" si="3"/>
        <v>1850.8544730637029</v>
      </c>
      <c r="G68" s="72">
        <f t="shared" ca="1" si="4"/>
        <v>36.12312811681204</v>
      </c>
      <c r="H68" s="72">
        <f t="shared" ca="1" si="5"/>
        <v>1886.977601180515</v>
      </c>
      <c r="I68" s="72">
        <f t="shared" ca="1" si="6"/>
        <v>1916.4194529703955</v>
      </c>
      <c r="J68" s="72">
        <f t="shared" ca="1" si="7"/>
        <v>65.564979906692542</v>
      </c>
    </row>
    <row r="69" spans="1:10" ht="18" x14ac:dyDescent="0.3">
      <c r="A69" s="86">
        <v>55</v>
      </c>
      <c r="B69" s="72">
        <f t="shared" ca="1" si="8"/>
        <v>0.57161148643046478</v>
      </c>
      <c r="C69" s="72">
        <f t="shared" ca="1" si="8"/>
        <v>0.71417239689092071</v>
      </c>
      <c r="D69" s="72">
        <f t="shared" ca="1" si="1"/>
        <v>21.193118829101124</v>
      </c>
      <c r="E69" s="72">
        <f t="shared" ca="1" si="2"/>
        <v>27.830365249842149</v>
      </c>
      <c r="F69" s="72">
        <f t="shared" ca="1" si="3"/>
        <v>1872.0475918928041</v>
      </c>
      <c r="G69" s="72">
        <f t="shared" ca="1" si="4"/>
        <v>44.371861077591348</v>
      </c>
      <c r="H69" s="72">
        <f t="shared" ca="1" si="5"/>
        <v>1916.4194529703955</v>
      </c>
      <c r="I69" s="72">
        <f t="shared" ca="1" si="6"/>
        <v>1944.2498182202376</v>
      </c>
      <c r="J69" s="72">
        <f t="shared" ca="1" si="7"/>
        <v>72.202226327433436</v>
      </c>
    </row>
    <row r="70" spans="1:10" ht="18" x14ac:dyDescent="0.3">
      <c r="A70" s="86">
        <v>56</v>
      </c>
      <c r="B70" s="72">
        <f t="shared" ca="1" si="8"/>
        <v>0.16295683658149773</v>
      </c>
      <c r="C70" s="72">
        <f t="shared" ca="1" si="8"/>
        <v>0.16924384709982565</v>
      </c>
      <c r="D70" s="72">
        <f t="shared" ca="1" si="1"/>
        <v>4.4469910156143619</v>
      </c>
      <c r="E70" s="72">
        <f t="shared" ca="1" si="2"/>
        <v>4.1204214518819358</v>
      </c>
      <c r="F70" s="72">
        <f t="shared" ca="1" si="3"/>
        <v>1876.4945829084186</v>
      </c>
      <c r="G70" s="72">
        <f t="shared" ca="1" si="4"/>
        <v>67.755235311818979</v>
      </c>
      <c r="H70" s="72">
        <f t="shared" ca="1" si="5"/>
        <v>1944.2498182202376</v>
      </c>
      <c r="I70" s="72">
        <f t="shared" ca="1" si="6"/>
        <v>1948.3702396721194</v>
      </c>
      <c r="J70" s="72">
        <f t="shared" ca="1" si="7"/>
        <v>71.875656763700817</v>
      </c>
    </row>
    <row r="71" spans="1:10" ht="18" x14ac:dyDescent="0.3">
      <c r="A71" s="86">
        <v>57</v>
      </c>
      <c r="B71" s="72">
        <f t="shared" ca="1" si="8"/>
        <v>0.65574173359062926</v>
      </c>
      <c r="C71" s="72">
        <f t="shared" ca="1" si="8"/>
        <v>0.38411356960419973</v>
      </c>
      <c r="D71" s="72">
        <f t="shared" ca="1" si="1"/>
        <v>26.659078221326155</v>
      </c>
      <c r="E71" s="72">
        <f t="shared" ca="1" si="2"/>
        <v>10.770948859705461</v>
      </c>
      <c r="F71" s="72">
        <f t="shared" ca="1" si="3"/>
        <v>1903.1536611297447</v>
      </c>
      <c r="G71" s="72">
        <f t="shared" ca="1" si="4"/>
        <v>45.216578542374691</v>
      </c>
      <c r="H71" s="72">
        <f t="shared" ca="1" si="5"/>
        <v>1948.3702396721194</v>
      </c>
      <c r="I71" s="72">
        <f t="shared" ca="1" si="6"/>
        <v>1959.1411885318248</v>
      </c>
      <c r="J71" s="72">
        <f t="shared" ca="1" si="7"/>
        <v>55.987527402080104</v>
      </c>
    </row>
    <row r="72" spans="1:10" ht="18" x14ac:dyDescent="0.3">
      <c r="A72" s="86">
        <v>58</v>
      </c>
      <c r="B72" s="72">
        <f t="shared" ca="1" si="8"/>
        <v>6.0548594574625247E-2</v>
      </c>
      <c r="C72" s="72">
        <f t="shared" ca="1" si="8"/>
        <v>0.52369653198471189</v>
      </c>
      <c r="D72" s="72">
        <f t="shared" ca="1" si="1"/>
        <v>1.5614796333755727</v>
      </c>
      <c r="E72" s="72">
        <f t="shared" ca="1" si="2"/>
        <v>16.482224223208689</v>
      </c>
      <c r="F72" s="72">
        <f t="shared" ca="1" si="3"/>
        <v>1904.7151407631202</v>
      </c>
      <c r="G72" s="72">
        <f t="shared" ca="1" si="4"/>
        <v>54.42604776870462</v>
      </c>
      <c r="H72" s="72">
        <f t="shared" ca="1" si="5"/>
        <v>1959.1411885318248</v>
      </c>
      <c r="I72" s="72">
        <f t="shared" ca="1" si="6"/>
        <v>1975.6234127550335</v>
      </c>
      <c r="J72" s="72">
        <f t="shared" ca="1" si="7"/>
        <v>70.908271991913352</v>
      </c>
    </row>
    <row r="73" spans="1:10" ht="18" x14ac:dyDescent="0.3">
      <c r="A73" s="86">
        <v>59</v>
      </c>
      <c r="B73" s="72">
        <f t="shared" ca="1" si="8"/>
        <v>0.39905104604247188</v>
      </c>
      <c r="C73" s="72">
        <f t="shared" ca="1" si="8"/>
        <v>0.37014684311146251</v>
      </c>
      <c r="D73" s="72">
        <f t="shared" ca="1" si="1"/>
        <v>12.731132080823693</v>
      </c>
      <c r="E73" s="72">
        <f t="shared" ca="1" si="2"/>
        <v>10.272634912640788</v>
      </c>
      <c r="F73" s="72">
        <f t="shared" ca="1" si="3"/>
        <v>1917.4462728439439</v>
      </c>
      <c r="G73" s="72">
        <f t="shared" ca="1" si="4"/>
        <v>58.177139911089625</v>
      </c>
      <c r="H73" s="72">
        <f t="shared" ca="1" si="5"/>
        <v>1975.6234127550335</v>
      </c>
      <c r="I73" s="72">
        <f t="shared" ca="1" si="6"/>
        <v>1985.8960476676743</v>
      </c>
      <c r="J73" s="72">
        <f t="shared" ca="1" si="7"/>
        <v>68.449774823730422</v>
      </c>
    </row>
    <row r="74" spans="1:10" ht="18" x14ac:dyDescent="0.3">
      <c r="A74" s="86">
        <v>60</v>
      </c>
      <c r="B74" s="72">
        <f t="shared" ca="1" si="8"/>
        <v>0.19480630217293093</v>
      </c>
      <c r="C74" s="72">
        <f t="shared" ca="1" si="8"/>
        <v>2.7109716154420482E-2</v>
      </c>
      <c r="D74" s="72">
        <f t="shared" ca="1" si="1"/>
        <v>5.4168103022205791</v>
      </c>
      <c r="E74" s="72">
        <f t="shared" ca="1" si="2"/>
        <v>0.61075475216070996</v>
      </c>
      <c r="F74" s="72">
        <f t="shared" ca="1" si="3"/>
        <v>1922.8630831461644</v>
      </c>
      <c r="G74" s="72">
        <f t="shared" ca="1" si="4"/>
        <v>63.032964521509939</v>
      </c>
      <c r="H74" s="72">
        <f t="shared" ca="1" si="5"/>
        <v>1985.8960476676743</v>
      </c>
      <c r="I74" s="72">
        <f t="shared" ca="1" si="6"/>
        <v>1986.5068024198351</v>
      </c>
      <c r="J74" s="72">
        <f t="shared" ca="1" si="7"/>
        <v>63.64371927367074</v>
      </c>
    </row>
    <row r="75" spans="1:10" ht="18" x14ac:dyDescent="0.3">
      <c r="A75" s="86">
        <v>61</v>
      </c>
      <c r="B75" s="72">
        <f t="shared" ca="1" si="8"/>
        <v>0.37859554877561707</v>
      </c>
      <c r="C75" s="72">
        <f t="shared" ca="1" si="8"/>
        <v>0.78056986697546737</v>
      </c>
      <c r="D75" s="72">
        <f t="shared" ca="1" si="1"/>
        <v>11.894327970742269</v>
      </c>
      <c r="E75" s="72">
        <f t="shared" ca="1" si="2"/>
        <v>33.704919949042122</v>
      </c>
      <c r="F75" s="72">
        <f t="shared" ca="1" si="3"/>
        <v>1934.7574111169067</v>
      </c>
      <c r="G75" s="72">
        <f t="shared" ca="1" si="4"/>
        <v>51.749391302928416</v>
      </c>
      <c r="H75" s="72">
        <f t="shared" ca="1" si="5"/>
        <v>1986.5068024198351</v>
      </c>
      <c r="I75" s="72">
        <f t="shared" ca="1" si="6"/>
        <v>2020.2117223688772</v>
      </c>
      <c r="J75" s="72">
        <f t="shared" ca="1" si="7"/>
        <v>85.454311251970466</v>
      </c>
    </row>
    <row r="76" spans="1:10" ht="18" x14ac:dyDescent="0.3">
      <c r="A76" s="86">
        <v>62</v>
      </c>
      <c r="B76" s="72">
        <f t="shared" ca="1" si="8"/>
        <v>0.53241315060760164</v>
      </c>
      <c r="C76" s="72">
        <f t="shared" ca="1" si="8"/>
        <v>0.11671076100332844</v>
      </c>
      <c r="D76" s="72">
        <f t="shared" ca="1" si="1"/>
        <v>19.004254335147003</v>
      </c>
      <c r="E76" s="72">
        <f t="shared" ca="1" si="2"/>
        <v>2.7578348451756711</v>
      </c>
      <c r="F76" s="72">
        <f t="shared" ca="1" si="3"/>
        <v>1953.7616654520536</v>
      </c>
      <c r="G76" s="72">
        <f t="shared" ca="1" si="4"/>
        <v>66.450056916823542</v>
      </c>
      <c r="H76" s="72">
        <f t="shared" ca="1" si="5"/>
        <v>2020.2117223688772</v>
      </c>
      <c r="I76" s="72">
        <f t="shared" ca="1" si="6"/>
        <v>2022.9695572140529</v>
      </c>
      <c r="J76" s="72">
        <f t="shared" ca="1" si="7"/>
        <v>69.207891761999235</v>
      </c>
    </row>
    <row r="77" spans="1:10" ht="18" x14ac:dyDescent="0.3">
      <c r="A77" s="86">
        <v>63</v>
      </c>
      <c r="B77" s="72">
        <f t="shared" ca="1" si="8"/>
        <v>0.66609596188128017</v>
      </c>
      <c r="C77" s="72">
        <f t="shared" ca="1" si="8"/>
        <v>9.720008626229748E-2</v>
      </c>
      <c r="D77" s="72">
        <f t="shared" ca="1" si="1"/>
        <v>27.422540957723811</v>
      </c>
      <c r="E77" s="72">
        <f t="shared" ca="1" si="2"/>
        <v>2.2723184352998316</v>
      </c>
      <c r="F77" s="72">
        <f t="shared" ca="1" si="3"/>
        <v>1981.1842064097775</v>
      </c>
      <c r="G77" s="72">
        <f t="shared" ca="1" si="4"/>
        <v>41.785350804275367</v>
      </c>
      <c r="H77" s="72">
        <f t="shared" ca="1" si="5"/>
        <v>2022.9695572140529</v>
      </c>
      <c r="I77" s="72">
        <f t="shared" ca="1" si="6"/>
        <v>2025.2418756493528</v>
      </c>
      <c r="J77" s="72">
        <f t="shared" ca="1" si="7"/>
        <v>44.057669239575262</v>
      </c>
    </row>
    <row r="78" spans="1:10" ht="18" x14ac:dyDescent="0.3">
      <c r="A78" s="86">
        <v>64</v>
      </c>
      <c r="B78" s="72">
        <f t="shared" ca="1" si="8"/>
        <v>0.10681988737374548</v>
      </c>
      <c r="C78" s="72">
        <f t="shared" ca="1" si="8"/>
        <v>0.21113342190852535</v>
      </c>
      <c r="D78" s="72">
        <f t="shared" ca="1" si="1"/>
        <v>2.8241756143181593</v>
      </c>
      <c r="E78" s="72">
        <f t="shared" ca="1" si="2"/>
        <v>5.2701794440304424</v>
      </c>
      <c r="F78" s="72">
        <f t="shared" ca="1" si="3"/>
        <v>1984.0083820240957</v>
      </c>
      <c r="G78" s="72">
        <f t="shared" ca="1" si="4"/>
        <v>41.233493625257097</v>
      </c>
      <c r="H78" s="72">
        <f t="shared" ca="1" si="5"/>
        <v>2025.2418756493528</v>
      </c>
      <c r="I78" s="72">
        <f t="shared" ca="1" si="6"/>
        <v>2030.5120550933832</v>
      </c>
      <c r="J78" s="72">
        <f t="shared" ca="1" si="7"/>
        <v>46.503673069287515</v>
      </c>
    </row>
    <row r="79" spans="1:10" ht="18" x14ac:dyDescent="0.3">
      <c r="A79" s="86">
        <v>65</v>
      </c>
      <c r="B79" s="72">
        <f t="shared" ca="1" si="8"/>
        <v>0.10654712930870569</v>
      </c>
      <c r="C79" s="72">
        <f t="shared" ca="1" si="8"/>
        <v>0.71160246825985851</v>
      </c>
      <c r="D79" s="72">
        <f t="shared" ca="1" si="1"/>
        <v>2.8165423155459486</v>
      </c>
      <c r="E79" s="72">
        <f t="shared" ca="1" si="2"/>
        <v>27.631454045954396</v>
      </c>
      <c r="F79" s="72">
        <f t="shared" ca="1" si="3"/>
        <v>1986.8249243396417</v>
      </c>
      <c r="G79" s="72">
        <f t="shared" ca="1" si="4"/>
        <v>43.687130753741485</v>
      </c>
      <c r="H79" s="72">
        <f t="shared" ca="1" si="5"/>
        <v>2030.5120550933832</v>
      </c>
      <c r="I79" s="72">
        <f t="shared" ca="1" si="6"/>
        <v>2058.1435091393378</v>
      </c>
      <c r="J79" s="72">
        <f t="shared" ca="1" si="7"/>
        <v>71.318584799696055</v>
      </c>
    </row>
    <row r="80" spans="1:10" ht="18" x14ac:dyDescent="0.3">
      <c r="A80" s="86">
        <v>66</v>
      </c>
      <c r="B80" s="72">
        <f t="shared" ca="1" si="8"/>
        <v>0.26106276408940976</v>
      </c>
      <c r="C80" s="72">
        <f t="shared" ca="1" si="8"/>
        <v>0.97138216669007504</v>
      </c>
      <c r="D80" s="72">
        <f t="shared" ca="1" si="1"/>
        <v>7.5635573187398757</v>
      </c>
      <c r="E80" s="72">
        <f t="shared" ca="1" si="2"/>
        <v>78.971671403844226</v>
      </c>
      <c r="F80" s="72">
        <f t="shared" ca="1" si="3"/>
        <v>1994.3884816583816</v>
      </c>
      <c r="G80" s="72">
        <f t="shared" ca="1" si="4"/>
        <v>63.755027480956187</v>
      </c>
      <c r="H80" s="72">
        <f t="shared" ca="1" si="5"/>
        <v>2058.1435091393378</v>
      </c>
      <c r="I80" s="72">
        <f t="shared" ca="1" si="6"/>
        <v>2137.1151805431819</v>
      </c>
      <c r="J80" s="72">
        <f t="shared" ca="1" si="7"/>
        <v>142.72669888480027</v>
      </c>
    </row>
    <row r="81" spans="1:10" ht="18" x14ac:dyDescent="0.3">
      <c r="A81" s="86">
        <v>67</v>
      </c>
      <c r="B81" s="72">
        <f t="shared" ref="B81:C112" ca="1" si="9">RAND()</f>
        <v>0.47311327299520789</v>
      </c>
      <c r="C81" s="72">
        <f t="shared" ca="1" si="9"/>
        <v>0.24661296173636804</v>
      </c>
      <c r="D81" s="72">
        <f t="shared" ref="D81:D144" ca="1" si="10">(1/$F$2)*LN(1/(1-B81))</f>
        <v>16.01924232033436</v>
      </c>
      <c r="E81" s="72">
        <f t="shared" ref="E81:E144" ca="1" si="11">(1/$J$2)*LN(1/(1-C81))</f>
        <v>6.2928041820982745</v>
      </c>
      <c r="F81" s="72">
        <f t="shared" ref="F81:F144" ca="1" si="12">F80+D81</f>
        <v>2010.4077239787159</v>
      </c>
      <c r="G81" s="72">
        <f t="shared" ref="G81:G144" ca="1" si="13">IF(I80&gt;F81,I80-F81,0)</f>
        <v>126.70745656446593</v>
      </c>
      <c r="H81" s="72">
        <f t="shared" ref="H81:H144" ca="1" si="14">F81+G81</f>
        <v>2137.1151805431819</v>
      </c>
      <c r="I81" s="72">
        <f t="shared" ref="I81:I144" ca="1" si="15">H81+E81</f>
        <v>2143.4079847252801</v>
      </c>
      <c r="J81" s="72">
        <f t="shared" ref="J81:J144" ca="1" si="16">I81-F81</f>
        <v>133.00026074656421</v>
      </c>
    </row>
    <row r="82" spans="1:10" ht="18" x14ac:dyDescent="0.3">
      <c r="A82" s="86">
        <v>68</v>
      </c>
      <c r="B82" s="72">
        <f t="shared" ca="1" si="9"/>
        <v>0.66235458689021087</v>
      </c>
      <c r="C82" s="72">
        <f t="shared" ca="1" si="9"/>
        <v>0.67982014397135304</v>
      </c>
      <c r="D82" s="72">
        <f t="shared" ca="1" si="10"/>
        <v>27.143975195042593</v>
      </c>
      <c r="E82" s="72">
        <f t="shared" ca="1" si="11"/>
        <v>25.30827535532968</v>
      </c>
      <c r="F82" s="72">
        <f t="shared" ca="1" si="12"/>
        <v>2037.5516991737586</v>
      </c>
      <c r="G82" s="72">
        <f t="shared" ca="1" si="13"/>
        <v>105.85628555152152</v>
      </c>
      <c r="H82" s="72">
        <f t="shared" ca="1" si="14"/>
        <v>2143.4079847252801</v>
      </c>
      <c r="I82" s="72">
        <f t="shared" ca="1" si="15"/>
        <v>2168.71626008061</v>
      </c>
      <c r="J82" s="72">
        <f t="shared" ca="1" si="16"/>
        <v>131.16456090685142</v>
      </c>
    </row>
    <row r="83" spans="1:10" ht="18" x14ac:dyDescent="0.3">
      <c r="A83" s="86">
        <v>69</v>
      </c>
      <c r="B83" s="72">
        <f t="shared" ca="1" si="9"/>
        <v>0.72607434380806146</v>
      </c>
      <c r="C83" s="72">
        <f t="shared" ca="1" si="9"/>
        <v>2.8283632819434246E-2</v>
      </c>
      <c r="D83" s="72">
        <f t="shared" ca="1" si="10"/>
        <v>32.372463429418815</v>
      </c>
      <c r="E83" s="72">
        <f t="shared" ca="1" si="11"/>
        <v>0.6375848981498623</v>
      </c>
      <c r="F83" s="72">
        <f t="shared" ca="1" si="12"/>
        <v>2069.9241626031776</v>
      </c>
      <c r="G83" s="72">
        <f t="shared" ca="1" si="13"/>
        <v>98.792097477432435</v>
      </c>
      <c r="H83" s="72">
        <f t="shared" ca="1" si="14"/>
        <v>2168.71626008061</v>
      </c>
      <c r="I83" s="72">
        <f t="shared" ca="1" si="15"/>
        <v>2169.3538449787598</v>
      </c>
      <c r="J83" s="72">
        <f t="shared" ca="1" si="16"/>
        <v>99.429682375582161</v>
      </c>
    </row>
    <row r="84" spans="1:10" ht="18" x14ac:dyDescent="0.3">
      <c r="A84" s="86">
        <v>70</v>
      </c>
      <c r="B84" s="72">
        <f t="shared" ca="1" si="9"/>
        <v>0.95435530279422298</v>
      </c>
      <c r="C84" s="72">
        <f t="shared" ca="1" si="9"/>
        <v>0.70411757099706518</v>
      </c>
      <c r="D84" s="72">
        <f t="shared" ca="1" si="10"/>
        <v>77.171696016622292</v>
      </c>
      <c r="E84" s="72">
        <f t="shared" ca="1" si="11"/>
        <v>27.062068952822852</v>
      </c>
      <c r="F84" s="72">
        <f t="shared" ca="1" si="12"/>
        <v>2147.0958586197999</v>
      </c>
      <c r="G84" s="72">
        <f t="shared" ca="1" si="13"/>
        <v>22.257986358959897</v>
      </c>
      <c r="H84" s="72">
        <f t="shared" ca="1" si="14"/>
        <v>2169.3538449787598</v>
      </c>
      <c r="I84" s="72">
        <f t="shared" ca="1" si="15"/>
        <v>2196.4159139315825</v>
      </c>
      <c r="J84" s="72">
        <f t="shared" ca="1" si="16"/>
        <v>49.320055311782653</v>
      </c>
    </row>
    <row r="85" spans="1:10" ht="18" x14ac:dyDescent="0.3">
      <c r="A85" s="86">
        <v>71</v>
      </c>
      <c r="B85" s="72">
        <f t="shared" ca="1" si="9"/>
        <v>0.25881347818479672</v>
      </c>
      <c r="C85" s="72">
        <f t="shared" ca="1" si="9"/>
        <v>0.39961325587013252</v>
      </c>
      <c r="D85" s="72">
        <f t="shared" ca="1" si="10"/>
        <v>7.4875742252873305</v>
      </c>
      <c r="E85" s="72">
        <f t="shared" ca="1" si="11"/>
        <v>11.337361285878156</v>
      </c>
      <c r="F85" s="72">
        <f t="shared" ca="1" si="12"/>
        <v>2154.5834328450874</v>
      </c>
      <c r="G85" s="72">
        <f t="shared" ca="1" si="13"/>
        <v>41.832481086495136</v>
      </c>
      <c r="H85" s="72">
        <f t="shared" ca="1" si="14"/>
        <v>2196.4159139315825</v>
      </c>
      <c r="I85" s="72">
        <f t="shared" ca="1" si="15"/>
        <v>2207.7532752174607</v>
      </c>
      <c r="J85" s="72">
        <f t="shared" ca="1" si="16"/>
        <v>53.169842372373296</v>
      </c>
    </row>
    <row r="86" spans="1:10" ht="18" x14ac:dyDescent="0.3">
      <c r="A86" s="86">
        <v>72</v>
      </c>
      <c r="B86" s="72">
        <f t="shared" ca="1" si="9"/>
        <v>0.66002051749185231</v>
      </c>
      <c r="C86" s="72">
        <f t="shared" ca="1" si="9"/>
        <v>0.93292559616606352</v>
      </c>
      <c r="D86" s="72">
        <f t="shared" ca="1" si="10"/>
        <v>26.971750218926712</v>
      </c>
      <c r="E86" s="72">
        <f t="shared" ca="1" si="11"/>
        <v>60.043394905812988</v>
      </c>
      <c r="F86" s="72">
        <f t="shared" ca="1" si="12"/>
        <v>2181.5551830640143</v>
      </c>
      <c r="G86" s="72">
        <f t="shared" ca="1" si="13"/>
        <v>26.198092153446396</v>
      </c>
      <c r="H86" s="72">
        <f t="shared" ca="1" si="14"/>
        <v>2207.7532752174607</v>
      </c>
      <c r="I86" s="72">
        <f t="shared" ca="1" si="15"/>
        <v>2267.7966701232735</v>
      </c>
      <c r="J86" s="72">
        <f t="shared" ca="1" si="16"/>
        <v>86.241487059259271</v>
      </c>
    </row>
    <row r="87" spans="1:10" ht="18" x14ac:dyDescent="0.3">
      <c r="A87" s="86">
        <v>73</v>
      </c>
      <c r="B87" s="72">
        <f t="shared" ca="1" si="9"/>
        <v>0.23964828079547595</v>
      </c>
      <c r="C87" s="72">
        <f t="shared" ca="1" si="9"/>
        <v>0.15994438308967152</v>
      </c>
      <c r="D87" s="72">
        <f t="shared" ca="1" si="10"/>
        <v>6.8493541082072884</v>
      </c>
      <c r="E87" s="72">
        <f t="shared" ca="1" si="11"/>
        <v>3.8730484162015415</v>
      </c>
      <c r="F87" s="72">
        <f t="shared" ca="1" si="12"/>
        <v>2188.4045371722214</v>
      </c>
      <c r="G87" s="72">
        <f t="shared" ca="1" si="13"/>
        <v>79.39213295105219</v>
      </c>
      <c r="H87" s="72">
        <f t="shared" ca="1" si="14"/>
        <v>2267.7966701232735</v>
      </c>
      <c r="I87" s="72">
        <f t="shared" ca="1" si="15"/>
        <v>2271.6697185394751</v>
      </c>
      <c r="J87" s="72">
        <f t="shared" ca="1" si="16"/>
        <v>83.265181367253717</v>
      </c>
    </row>
    <row r="88" spans="1:10" ht="18" x14ac:dyDescent="0.3">
      <c r="A88" s="86">
        <v>74</v>
      </c>
      <c r="B88" s="72">
        <f t="shared" ca="1" si="9"/>
        <v>0.9377193067513383</v>
      </c>
      <c r="C88" s="72">
        <f t="shared" ca="1" si="9"/>
        <v>0.8405887277526678</v>
      </c>
      <c r="D88" s="72">
        <f t="shared" ca="1" si="10"/>
        <v>69.402595022950479</v>
      </c>
      <c r="E88" s="72">
        <f t="shared" ca="1" si="11"/>
        <v>40.805951075394567</v>
      </c>
      <c r="F88" s="72">
        <f t="shared" ca="1" si="12"/>
        <v>2257.807132195172</v>
      </c>
      <c r="G88" s="72">
        <f t="shared" ca="1" si="13"/>
        <v>13.862586344303054</v>
      </c>
      <c r="H88" s="72">
        <f t="shared" ca="1" si="14"/>
        <v>2271.6697185394751</v>
      </c>
      <c r="I88" s="72">
        <f t="shared" ca="1" si="15"/>
        <v>2312.4756696148697</v>
      </c>
      <c r="J88" s="72">
        <f t="shared" ca="1" si="16"/>
        <v>54.668537419697714</v>
      </c>
    </row>
    <row r="89" spans="1:10" ht="18" x14ac:dyDescent="0.3">
      <c r="A89" s="86">
        <v>75</v>
      </c>
      <c r="B89" s="72">
        <f t="shared" ca="1" si="9"/>
        <v>0.62465471881971335</v>
      </c>
      <c r="C89" s="72">
        <f t="shared" ca="1" si="9"/>
        <v>0.50091933626933416</v>
      </c>
      <c r="D89" s="72">
        <f t="shared" ca="1" si="10"/>
        <v>24.497723170693007</v>
      </c>
      <c r="E89" s="72">
        <f t="shared" ca="1" si="11"/>
        <v>15.444167678485282</v>
      </c>
      <c r="F89" s="72">
        <f t="shared" ca="1" si="12"/>
        <v>2282.304855365865</v>
      </c>
      <c r="G89" s="72">
        <f t="shared" ca="1" si="13"/>
        <v>30.170814249004707</v>
      </c>
      <c r="H89" s="72">
        <f t="shared" ca="1" si="14"/>
        <v>2312.4756696148697</v>
      </c>
      <c r="I89" s="72">
        <f t="shared" ca="1" si="15"/>
        <v>2327.9198372933552</v>
      </c>
      <c r="J89" s="72">
        <f t="shared" ca="1" si="16"/>
        <v>45.614981927490135</v>
      </c>
    </row>
    <row r="90" spans="1:10" ht="18" x14ac:dyDescent="0.3">
      <c r="A90" s="86">
        <v>76</v>
      </c>
      <c r="B90" s="72">
        <f t="shared" ca="1" si="9"/>
        <v>0.75559364565699216</v>
      </c>
      <c r="C90" s="72">
        <f t="shared" ca="1" si="9"/>
        <v>0.1475171646663842</v>
      </c>
      <c r="D90" s="72">
        <f t="shared" ca="1" si="10"/>
        <v>35.223076306396926</v>
      </c>
      <c r="E90" s="72">
        <f t="shared" ca="1" si="11"/>
        <v>3.5467156562931041</v>
      </c>
      <c r="F90" s="72">
        <f t="shared" ca="1" si="12"/>
        <v>2317.5279316722617</v>
      </c>
      <c r="G90" s="72">
        <f t="shared" ca="1" si="13"/>
        <v>10.391905621093429</v>
      </c>
      <c r="H90" s="72">
        <f t="shared" ca="1" si="14"/>
        <v>2327.9198372933552</v>
      </c>
      <c r="I90" s="72">
        <f t="shared" ca="1" si="15"/>
        <v>2331.4665529496483</v>
      </c>
      <c r="J90" s="72">
        <f t="shared" ca="1" si="16"/>
        <v>13.938621277386574</v>
      </c>
    </row>
    <row r="91" spans="1:10" ht="18" x14ac:dyDescent="0.3">
      <c r="A91" s="86">
        <v>77</v>
      </c>
      <c r="B91" s="72">
        <f t="shared" ca="1" si="9"/>
        <v>0.32482837122385055</v>
      </c>
      <c r="C91" s="72">
        <f t="shared" ca="1" si="9"/>
        <v>0.66487180130117629</v>
      </c>
      <c r="D91" s="72">
        <f t="shared" ca="1" si="10"/>
        <v>9.8197088893970488</v>
      </c>
      <c r="E91" s="72">
        <f t="shared" ca="1" si="11"/>
        <v>24.294269726185714</v>
      </c>
      <c r="F91" s="72">
        <f t="shared" ca="1" si="12"/>
        <v>2327.3476405616589</v>
      </c>
      <c r="G91" s="72">
        <f t="shared" ca="1" si="13"/>
        <v>4.1189123879894396</v>
      </c>
      <c r="H91" s="72">
        <f t="shared" ca="1" si="14"/>
        <v>2331.4665529496483</v>
      </c>
      <c r="I91" s="72">
        <f t="shared" ca="1" si="15"/>
        <v>2355.7608226758339</v>
      </c>
      <c r="J91" s="72">
        <f t="shared" ca="1" si="16"/>
        <v>28.413182114175015</v>
      </c>
    </row>
    <row r="92" spans="1:10" ht="18" x14ac:dyDescent="0.3">
      <c r="A92" s="86">
        <v>78</v>
      </c>
      <c r="B92" s="72">
        <f t="shared" ca="1" si="9"/>
        <v>0.45441315544849692</v>
      </c>
      <c r="C92" s="72">
        <f t="shared" ca="1" si="9"/>
        <v>0.81939118702922054</v>
      </c>
      <c r="D92" s="72">
        <f t="shared" ca="1" si="10"/>
        <v>15.147332115899683</v>
      </c>
      <c r="E92" s="72">
        <f t="shared" ca="1" si="11"/>
        <v>38.031596464489652</v>
      </c>
      <c r="F92" s="72">
        <f t="shared" ca="1" si="12"/>
        <v>2342.4949726775585</v>
      </c>
      <c r="G92" s="72">
        <f t="shared" ca="1" si="13"/>
        <v>13.265849998275371</v>
      </c>
      <c r="H92" s="72">
        <f t="shared" ca="1" si="14"/>
        <v>2355.7608226758339</v>
      </c>
      <c r="I92" s="72">
        <f t="shared" ca="1" si="15"/>
        <v>2393.7924191403235</v>
      </c>
      <c r="J92" s="72">
        <f t="shared" ca="1" si="16"/>
        <v>51.297446462765038</v>
      </c>
    </row>
    <row r="93" spans="1:10" ht="18" x14ac:dyDescent="0.3">
      <c r="A93" s="86">
        <v>79</v>
      </c>
      <c r="B93" s="72">
        <f t="shared" ca="1" si="9"/>
        <v>0.17711801316838738</v>
      </c>
      <c r="C93" s="72">
        <f t="shared" ca="1" si="9"/>
        <v>0.75168777670244324</v>
      </c>
      <c r="D93" s="72">
        <f t="shared" ca="1" si="10"/>
        <v>4.8735620618301949</v>
      </c>
      <c r="E93" s="72">
        <f t="shared" ca="1" si="11"/>
        <v>30.957074660876685</v>
      </c>
      <c r="F93" s="72">
        <f t="shared" ca="1" si="12"/>
        <v>2347.3685347393889</v>
      </c>
      <c r="G93" s="72">
        <f t="shared" ca="1" si="13"/>
        <v>46.423884400934639</v>
      </c>
      <c r="H93" s="72">
        <f t="shared" ca="1" si="14"/>
        <v>2393.7924191403235</v>
      </c>
      <c r="I93" s="72">
        <f t="shared" ca="1" si="15"/>
        <v>2424.7494938012001</v>
      </c>
      <c r="J93" s="72">
        <f t="shared" ca="1" si="16"/>
        <v>77.380959061811154</v>
      </c>
    </row>
    <row r="94" spans="1:10" ht="18" x14ac:dyDescent="0.3">
      <c r="A94" s="86">
        <v>80</v>
      </c>
      <c r="B94" s="72">
        <f t="shared" ca="1" si="9"/>
        <v>0.17348245376896576</v>
      </c>
      <c r="C94" s="72">
        <f t="shared" ca="1" si="9"/>
        <v>0.71594074701759847</v>
      </c>
      <c r="D94" s="72">
        <f t="shared" ca="1" si="10"/>
        <v>4.763353309669303</v>
      </c>
      <c r="E94" s="72">
        <f t="shared" ca="1" si="11"/>
        <v>27.968276118237341</v>
      </c>
      <c r="F94" s="72">
        <f t="shared" ca="1" si="12"/>
        <v>2352.131888049058</v>
      </c>
      <c r="G94" s="72">
        <f t="shared" ca="1" si="13"/>
        <v>72.617605752142026</v>
      </c>
      <c r="H94" s="72">
        <f t="shared" ca="1" si="14"/>
        <v>2424.7494938012001</v>
      </c>
      <c r="I94" s="72">
        <f t="shared" ca="1" si="15"/>
        <v>2452.7177699194376</v>
      </c>
      <c r="J94" s="72">
        <f t="shared" ca="1" si="16"/>
        <v>100.58588187037958</v>
      </c>
    </row>
    <row r="95" spans="1:10" ht="18" x14ac:dyDescent="0.3">
      <c r="A95" s="86">
        <v>81</v>
      </c>
      <c r="B95" s="72">
        <f t="shared" ca="1" si="9"/>
        <v>0.1641429358390506</v>
      </c>
      <c r="C95" s="72">
        <f t="shared" ca="1" si="9"/>
        <v>0.23251024972148049</v>
      </c>
      <c r="D95" s="72">
        <f t="shared" ca="1" si="10"/>
        <v>4.4824414099877483</v>
      </c>
      <c r="E95" s="72">
        <f t="shared" ca="1" si="11"/>
        <v>5.8806700954650539</v>
      </c>
      <c r="F95" s="72">
        <f t="shared" ca="1" si="12"/>
        <v>2356.6143294590456</v>
      </c>
      <c r="G95" s="72">
        <f t="shared" ca="1" si="13"/>
        <v>96.103440460391994</v>
      </c>
      <c r="H95" s="72">
        <f t="shared" ca="1" si="14"/>
        <v>2452.7177699194376</v>
      </c>
      <c r="I95" s="72">
        <f t="shared" ca="1" si="15"/>
        <v>2458.5984400149027</v>
      </c>
      <c r="J95" s="72">
        <f t="shared" ca="1" si="16"/>
        <v>101.98411055585711</v>
      </c>
    </row>
    <row r="96" spans="1:10" ht="18" x14ac:dyDescent="0.3">
      <c r="A96" s="86">
        <v>82</v>
      </c>
      <c r="B96" s="72">
        <f t="shared" ca="1" si="9"/>
        <v>3.2307186721304948E-2</v>
      </c>
      <c r="C96" s="72">
        <f t="shared" ca="1" si="9"/>
        <v>3.8952322639581149E-2</v>
      </c>
      <c r="D96" s="72">
        <f t="shared" ca="1" si="10"/>
        <v>0.82101459308296953</v>
      </c>
      <c r="E96" s="72">
        <f t="shared" ca="1" si="11"/>
        <v>0.88291686677338066</v>
      </c>
      <c r="F96" s="72">
        <f t="shared" ca="1" si="12"/>
        <v>2357.4353440521286</v>
      </c>
      <c r="G96" s="72">
        <f t="shared" ca="1" si="13"/>
        <v>101.16309596277415</v>
      </c>
      <c r="H96" s="72">
        <f t="shared" ca="1" si="14"/>
        <v>2458.5984400149027</v>
      </c>
      <c r="I96" s="72">
        <f t="shared" ca="1" si="15"/>
        <v>2459.4813568816762</v>
      </c>
      <c r="J96" s="72">
        <f t="shared" ca="1" si="16"/>
        <v>102.04601282954764</v>
      </c>
    </row>
    <row r="97" spans="1:10" ht="18" x14ac:dyDescent="0.3">
      <c r="A97" s="86">
        <v>83</v>
      </c>
      <c r="B97" s="72">
        <f t="shared" ca="1" si="9"/>
        <v>0.33527246875238048</v>
      </c>
      <c r="C97" s="72">
        <f t="shared" ca="1" si="9"/>
        <v>0.6952217356087661</v>
      </c>
      <c r="D97" s="72">
        <f t="shared" ca="1" si="10"/>
        <v>10.209451243367425</v>
      </c>
      <c r="E97" s="72">
        <f t="shared" ca="1" si="11"/>
        <v>26.4037948614396</v>
      </c>
      <c r="F97" s="72">
        <f t="shared" ca="1" si="12"/>
        <v>2367.6447952954959</v>
      </c>
      <c r="G97" s="72">
        <f t="shared" ca="1" si="13"/>
        <v>91.836561586180324</v>
      </c>
      <c r="H97" s="72">
        <f t="shared" ca="1" si="14"/>
        <v>2459.4813568816762</v>
      </c>
      <c r="I97" s="72">
        <f t="shared" ca="1" si="15"/>
        <v>2485.8851517431158</v>
      </c>
      <c r="J97" s="72">
        <f t="shared" ca="1" si="16"/>
        <v>118.24035644761989</v>
      </c>
    </row>
    <row r="98" spans="1:10" ht="18" x14ac:dyDescent="0.3">
      <c r="A98" s="86">
        <v>84</v>
      </c>
      <c r="B98" s="72">
        <f t="shared" ca="1" si="9"/>
        <v>0.14044187063548652</v>
      </c>
      <c r="C98" s="72">
        <f t="shared" ca="1" si="9"/>
        <v>0.65390889724300871</v>
      </c>
      <c r="D98" s="72">
        <f t="shared" ca="1" si="10"/>
        <v>3.7834206210282093</v>
      </c>
      <c r="E98" s="72">
        <f t="shared" ca="1" si="11"/>
        <v>23.578960795925152</v>
      </c>
      <c r="F98" s="72">
        <f t="shared" ca="1" si="12"/>
        <v>2371.4282159165241</v>
      </c>
      <c r="G98" s="72">
        <f t="shared" ca="1" si="13"/>
        <v>114.45693582659169</v>
      </c>
      <c r="H98" s="72">
        <f t="shared" ca="1" si="14"/>
        <v>2485.8851517431158</v>
      </c>
      <c r="I98" s="72">
        <f t="shared" ca="1" si="15"/>
        <v>2509.4641125390408</v>
      </c>
      <c r="J98" s="72">
        <f t="shared" ca="1" si="16"/>
        <v>138.0358966225167</v>
      </c>
    </row>
    <row r="99" spans="1:10" ht="18" x14ac:dyDescent="0.3">
      <c r="A99" s="86">
        <v>85</v>
      </c>
      <c r="B99" s="72">
        <f t="shared" ca="1" si="9"/>
        <v>0.54620436872122935</v>
      </c>
      <c r="C99" s="72">
        <f t="shared" ca="1" si="9"/>
        <v>0.91008909732575505</v>
      </c>
      <c r="D99" s="72">
        <f t="shared" ca="1" si="10"/>
        <v>19.75270834144197</v>
      </c>
      <c r="E99" s="72">
        <f t="shared" ca="1" si="11"/>
        <v>53.531912650717047</v>
      </c>
      <c r="F99" s="72">
        <f t="shared" ca="1" si="12"/>
        <v>2391.1809242579661</v>
      </c>
      <c r="G99" s="72">
        <f t="shared" ca="1" si="13"/>
        <v>118.28318828107467</v>
      </c>
      <c r="H99" s="72">
        <f t="shared" ca="1" si="14"/>
        <v>2509.4641125390408</v>
      </c>
      <c r="I99" s="72">
        <f t="shared" ca="1" si="15"/>
        <v>2562.9960251897578</v>
      </c>
      <c r="J99" s="72">
        <f t="shared" ca="1" si="16"/>
        <v>171.81510093179168</v>
      </c>
    </row>
    <row r="100" spans="1:10" ht="18" x14ac:dyDescent="0.3">
      <c r="A100" s="86">
        <v>86</v>
      </c>
      <c r="B100" s="72">
        <f t="shared" ca="1" si="9"/>
        <v>0.83784600629914263</v>
      </c>
      <c r="C100" s="72">
        <f t="shared" ca="1" si="9"/>
        <v>0.30972404348150573</v>
      </c>
      <c r="D100" s="72">
        <f t="shared" ca="1" si="10"/>
        <v>45.480220421573406</v>
      </c>
      <c r="E100" s="72">
        <f t="shared" ca="1" si="11"/>
        <v>8.2369738746885659</v>
      </c>
      <c r="F100" s="72">
        <f t="shared" ca="1" si="12"/>
        <v>2436.6611446795396</v>
      </c>
      <c r="G100" s="72">
        <f t="shared" ca="1" si="13"/>
        <v>126.33488051021823</v>
      </c>
      <c r="H100" s="72">
        <f t="shared" ca="1" si="14"/>
        <v>2562.9960251897578</v>
      </c>
      <c r="I100" s="72">
        <f t="shared" ca="1" si="15"/>
        <v>2571.2329990644462</v>
      </c>
      <c r="J100" s="72">
        <f t="shared" ca="1" si="16"/>
        <v>134.5718543849066</v>
      </c>
    </row>
    <row r="101" spans="1:10" ht="18" x14ac:dyDescent="0.3">
      <c r="A101" s="86">
        <v>87</v>
      </c>
      <c r="B101" s="72">
        <f t="shared" ca="1" si="9"/>
        <v>0.23575011380873379</v>
      </c>
      <c r="C101" s="72">
        <f t="shared" ca="1" si="9"/>
        <v>0.10224552987889279</v>
      </c>
      <c r="D101" s="72">
        <f t="shared" ca="1" si="10"/>
        <v>6.7215116781696658</v>
      </c>
      <c r="E101" s="72">
        <f t="shared" ca="1" si="11"/>
        <v>2.3968592586441702</v>
      </c>
      <c r="F101" s="72">
        <f t="shared" ca="1" si="12"/>
        <v>2443.382656357709</v>
      </c>
      <c r="G101" s="72">
        <f t="shared" ca="1" si="13"/>
        <v>127.85034270673714</v>
      </c>
      <c r="H101" s="72">
        <f t="shared" ca="1" si="14"/>
        <v>2571.2329990644462</v>
      </c>
      <c r="I101" s="72">
        <f t="shared" ca="1" si="15"/>
        <v>2573.6298583230905</v>
      </c>
      <c r="J101" s="72">
        <f t="shared" ca="1" si="16"/>
        <v>130.24720196538146</v>
      </c>
    </row>
    <row r="102" spans="1:10" ht="18" x14ac:dyDescent="0.3">
      <c r="A102" s="86">
        <v>88</v>
      </c>
      <c r="B102" s="72">
        <f t="shared" ca="1" si="9"/>
        <v>0.29457789800674505</v>
      </c>
      <c r="C102" s="72">
        <f t="shared" ca="1" si="9"/>
        <v>0.69877705678202284</v>
      </c>
      <c r="D102" s="72">
        <f t="shared" ca="1" si="10"/>
        <v>8.7239732275835262</v>
      </c>
      <c r="E102" s="72">
        <f t="shared" ca="1" si="11"/>
        <v>26.664546961220982</v>
      </c>
      <c r="F102" s="72">
        <f t="shared" ca="1" si="12"/>
        <v>2452.1066295852925</v>
      </c>
      <c r="G102" s="72">
        <f t="shared" ca="1" si="13"/>
        <v>121.52322873779804</v>
      </c>
      <c r="H102" s="72">
        <f t="shared" ca="1" si="14"/>
        <v>2573.6298583230905</v>
      </c>
      <c r="I102" s="72">
        <f t="shared" ca="1" si="15"/>
        <v>2600.2944052843113</v>
      </c>
      <c r="J102" s="72">
        <f t="shared" ca="1" si="16"/>
        <v>148.18777569901886</v>
      </c>
    </row>
    <row r="103" spans="1:10" ht="18" x14ac:dyDescent="0.3">
      <c r="A103" s="86">
        <v>89</v>
      </c>
      <c r="B103" s="72">
        <f t="shared" ca="1" si="9"/>
        <v>0.75600959574351978</v>
      </c>
      <c r="C103" s="72">
        <f t="shared" ca="1" si="9"/>
        <v>0.10799829112818427</v>
      </c>
      <c r="D103" s="72">
        <f t="shared" ca="1" si="10"/>
        <v>35.265659531998971</v>
      </c>
      <c r="E103" s="72">
        <f t="shared" ca="1" si="11"/>
        <v>2.539716236186325</v>
      </c>
      <c r="F103" s="72">
        <f t="shared" ca="1" si="12"/>
        <v>2487.3722891172915</v>
      </c>
      <c r="G103" s="72">
        <f t="shared" ca="1" si="13"/>
        <v>112.92211616701979</v>
      </c>
      <c r="H103" s="72">
        <f t="shared" ca="1" si="14"/>
        <v>2600.2944052843113</v>
      </c>
      <c r="I103" s="72">
        <f t="shared" ca="1" si="15"/>
        <v>2602.8341215204978</v>
      </c>
      <c r="J103" s="72">
        <f t="shared" ca="1" si="16"/>
        <v>115.46183240320624</v>
      </c>
    </row>
    <row r="104" spans="1:10" ht="18" x14ac:dyDescent="0.3">
      <c r="A104" s="86">
        <v>90</v>
      </c>
      <c r="B104" s="72">
        <f t="shared" ca="1" si="9"/>
        <v>0.67047151593160481</v>
      </c>
      <c r="C104" s="72">
        <f t="shared" ca="1" si="9"/>
        <v>0.81840445338684253</v>
      </c>
      <c r="D104" s="72">
        <f t="shared" ca="1" si="10"/>
        <v>27.752312060944277</v>
      </c>
      <c r="E104" s="72">
        <f t="shared" ca="1" si="11"/>
        <v>37.910518581576433</v>
      </c>
      <c r="F104" s="72">
        <f t="shared" ca="1" si="12"/>
        <v>2515.1246011782359</v>
      </c>
      <c r="G104" s="72">
        <f t="shared" ca="1" si="13"/>
        <v>87.70952034226184</v>
      </c>
      <c r="H104" s="72">
        <f t="shared" ca="1" si="14"/>
        <v>2602.8341215204978</v>
      </c>
      <c r="I104" s="72">
        <f t="shared" ca="1" si="15"/>
        <v>2640.7446401020743</v>
      </c>
      <c r="J104" s="72">
        <f t="shared" ca="1" si="16"/>
        <v>125.62003892383837</v>
      </c>
    </row>
    <row r="105" spans="1:10" ht="18" x14ac:dyDescent="0.3">
      <c r="A105" s="86">
        <v>91</v>
      </c>
      <c r="B105" s="72">
        <f t="shared" ca="1" si="9"/>
        <v>0.59753081945468722</v>
      </c>
      <c r="C105" s="72">
        <f t="shared" ca="1" si="9"/>
        <v>0.88970513280252839</v>
      </c>
      <c r="D105" s="72">
        <f t="shared" ca="1" si="10"/>
        <v>22.753418878222845</v>
      </c>
      <c r="E105" s="72">
        <f t="shared" ca="1" si="11"/>
        <v>48.991064194070923</v>
      </c>
      <c r="F105" s="72">
        <f t="shared" ca="1" si="12"/>
        <v>2537.8780200564588</v>
      </c>
      <c r="G105" s="72">
        <f t="shared" ca="1" si="13"/>
        <v>102.86662004561549</v>
      </c>
      <c r="H105" s="72">
        <f t="shared" ca="1" si="14"/>
        <v>2640.7446401020743</v>
      </c>
      <c r="I105" s="72">
        <f t="shared" ca="1" si="15"/>
        <v>2689.7357042961453</v>
      </c>
      <c r="J105" s="72">
        <f t="shared" ca="1" si="16"/>
        <v>151.85768423968648</v>
      </c>
    </row>
    <row r="106" spans="1:10" ht="18" x14ac:dyDescent="0.3">
      <c r="A106" s="86">
        <v>92</v>
      </c>
      <c r="B106" s="72">
        <f t="shared" ca="1" si="9"/>
        <v>0.26102016350814938</v>
      </c>
      <c r="C106" s="72">
        <f t="shared" ca="1" si="9"/>
        <v>0.73600774737992181</v>
      </c>
      <c r="D106" s="72">
        <f t="shared" ca="1" si="10"/>
        <v>7.5621160815396395</v>
      </c>
      <c r="E106" s="72">
        <f t="shared" ca="1" si="11"/>
        <v>29.596344942277653</v>
      </c>
      <c r="F106" s="72">
        <f t="shared" ca="1" si="12"/>
        <v>2545.4401361379983</v>
      </c>
      <c r="G106" s="72">
        <f t="shared" ca="1" si="13"/>
        <v>144.29556815814703</v>
      </c>
      <c r="H106" s="72">
        <f t="shared" ca="1" si="14"/>
        <v>2689.7357042961453</v>
      </c>
      <c r="I106" s="72">
        <f t="shared" ca="1" si="15"/>
        <v>2719.3320492384228</v>
      </c>
      <c r="J106" s="72">
        <f t="shared" ca="1" si="16"/>
        <v>173.89191310042452</v>
      </c>
    </row>
    <row r="107" spans="1:10" ht="18" x14ac:dyDescent="0.3">
      <c r="A107" s="86">
        <v>93</v>
      </c>
      <c r="B107" s="72">
        <f t="shared" ca="1" si="9"/>
        <v>0.5530390264246936</v>
      </c>
      <c r="C107" s="72">
        <f t="shared" ca="1" si="9"/>
        <v>0.52334239804788674</v>
      </c>
      <c r="D107" s="72">
        <f t="shared" ca="1" si="10"/>
        <v>20.132099890446941</v>
      </c>
      <c r="E107" s="72">
        <f t="shared" ca="1" si="11"/>
        <v>16.465708032462121</v>
      </c>
      <c r="F107" s="72">
        <f t="shared" ca="1" si="12"/>
        <v>2565.5722360284453</v>
      </c>
      <c r="G107" s="72">
        <f t="shared" ca="1" si="13"/>
        <v>153.75981320997744</v>
      </c>
      <c r="H107" s="72">
        <f t="shared" ca="1" si="14"/>
        <v>2719.3320492384228</v>
      </c>
      <c r="I107" s="72">
        <f t="shared" ca="1" si="15"/>
        <v>2735.7977572708851</v>
      </c>
      <c r="J107" s="72">
        <f t="shared" ca="1" si="16"/>
        <v>170.22552124243975</v>
      </c>
    </row>
    <row r="108" spans="1:10" ht="18" x14ac:dyDescent="0.3">
      <c r="A108" s="86">
        <v>94</v>
      </c>
      <c r="B108" s="72">
        <f t="shared" ca="1" si="9"/>
        <v>0.86167241564356101</v>
      </c>
      <c r="C108" s="72">
        <f t="shared" ca="1" si="9"/>
        <v>6.1251200601674105E-3</v>
      </c>
      <c r="D108" s="72">
        <f t="shared" ca="1" si="10"/>
        <v>49.453265178806447</v>
      </c>
      <c r="E108" s="72">
        <f t="shared" ca="1" si="11"/>
        <v>0.13653234579032356</v>
      </c>
      <c r="F108" s="72">
        <f t="shared" ca="1" si="12"/>
        <v>2615.0255012072516</v>
      </c>
      <c r="G108" s="72">
        <f t="shared" ca="1" si="13"/>
        <v>120.77225606363345</v>
      </c>
      <c r="H108" s="72">
        <f t="shared" ca="1" si="14"/>
        <v>2735.7977572708851</v>
      </c>
      <c r="I108" s="72">
        <f t="shared" ca="1" si="15"/>
        <v>2735.9342896166754</v>
      </c>
      <c r="J108" s="72">
        <f t="shared" ca="1" si="16"/>
        <v>120.90878840942378</v>
      </c>
    </row>
    <row r="109" spans="1:10" ht="18" x14ac:dyDescent="0.3">
      <c r="A109" s="86">
        <v>95</v>
      </c>
      <c r="B109" s="72">
        <f t="shared" ca="1" si="9"/>
        <v>0.79687538423490867</v>
      </c>
      <c r="C109" s="72">
        <f t="shared" ca="1" si="9"/>
        <v>2.4174552133927607E-2</v>
      </c>
      <c r="D109" s="72">
        <f t="shared" ca="1" si="10"/>
        <v>39.848390437948403</v>
      </c>
      <c r="E109" s="72">
        <f t="shared" ca="1" si="11"/>
        <v>0.54381228806949478</v>
      </c>
      <c r="F109" s="72">
        <f t="shared" ca="1" si="12"/>
        <v>2654.8738916451998</v>
      </c>
      <c r="G109" s="72">
        <f t="shared" ca="1" si="13"/>
        <v>81.060397971475595</v>
      </c>
      <c r="H109" s="72">
        <f t="shared" ca="1" si="14"/>
        <v>2735.9342896166754</v>
      </c>
      <c r="I109" s="72">
        <f t="shared" ca="1" si="15"/>
        <v>2736.478101904745</v>
      </c>
      <c r="J109" s="72">
        <f t="shared" ca="1" si="16"/>
        <v>81.604210259545198</v>
      </c>
    </row>
    <row r="110" spans="1:10" ht="18" x14ac:dyDescent="0.3">
      <c r="A110" s="86">
        <v>96</v>
      </c>
      <c r="B110" s="72">
        <f t="shared" ca="1" si="9"/>
        <v>0.97443048409561417</v>
      </c>
      <c r="C110" s="72">
        <f t="shared" ca="1" si="9"/>
        <v>0.40711638514892456</v>
      </c>
      <c r="D110" s="72">
        <f t="shared" ca="1" si="10"/>
        <v>91.658860550733095</v>
      </c>
      <c r="E110" s="72">
        <f t="shared" ca="1" si="11"/>
        <v>11.616825872300588</v>
      </c>
      <c r="F110" s="72">
        <f t="shared" ca="1" si="12"/>
        <v>2746.532752195933</v>
      </c>
      <c r="G110" s="72">
        <f t="shared" ca="1" si="13"/>
        <v>0</v>
      </c>
      <c r="H110" s="72">
        <f t="shared" ca="1" si="14"/>
        <v>2746.532752195933</v>
      </c>
      <c r="I110" s="72">
        <f t="shared" ca="1" si="15"/>
        <v>2758.1495780682335</v>
      </c>
      <c r="J110" s="72">
        <f t="shared" ca="1" si="16"/>
        <v>11.616825872300524</v>
      </c>
    </row>
    <row r="111" spans="1:10" ht="18" x14ac:dyDescent="0.3">
      <c r="A111" s="86">
        <v>97</v>
      </c>
      <c r="B111" s="72">
        <f t="shared" ca="1" si="9"/>
        <v>0.11289584106660833</v>
      </c>
      <c r="C111" s="72">
        <f t="shared" ca="1" si="9"/>
        <v>9.3473464288007957E-2</v>
      </c>
      <c r="D111" s="72">
        <f t="shared" ca="1" si="10"/>
        <v>2.9948218807861684</v>
      </c>
      <c r="E111" s="72">
        <f t="shared" ca="1" si="11"/>
        <v>2.1807772556722851</v>
      </c>
      <c r="F111" s="72">
        <f t="shared" ca="1" si="12"/>
        <v>2749.5275740767192</v>
      </c>
      <c r="G111" s="72">
        <f t="shared" ca="1" si="13"/>
        <v>8.6220039915142479</v>
      </c>
      <c r="H111" s="72">
        <f t="shared" ca="1" si="14"/>
        <v>2758.1495780682335</v>
      </c>
      <c r="I111" s="72">
        <f t="shared" ca="1" si="15"/>
        <v>2760.3303553239057</v>
      </c>
      <c r="J111" s="72">
        <f t="shared" ca="1" si="16"/>
        <v>10.802781247186431</v>
      </c>
    </row>
    <row r="112" spans="1:10" ht="18" x14ac:dyDescent="0.3">
      <c r="A112" s="86">
        <v>98</v>
      </c>
      <c r="B112" s="72">
        <f t="shared" ca="1" si="9"/>
        <v>0.75968721549850748</v>
      </c>
      <c r="C112" s="72">
        <f t="shared" ca="1" si="9"/>
        <v>0.71612762623697079</v>
      </c>
      <c r="D112" s="72">
        <f t="shared" ca="1" si="10"/>
        <v>35.645348385037536</v>
      </c>
      <c r="E112" s="72">
        <f t="shared" ca="1" si="11"/>
        <v>27.982900666319971</v>
      </c>
      <c r="F112" s="72">
        <f t="shared" ca="1" si="12"/>
        <v>2785.1729224617566</v>
      </c>
      <c r="G112" s="72">
        <f t="shared" ca="1" si="13"/>
        <v>0</v>
      </c>
      <c r="H112" s="72">
        <f t="shared" ca="1" si="14"/>
        <v>2785.1729224617566</v>
      </c>
      <c r="I112" s="72">
        <f t="shared" ca="1" si="15"/>
        <v>2813.1558231280765</v>
      </c>
      <c r="J112" s="72">
        <f t="shared" ca="1" si="16"/>
        <v>27.982900666319892</v>
      </c>
    </row>
    <row r="113" spans="1:10" ht="18" x14ac:dyDescent="0.3">
      <c r="A113" s="86">
        <v>99</v>
      </c>
      <c r="B113" s="72">
        <f t="shared" ref="B113:C144" ca="1" si="17">RAND()</f>
        <v>0.57839627643332869</v>
      </c>
      <c r="C113" s="72">
        <f t="shared" ca="1" si="17"/>
        <v>9.800451196563098E-2</v>
      </c>
      <c r="D113" s="72">
        <f t="shared" ca="1" si="10"/>
        <v>21.592236245118201</v>
      </c>
      <c r="E113" s="72">
        <f t="shared" ca="1" si="11"/>
        <v>2.2921280246936915</v>
      </c>
      <c r="F113" s="72">
        <f t="shared" ca="1" si="12"/>
        <v>2806.7651587068749</v>
      </c>
      <c r="G113" s="72">
        <f t="shared" ca="1" si="13"/>
        <v>6.3906644212015635</v>
      </c>
      <c r="H113" s="72">
        <f t="shared" ca="1" si="14"/>
        <v>2813.1558231280765</v>
      </c>
      <c r="I113" s="72">
        <f t="shared" ca="1" si="15"/>
        <v>2815.4479511527702</v>
      </c>
      <c r="J113" s="72">
        <f t="shared" ca="1" si="16"/>
        <v>8.6827924458953021</v>
      </c>
    </row>
    <row r="114" spans="1:10" ht="18" x14ac:dyDescent="0.3">
      <c r="A114" s="86">
        <v>100</v>
      </c>
      <c r="B114" s="72">
        <f t="shared" ca="1" si="17"/>
        <v>0.81485532551701223</v>
      </c>
      <c r="C114" s="72">
        <f t="shared" ca="1" si="17"/>
        <v>0.3462627598475424</v>
      </c>
      <c r="D114" s="72">
        <f t="shared" ca="1" si="10"/>
        <v>42.165443382326764</v>
      </c>
      <c r="E114" s="72">
        <f t="shared" ca="1" si="11"/>
        <v>9.445550704993618</v>
      </c>
      <c r="F114" s="72">
        <f t="shared" ca="1" si="12"/>
        <v>2848.9306020892018</v>
      </c>
      <c r="G114" s="72">
        <f t="shared" ca="1" si="13"/>
        <v>0</v>
      </c>
      <c r="H114" s="72">
        <f t="shared" ca="1" si="14"/>
        <v>2848.9306020892018</v>
      </c>
      <c r="I114" s="72">
        <f t="shared" ca="1" si="15"/>
        <v>2858.3761527941956</v>
      </c>
      <c r="J114" s="72">
        <f t="shared" ca="1" si="16"/>
        <v>9.4455507049938205</v>
      </c>
    </row>
    <row r="115" spans="1:10" ht="18" x14ac:dyDescent="0.3">
      <c r="A115" s="86">
        <v>101</v>
      </c>
      <c r="B115" s="72">
        <f t="shared" ca="1" si="17"/>
        <v>0.35426864547136783</v>
      </c>
      <c r="C115" s="72">
        <f t="shared" ca="1" si="17"/>
        <v>3.8666892701586963E-2</v>
      </c>
      <c r="D115" s="72">
        <f t="shared" ca="1" si="10"/>
        <v>10.934293038900668</v>
      </c>
      <c r="E115" s="72">
        <f t="shared" ca="1" si="11"/>
        <v>0.87631787493138014</v>
      </c>
      <c r="F115" s="72">
        <f t="shared" ca="1" si="12"/>
        <v>2859.8648951281025</v>
      </c>
      <c r="G115" s="72">
        <f t="shared" ca="1" si="13"/>
        <v>0</v>
      </c>
      <c r="H115" s="72">
        <f t="shared" ca="1" si="14"/>
        <v>2859.8648951281025</v>
      </c>
      <c r="I115" s="72">
        <f t="shared" ca="1" si="15"/>
        <v>2860.7412130030339</v>
      </c>
      <c r="J115" s="72">
        <f t="shared" ca="1" si="16"/>
        <v>0.87631787493137381</v>
      </c>
    </row>
    <row r="116" spans="1:10" ht="18" x14ac:dyDescent="0.3">
      <c r="A116" s="86">
        <v>102</v>
      </c>
      <c r="B116" s="72">
        <f t="shared" ca="1" si="17"/>
        <v>0.84015319072143024</v>
      </c>
      <c r="C116" s="72">
        <f t="shared" ca="1" si="17"/>
        <v>0.46419613163856643</v>
      </c>
      <c r="D116" s="72">
        <f t="shared" ca="1" si="10"/>
        <v>45.838484109940509</v>
      </c>
      <c r="E116" s="72">
        <f t="shared" ca="1" si="11"/>
        <v>13.86638004692254</v>
      </c>
      <c r="F116" s="72">
        <f t="shared" ca="1" si="12"/>
        <v>2905.703379238043</v>
      </c>
      <c r="G116" s="72">
        <f t="shared" ca="1" si="13"/>
        <v>0</v>
      </c>
      <c r="H116" s="72">
        <f t="shared" ca="1" si="14"/>
        <v>2905.703379238043</v>
      </c>
      <c r="I116" s="72">
        <f t="shared" ca="1" si="15"/>
        <v>2919.5697592849656</v>
      </c>
      <c r="J116" s="72">
        <f t="shared" ca="1" si="16"/>
        <v>13.866380046922586</v>
      </c>
    </row>
    <row r="117" spans="1:10" ht="18" x14ac:dyDescent="0.3">
      <c r="A117" s="86">
        <v>103</v>
      </c>
      <c r="B117" s="72">
        <f t="shared" ca="1" si="17"/>
        <v>0.22514755852023915</v>
      </c>
      <c r="C117" s="72">
        <f t="shared" ca="1" si="17"/>
        <v>0.5074661224013749</v>
      </c>
      <c r="D117" s="72">
        <f t="shared" ca="1" si="10"/>
        <v>6.377066646185968</v>
      </c>
      <c r="E117" s="72">
        <f t="shared" ca="1" si="11"/>
        <v>15.737600749631698</v>
      </c>
      <c r="F117" s="72">
        <f t="shared" ca="1" si="12"/>
        <v>2912.080445884229</v>
      </c>
      <c r="G117" s="72">
        <f t="shared" ca="1" si="13"/>
        <v>7.4893134007365916</v>
      </c>
      <c r="H117" s="72">
        <f t="shared" ca="1" si="14"/>
        <v>2919.5697592849656</v>
      </c>
      <c r="I117" s="72">
        <f t="shared" ca="1" si="15"/>
        <v>2935.3073600345974</v>
      </c>
      <c r="J117" s="72">
        <f t="shared" ca="1" si="16"/>
        <v>23.22691415036843</v>
      </c>
    </row>
    <row r="118" spans="1:10" ht="18" x14ac:dyDescent="0.3">
      <c r="A118" s="86">
        <v>104</v>
      </c>
      <c r="B118" s="72">
        <f t="shared" ca="1" si="17"/>
        <v>0.78165642630605059</v>
      </c>
      <c r="C118" s="72">
        <f t="shared" ca="1" si="17"/>
        <v>0.39856899276950264</v>
      </c>
      <c r="D118" s="72">
        <f t="shared" ca="1" si="10"/>
        <v>38.042135767496084</v>
      </c>
      <c r="E118" s="72">
        <f t="shared" ca="1" si="11"/>
        <v>11.29874336316154</v>
      </c>
      <c r="F118" s="72">
        <f t="shared" ca="1" si="12"/>
        <v>2950.1225816517249</v>
      </c>
      <c r="G118" s="72">
        <f t="shared" ca="1" si="13"/>
        <v>0</v>
      </c>
      <c r="H118" s="72">
        <f t="shared" ca="1" si="14"/>
        <v>2950.1225816517249</v>
      </c>
      <c r="I118" s="72">
        <f t="shared" ca="1" si="15"/>
        <v>2961.4213250148864</v>
      </c>
      <c r="J118" s="72">
        <f t="shared" ca="1" si="16"/>
        <v>11.29874336316152</v>
      </c>
    </row>
    <row r="119" spans="1:10" ht="18" x14ac:dyDescent="0.3">
      <c r="A119" s="86">
        <v>105</v>
      </c>
      <c r="B119" s="72">
        <f t="shared" ca="1" si="17"/>
        <v>5.0448019214044404E-4</v>
      </c>
      <c r="C119" s="72">
        <f t="shared" ca="1" si="17"/>
        <v>0.20462980521678864</v>
      </c>
      <c r="D119" s="72">
        <f t="shared" ca="1" si="10"/>
        <v>1.2615187127136981E-2</v>
      </c>
      <c r="E119" s="72">
        <f t="shared" ca="1" si="11"/>
        <v>5.0877248643452937</v>
      </c>
      <c r="F119" s="72">
        <f t="shared" ca="1" si="12"/>
        <v>2950.1351968388522</v>
      </c>
      <c r="G119" s="72">
        <f t="shared" ca="1" si="13"/>
        <v>11.286128176034254</v>
      </c>
      <c r="H119" s="72">
        <f t="shared" ca="1" si="14"/>
        <v>2961.4213250148864</v>
      </c>
      <c r="I119" s="72">
        <f t="shared" ca="1" si="15"/>
        <v>2966.5090498792315</v>
      </c>
      <c r="J119" s="72">
        <f t="shared" ca="1" si="16"/>
        <v>16.373853040379345</v>
      </c>
    </row>
    <row r="120" spans="1:10" ht="18" x14ac:dyDescent="0.3">
      <c r="A120" s="86">
        <v>106</v>
      </c>
      <c r="B120" s="72">
        <f t="shared" ca="1" si="17"/>
        <v>0.38659339110017199</v>
      </c>
      <c r="C120" s="72">
        <f t="shared" ca="1" si="17"/>
        <v>0.98087013884936303</v>
      </c>
      <c r="D120" s="72">
        <f t="shared" ca="1" si="10"/>
        <v>12.218181328774566</v>
      </c>
      <c r="E120" s="72">
        <f t="shared" ca="1" si="11"/>
        <v>87.922327861248021</v>
      </c>
      <c r="F120" s="72">
        <f t="shared" ca="1" si="12"/>
        <v>2962.3533781676269</v>
      </c>
      <c r="G120" s="72">
        <f t="shared" ca="1" si="13"/>
        <v>4.1556717116045547</v>
      </c>
      <c r="H120" s="72">
        <f t="shared" ca="1" si="14"/>
        <v>2966.5090498792315</v>
      </c>
      <c r="I120" s="72">
        <f t="shared" ca="1" si="15"/>
        <v>3054.4313777404795</v>
      </c>
      <c r="J120" s="72">
        <f t="shared" ca="1" si="16"/>
        <v>92.077999572852605</v>
      </c>
    </row>
    <row r="121" spans="1:10" ht="18" x14ac:dyDescent="0.3">
      <c r="A121" s="86">
        <v>107</v>
      </c>
      <c r="B121" s="72">
        <f t="shared" ca="1" si="17"/>
        <v>0.61541660162138501</v>
      </c>
      <c r="C121" s="72">
        <f t="shared" ca="1" si="17"/>
        <v>0.71188149750499519</v>
      </c>
      <c r="D121" s="72">
        <f t="shared" ca="1" si="10"/>
        <v>23.889865317534316</v>
      </c>
      <c r="E121" s="72">
        <f t="shared" ca="1" si="11"/>
        <v>27.65296481064394</v>
      </c>
      <c r="F121" s="72">
        <f t="shared" ca="1" si="12"/>
        <v>2986.2432434851612</v>
      </c>
      <c r="G121" s="72">
        <f t="shared" ca="1" si="13"/>
        <v>68.188134255318346</v>
      </c>
      <c r="H121" s="72">
        <f t="shared" ca="1" si="14"/>
        <v>3054.4313777404795</v>
      </c>
      <c r="I121" s="72">
        <f t="shared" ca="1" si="15"/>
        <v>3082.0843425511234</v>
      </c>
      <c r="J121" s="72">
        <f t="shared" ca="1" si="16"/>
        <v>95.841099065962226</v>
      </c>
    </row>
    <row r="122" spans="1:10" ht="18" x14ac:dyDescent="0.3">
      <c r="A122" s="86">
        <v>108</v>
      </c>
      <c r="B122" s="72">
        <f t="shared" ca="1" si="17"/>
        <v>0.16075375108647527</v>
      </c>
      <c r="C122" s="72">
        <f t="shared" ca="1" si="17"/>
        <v>0.84987916182433298</v>
      </c>
      <c r="D122" s="72">
        <f t="shared" ca="1" si="10"/>
        <v>4.3812778175451479</v>
      </c>
      <c r="E122" s="72">
        <f t="shared" ca="1" si="11"/>
        <v>42.140327141329344</v>
      </c>
      <c r="F122" s="72">
        <f t="shared" ca="1" si="12"/>
        <v>2990.6245213027064</v>
      </c>
      <c r="G122" s="72">
        <f t="shared" ca="1" si="13"/>
        <v>91.459821248417029</v>
      </c>
      <c r="H122" s="72">
        <f t="shared" ca="1" si="14"/>
        <v>3082.0843425511234</v>
      </c>
      <c r="I122" s="72">
        <f t="shared" ca="1" si="15"/>
        <v>3124.2246696924526</v>
      </c>
      <c r="J122" s="72">
        <f t="shared" ca="1" si="16"/>
        <v>133.60014838974621</v>
      </c>
    </row>
    <row r="123" spans="1:10" ht="18" x14ac:dyDescent="0.3">
      <c r="A123" s="86">
        <v>109</v>
      </c>
      <c r="B123" s="72">
        <f t="shared" ca="1" si="17"/>
        <v>0.59395270432096137</v>
      </c>
      <c r="C123" s="72">
        <f t="shared" ca="1" si="17"/>
        <v>0.29954799004657451</v>
      </c>
      <c r="D123" s="72">
        <f t="shared" ca="1" si="10"/>
        <v>22.532140858618938</v>
      </c>
      <c r="E123" s="72">
        <f t="shared" ca="1" si="11"/>
        <v>7.9117649739285447</v>
      </c>
      <c r="F123" s="72">
        <f t="shared" ca="1" si="12"/>
        <v>3013.1566621613251</v>
      </c>
      <c r="G123" s="72">
        <f t="shared" ca="1" si="13"/>
        <v>111.06800753112748</v>
      </c>
      <c r="H123" s="72">
        <f t="shared" ca="1" si="14"/>
        <v>3124.2246696924526</v>
      </c>
      <c r="I123" s="72">
        <f t="shared" ca="1" si="15"/>
        <v>3132.1364346663813</v>
      </c>
      <c r="J123" s="72">
        <f t="shared" ca="1" si="16"/>
        <v>118.97977250505619</v>
      </c>
    </row>
    <row r="124" spans="1:10" ht="18" x14ac:dyDescent="0.3">
      <c r="A124" s="86">
        <v>110</v>
      </c>
      <c r="B124" s="72">
        <f t="shared" ca="1" si="17"/>
        <v>0.90537391217200414</v>
      </c>
      <c r="C124" s="72">
        <f t="shared" ca="1" si="17"/>
        <v>7.5684317590717365E-3</v>
      </c>
      <c r="D124" s="72">
        <f t="shared" ca="1" si="10"/>
        <v>58.945551777246393</v>
      </c>
      <c r="E124" s="72">
        <f t="shared" ca="1" si="11"/>
        <v>0.16882705941141443</v>
      </c>
      <c r="F124" s="72">
        <f t="shared" ca="1" si="12"/>
        <v>3072.1022139385714</v>
      </c>
      <c r="G124" s="72">
        <f t="shared" ca="1" si="13"/>
        <v>60.034220727809952</v>
      </c>
      <c r="H124" s="72">
        <f t="shared" ca="1" si="14"/>
        <v>3132.1364346663813</v>
      </c>
      <c r="I124" s="72">
        <f t="shared" ca="1" si="15"/>
        <v>3132.3052617257927</v>
      </c>
      <c r="J124" s="72">
        <f t="shared" ca="1" si="16"/>
        <v>60.203047787221294</v>
      </c>
    </row>
    <row r="125" spans="1:10" ht="18" x14ac:dyDescent="0.3">
      <c r="A125" s="86">
        <v>111</v>
      </c>
      <c r="B125" s="72">
        <f t="shared" ca="1" si="17"/>
        <v>0.41572577458580806</v>
      </c>
      <c r="C125" s="72">
        <f t="shared" ca="1" si="17"/>
        <v>0.92375904991898938</v>
      </c>
      <c r="D125" s="72">
        <f t="shared" ca="1" si="10"/>
        <v>13.434621057480484</v>
      </c>
      <c r="E125" s="72">
        <f t="shared" ca="1" si="11"/>
        <v>57.196812400015247</v>
      </c>
      <c r="F125" s="72">
        <f t="shared" ca="1" si="12"/>
        <v>3085.5368349960518</v>
      </c>
      <c r="G125" s="72">
        <f t="shared" ca="1" si="13"/>
        <v>46.768426729740895</v>
      </c>
      <c r="H125" s="72">
        <f t="shared" ca="1" si="14"/>
        <v>3132.3052617257927</v>
      </c>
      <c r="I125" s="72">
        <f t="shared" ca="1" si="15"/>
        <v>3189.5020741258081</v>
      </c>
      <c r="J125" s="72">
        <f t="shared" ca="1" si="16"/>
        <v>103.96523912975636</v>
      </c>
    </row>
    <row r="126" spans="1:10" ht="18" x14ac:dyDescent="0.3">
      <c r="A126" s="86">
        <v>112</v>
      </c>
      <c r="B126" s="72">
        <f t="shared" ca="1" si="17"/>
        <v>0.75013142420335388</v>
      </c>
      <c r="C126" s="72">
        <f t="shared" ca="1" si="17"/>
        <v>0.68261610194903599</v>
      </c>
      <c r="D126" s="72">
        <f t="shared" ca="1" si="10"/>
        <v>34.670504904008041</v>
      </c>
      <c r="E126" s="72">
        <f t="shared" ca="1" si="11"/>
        <v>25.503182287888645</v>
      </c>
      <c r="F126" s="72">
        <f t="shared" ca="1" si="12"/>
        <v>3120.2073399000597</v>
      </c>
      <c r="G126" s="72">
        <f t="shared" ca="1" si="13"/>
        <v>69.294734225748471</v>
      </c>
      <c r="H126" s="72">
        <f t="shared" ca="1" si="14"/>
        <v>3189.5020741258081</v>
      </c>
      <c r="I126" s="72">
        <f t="shared" ca="1" si="15"/>
        <v>3215.0052564136968</v>
      </c>
      <c r="J126" s="72">
        <f t="shared" ca="1" si="16"/>
        <v>94.797916513637119</v>
      </c>
    </row>
    <row r="127" spans="1:10" ht="18" x14ac:dyDescent="0.3">
      <c r="A127" s="86">
        <v>113</v>
      </c>
      <c r="B127" s="72">
        <f t="shared" ca="1" si="17"/>
        <v>0.64437997577671069</v>
      </c>
      <c r="C127" s="72">
        <f t="shared" ca="1" si="17"/>
        <v>0.87328222346390361</v>
      </c>
      <c r="D127" s="72">
        <f t="shared" ca="1" si="10"/>
        <v>25.847311645967057</v>
      </c>
      <c r="E127" s="72">
        <f t="shared" ca="1" si="11"/>
        <v>45.906508829876685</v>
      </c>
      <c r="F127" s="72">
        <f t="shared" ca="1" si="12"/>
        <v>3146.0546515460269</v>
      </c>
      <c r="G127" s="72">
        <f t="shared" ca="1" si="13"/>
        <v>68.950604867669881</v>
      </c>
      <c r="H127" s="72">
        <f t="shared" ca="1" si="14"/>
        <v>3215.0052564136968</v>
      </c>
      <c r="I127" s="72">
        <f t="shared" ca="1" si="15"/>
        <v>3260.9117652435734</v>
      </c>
      <c r="J127" s="72">
        <f t="shared" ca="1" si="16"/>
        <v>114.85711369754654</v>
      </c>
    </row>
    <row r="128" spans="1:10" ht="18" x14ac:dyDescent="0.3">
      <c r="A128" s="86">
        <v>114</v>
      </c>
      <c r="B128" s="72">
        <f t="shared" ca="1" si="17"/>
        <v>0.28503859056105985</v>
      </c>
      <c r="C128" s="72">
        <f t="shared" ca="1" si="17"/>
        <v>0.95230431899062817</v>
      </c>
      <c r="D128" s="72">
        <f t="shared" ca="1" si="10"/>
        <v>8.3881677639346286</v>
      </c>
      <c r="E128" s="72">
        <f t="shared" ca="1" si="11"/>
        <v>67.62032066809283</v>
      </c>
      <c r="F128" s="72">
        <f t="shared" ca="1" si="12"/>
        <v>3154.4428193099616</v>
      </c>
      <c r="G128" s="72">
        <f t="shared" ca="1" si="13"/>
        <v>106.46894593361185</v>
      </c>
      <c r="H128" s="72">
        <f t="shared" ca="1" si="14"/>
        <v>3260.9117652435734</v>
      </c>
      <c r="I128" s="72">
        <f t="shared" ca="1" si="15"/>
        <v>3328.5320859116664</v>
      </c>
      <c r="J128" s="72">
        <f t="shared" ca="1" si="16"/>
        <v>174.08926660170482</v>
      </c>
    </row>
    <row r="129" spans="1:10" ht="18" x14ac:dyDescent="0.3">
      <c r="A129" s="86">
        <v>115</v>
      </c>
      <c r="B129" s="72">
        <f t="shared" ca="1" si="17"/>
        <v>0.45016370942212025</v>
      </c>
      <c r="C129" s="72">
        <f t="shared" ca="1" si="17"/>
        <v>0.66148143680956761</v>
      </c>
      <c r="D129" s="72">
        <f t="shared" ca="1" si="10"/>
        <v>14.95336746394946</v>
      </c>
      <c r="E129" s="72">
        <f t="shared" ca="1" si="11"/>
        <v>24.070585523895449</v>
      </c>
      <c r="F129" s="72">
        <f t="shared" ca="1" si="12"/>
        <v>3169.3961867739108</v>
      </c>
      <c r="G129" s="72">
        <f t="shared" ca="1" si="13"/>
        <v>159.13589913775559</v>
      </c>
      <c r="H129" s="72">
        <f t="shared" ca="1" si="14"/>
        <v>3328.5320859116664</v>
      </c>
      <c r="I129" s="72">
        <f t="shared" ca="1" si="15"/>
        <v>3352.6026714355617</v>
      </c>
      <c r="J129" s="72">
        <f t="shared" ca="1" si="16"/>
        <v>183.20648466165085</v>
      </c>
    </row>
    <row r="130" spans="1:10" ht="18" x14ac:dyDescent="0.3">
      <c r="A130" s="86">
        <v>116</v>
      </c>
      <c r="B130" s="72">
        <f t="shared" ca="1" si="17"/>
        <v>0.43514355187007869</v>
      </c>
      <c r="C130" s="72">
        <f t="shared" ca="1" si="17"/>
        <v>0.9995941573421242</v>
      </c>
      <c r="D130" s="72">
        <f t="shared" ca="1" si="10"/>
        <v>14.279591355608098</v>
      </c>
      <c r="E130" s="72">
        <f t="shared" ca="1" si="11"/>
        <v>173.54544479231672</v>
      </c>
      <c r="F130" s="72">
        <f t="shared" ca="1" si="12"/>
        <v>3183.6757781295191</v>
      </c>
      <c r="G130" s="72">
        <f t="shared" ca="1" si="13"/>
        <v>168.92689330604253</v>
      </c>
      <c r="H130" s="72">
        <f t="shared" ca="1" si="14"/>
        <v>3352.6026714355617</v>
      </c>
      <c r="I130" s="72">
        <f t="shared" ca="1" si="15"/>
        <v>3526.1481162278783</v>
      </c>
      <c r="J130" s="72">
        <f t="shared" ca="1" si="16"/>
        <v>342.47233809835916</v>
      </c>
    </row>
    <row r="131" spans="1:10" ht="18" x14ac:dyDescent="0.3">
      <c r="A131" s="86">
        <v>117</v>
      </c>
      <c r="B131" s="72">
        <f t="shared" ca="1" si="17"/>
        <v>4.0054375123751429E-3</v>
      </c>
      <c r="C131" s="72">
        <f t="shared" ca="1" si="17"/>
        <v>6.8932658872850494E-2</v>
      </c>
      <c r="D131" s="72">
        <f t="shared" ca="1" si="10"/>
        <v>0.10033701905538417</v>
      </c>
      <c r="E131" s="72">
        <f t="shared" ca="1" si="11"/>
        <v>1.5871927174033593</v>
      </c>
      <c r="F131" s="72">
        <f t="shared" ca="1" si="12"/>
        <v>3183.7761151485747</v>
      </c>
      <c r="G131" s="72">
        <f t="shared" ca="1" si="13"/>
        <v>342.37200107930357</v>
      </c>
      <c r="H131" s="72">
        <f t="shared" ca="1" si="14"/>
        <v>3526.1481162278783</v>
      </c>
      <c r="I131" s="72">
        <f t="shared" ca="1" si="15"/>
        <v>3527.7353089452818</v>
      </c>
      <c r="J131" s="72">
        <f t="shared" ca="1" si="16"/>
        <v>343.95919379670704</v>
      </c>
    </row>
    <row r="132" spans="1:10" ht="18" x14ac:dyDescent="0.3">
      <c r="A132" s="86">
        <v>118</v>
      </c>
      <c r="B132" s="72">
        <f t="shared" ca="1" si="17"/>
        <v>0.41305171183967826</v>
      </c>
      <c r="C132" s="72">
        <f t="shared" ca="1" si="17"/>
        <v>0.70107863353460054</v>
      </c>
      <c r="D132" s="72">
        <f t="shared" ca="1" si="10"/>
        <v>13.320463954046613</v>
      </c>
      <c r="E132" s="72">
        <f t="shared" ca="1" si="11"/>
        <v>26.834993968644486</v>
      </c>
      <c r="F132" s="72">
        <f t="shared" ca="1" si="12"/>
        <v>3197.0965791026215</v>
      </c>
      <c r="G132" s="72">
        <f t="shared" ca="1" si="13"/>
        <v>330.63872984266027</v>
      </c>
      <c r="H132" s="72">
        <f t="shared" ca="1" si="14"/>
        <v>3527.7353089452818</v>
      </c>
      <c r="I132" s="72">
        <f t="shared" ca="1" si="15"/>
        <v>3554.5703029139263</v>
      </c>
      <c r="J132" s="72">
        <f t="shared" ca="1" si="16"/>
        <v>357.47372381130481</v>
      </c>
    </row>
    <row r="133" spans="1:10" ht="18" x14ac:dyDescent="0.3">
      <c r="A133" s="86">
        <v>119</v>
      </c>
      <c r="B133" s="72">
        <f t="shared" ca="1" si="17"/>
        <v>0.42306437055368706</v>
      </c>
      <c r="C133" s="72">
        <f t="shared" ca="1" si="17"/>
        <v>0.60052992308157627</v>
      </c>
      <c r="D133" s="72">
        <f t="shared" ca="1" si="10"/>
        <v>13.750614486225626</v>
      </c>
      <c r="E133" s="72">
        <f t="shared" ca="1" si="11"/>
        <v>20.391475953592362</v>
      </c>
      <c r="F133" s="72">
        <f t="shared" ca="1" si="12"/>
        <v>3210.8471935888469</v>
      </c>
      <c r="G133" s="72">
        <f t="shared" ca="1" si="13"/>
        <v>343.72310932507935</v>
      </c>
      <c r="H133" s="72">
        <f t="shared" ca="1" si="14"/>
        <v>3554.5703029139263</v>
      </c>
      <c r="I133" s="72">
        <f t="shared" ca="1" si="15"/>
        <v>3574.9617788675187</v>
      </c>
      <c r="J133" s="72">
        <f t="shared" ca="1" si="16"/>
        <v>364.11458527867171</v>
      </c>
    </row>
    <row r="134" spans="1:10" ht="18" x14ac:dyDescent="0.3">
      <c r="A134" s="86">
        <v>120</v>
      </c>
      <c r="B134" s="72">
        <f t="shared" ca="1" si="17"/>
        <v>0.811572144335444</v>
      </c>
      <c r="C134" s="72">
        <f t="shared" ca="1" si="17"/>
        <v>0.51713000466043502</v>
      </c>
      <c r="D134" s="72">
        <f t="shared" ca="1" si="10"/>
        <v>41.726001848083463</v>
      </c>
      <c r="E134" s="72">
        <f t="shared" ca="1" si="11"/>
        <v>16.177951607721788</v>
      </c>
      <c r="F134" s="72">
        <f t="shared" ca="1" si="12"/>
        <v>3252.5731954369303</v>
      </c>
      <c r="G134" s="72">
        <f t="shared" ca="1" si="13"/>
        <v>322.38858343058837</v>
      </c>
      <c r="H134" s="72">
        <f t="shared" ca="1" si="14"/>
        <v>3574.9617788675187</v>
      </c>
      <c r="I134" s="72">
        <f t="shared" ca="1" si="15"/>
        <v>3591.1397304752404</v>
      </c>
      <c r="J134" s="72">
        <f t="shared" ca="1" si="16"/>
        <v>338.56653503831012</v>
      </c>
    </row>
    <row r="135" spans="1:10" ht="18" x14ac:dyDescent="0.3">
      <c r="A135" s="86">
        <v>121</v>
      </c>
      <c r="B135" s="72">
        <f t="shared" ca="1" si="17"/>
        <v>0.26497319722982671</v>
      </c>
      <c r="C135" s="72">
        <f t="shared" ca="1" si="17"/>
        <v>0.56851575164159229</v>
      </c>
      <c r="D135" s="72">
        <f t="shared" ca="1" si="10"/>
        <v>7.6962078520051085</v>
      </c>
      <c r="E135" s="72">
        <f t="shared" ca="1" si="11"/>
        <v>18.678317189082563</v>
      </c>
      <c r="F135" s="72">
        <f t="shared" ca="1" si="12"/>
        <v>3260.2694032889353</v>
      </c>
      <c r="G135" s="72">
        <f t="shared" ca="1" si="13"/>
        <v>330.87032718630508</v>
      </c>
      <c r="H135" s="72">
        <f t="shared" ca="1" si="14"/>
        <v>3591.1397304752404</v>
      </c>
      <c r="I135" s="72">
        <f t="shared" ca="1" si="15"/>
        <v>3609.8180476643229</v>
      </c>
      <c r="J135" s="72">
        <f t="shared" ca="1" si="16"/>
        <v>349.54864437538754</v>
      </c>
    </row>
    <row r="136" spans="1:10" ht="18" x14ac:dyDescent="0.3">
      <c r="A136" s="86">
        <v>122</v>
      </c>
      <c r="B136" s="72">
        <f t="shared" ca="1" si="17"/>
        <v>0.51326978817142355</v>
      </c>
      <c r="C136" s="72">
        <f t="shared" ca="1" si="17"/>
        <v>0.98720739440220495</v>
      </c>
      <c r="D136" s="72">
        <f t="shared" ca="1" si="10"/>
        <v>18.001132230529485</v>
      </c>
      <c r="E136" s="72">
        <f t="shared" ca="1" si="11"/>
        <v>96.864176947880921</v>
      </c>
      <c r="F136" s="72">
        <f t="shared" ca="1" si="12"/>
        <v>3278.2705355194648</v>
      </c>
      <c r="G136" s="72">
        <f t="shared" ca="1" si="13"/>
        <v>331.54751214485805</v>
      </c>
      <c r="H136" s="72">
        <f t="shared" ca="1" si="14"/>
        <v>3609.8180476643229</v>
      </c>
      <c r="I136" s="72">
        <f t="shared" ca="1" si="15"/>
        <v>3706.6822246122038</v>
      </c>
      <c r="J136" s="72">
        <f t="shared" ca="1" si="16"/>
        <v>428.41168909273892</v>
      </c>
    </row>
    <row r="137" spans="1:10" ht="18" x14ac:dyDescent="0.3">
      <c r="A137" s="86">
        <v>123</v>
      </c>
      <c r="B137" s="72">
        <f t="shared" ca="1" si="17"/>
        <v>0.97869463901295528</v>
      </c>
      <c r="C137" s="72">
        <f t="shared" ca="1" si="17"/>
        <v>0.25375518180907342</v>
      </c>
      <c r="D137" s="72">
        <f t="shared" ca="1" si="10"/>
        <v>96.219913710065967</v>
      </c>
      <c r="E137" s="72">
        <f t="shared" ca="1" si="11"/>
        <v>6.5044790688263756</v>
      </c>
      <c r="F137" s="72">
        <f t="shared" ca="1" si="12"/>
        <v>3374.4904492295309</v>
      </c>
      <c r="G137" s="72">
        <f t="shared" ca="1" si="13"/>
        <v>332.19177538267286</v>
      </c>
      <c r="H137" s="72">
        <f t="shared" ca="1" si="14"/>
        <v>3706.6822246122038</v>
      </c>
      <c r="I137" s="72">
        <f t="shared" ca="1" si="15"/>
        <v>3713.1867036810299</v>
      </c>
      <c r="J137" s="72">
        <f t="shared" ca="1" si="16"/>
        <v>338.69625445149904</v>
      </c>
    </row>
    <row r="138" spans="1:10" ht="18" x14ac:dyDescent="0.3">
      <c r="A138" s="86">
        <v>124</v>
      </c>
      <c r="B138" s="72">
        <f t="shared" ca="1" si="17"/>
        <v>0.82188902921054097</v>
      </c>
      <c r="C138" s="72">
        <f t="shared" ca="1" si="17"/>
        <v>0.54105210431585926</v>
      </c>
      <c r="D138" s="72">
        <f t="shared" ca="1" si="10"/>
        <v>43.133712288530539</v>
      </c>
      <c r="E138" s="72">
        <f t="shared" ca="1" si="11"/>
        <v>17.307079830958958</v>
      </c>
      <c r="F138" s="72">
        <f t="shared" ca="1" si="12"/>
        <v>3417.6241615180616</v>
      </c>
      <c r="G138" s="72">
        <f t="shared" ca="1" si="13"/>
        <v>295.56254216296838</v>
      </c>
      <c r="H138" s="72">
        <f t="shared" ca="1" si="14"/>
        <v>3713.1867036810299</v>
      </c>
      <c r="I138" s="72">
        <f t="shared" ca="1" si="15"/>
        <v>3730.493783511989</v>
      </c>
      <c r="J138" s="72">
        <f t="shared" ca="1" si="16"/>
        <v>312.86962199392747</v>
      </c>
    </row>
    <row r="139" spans="1:10" ht="18" x14ac:dyDescent="0.3">
      <c r="A139" s="86">
        <v>125</v>
      </c>
      <c r="B139" s="72">
        <f t="shared" ca="1" si="17"/>
        <v>0.41334681414643026</v>
      </c>
      <c r="C139" s="72">
        <f t="shared" ca="1" si="17"/>
        <v>0.84739316191869685</v>
      </c>
      <c r="D139" s="72">
        <f t="shared" ca="1" si="10"/>
        <v>13.333036463518766</v>
      </c>
      <c r="E139" s="72">
        <f t="shared" ca="1" si="11"/>
        <v>41.775341125383846</v>
      </c>
      <c r="F139" s="72">
        <f t="shared" ca="1" si="12"/>
        <v>3430.9571979815805</v>
      </c>
      <c r="G139" s="72">
        <f t="shared" ca="1" si="13"/>
        <v>299.5365855304085</v>
      </c>
      <c r="H139" s="72">
        <f t="shared" ca="1" si="14"/>
        <v>3730.493783511989</v>
      </c>
      <c r="I139" s="72">
        <f t="shared" ca="1" si="15"/>
        <v>3772.2691246373729</v>
      </c>
      <c r="J139" s="72">
        <f t="shared" ca="1" si="16"/>
        <v>341.31192665579238</v>
      </c>
    </row>
    <row r="140" spans="1:10" ht="18" x14ac:dyDescent="0.3">
      <c r="A140" s="86">
        <v>126</v>
      </c>
      <c r="B140" s="72">
        <f t="shared" ca="1" si="17"/>
        <v>0.52718111328931561</v>
      </c>
      <c r="C140" s="72">
        <f t="shared" ca="1" si="17"/>
        <v>0.32900418413183974</v>
      </c>
      <c r="D140" s="72">
        <f t="shared" ca="1" si="10"/>
        <v>18.726071679412236</v>
      </c>
      <c r="E140" s="72">
        <f t="shared" ca="1" si="11"/>
        <v>8.8664972821295134</v>
      </c>
      <c r="F140" s="72">
        <f t="shared" ca="1" si="12"/>
        <v>3449.6832696609927</v>
      </c>
      <c r="G140" s="72">
        <f t="shared" ca="1" si="13"/>
        <v>322.58585497638023</v>
      </c>
      <c r="H140" s="72">
        <f t="shared" ca="1" si="14"/>
        <v>3772.2691246373729</v>
      </c>
      <c r="I140" s="72">
        <f t="shared" ca="1" si="15"/>
        <v>3781.1356219195022</v>
      </c>
      <c r="J140" s="72">
        <f t="shared" ca="1" si="16"/>
        <v>331.45235225850956</v>
      </c>
    </row>
    <row r="141" spans="1:10" ht="18" x14ac:dyDescent="0.3">
      <c r="A141" s="86">
        <v>127</v>
      </c>
      <c r="B141" s="72">
        <f t="shared" ca="1" si="17"/>
        <v>5.9264982240408992E-2</v>
      </c>
      <c r="C141" s="72">
        <f t="shared" ca="1" si="17"/>
        <v>0.40974873298198922</v>
      </c>
      <c r="D141" s="72">
        <f t="shared" ca="1" si="10"/>
        <v>1.5273443870560475</v>
      </c>
      <c r="E141" s="72">
        <f t="shared" ca="1" si="11"/>
        <v>11.715710143116269</v>
      </c>
      <c r="F141" s="72">
        <f t="shared" ca="1" si="12"/>
        <v>3451.2106140480487</v>
      </c>
      <c r="G141" s="72">
        <f t="shared" ca="1" si="13"/>
        <v>329.92500787145354</v>
      </c>
      <c r="H141" s="72">
        <f t="shared" ca="1" si="14"/>
        <v>3781.1356219195022</v>
      </c>
      <c r="I141" s="72">
        <f t="shared" ca="1" si="15"/>
        <v>3792.8513320626184</v>
      </c>
      <c r="J141" s="72">
        <f t="shared" ca="1" si="16"/>
        <v>341.64071801456976</v>
      </c>
    </row>
    <row r="142" spans="1:10" ht="18" x14ac:dyDescent="0.3">
      <c r="A142" s="86">
        <v>128</v>
      </c>
      <c r="B142" s="72">
        <f t="shared" ca="1" si="17"/>
        <v>0.55575263499417493</v>
      </c>
      <c r="C142" s="72">
        <f t="shared" ca="1" si="17"/>
        <v>4.6304675418846974E-2</v>
      </c>
      <c r="D142" s="72">
        <f t="shared" ca="1" si="10"/>
        <v>20.284343582420451</v>
      </c>
      <c r="E142" s="72">
        <f t="shared" ca="1" si="11"/>
        <v>1.0535783290945018</v>
      </c>
      <c r="F142" s="72">
        <f t="shared" ca="1" si="12"/>
        <v>3471.4949576304693</v>
      </c>
      <c r="G142" s="72">
        <f t="shared" ca="1" si="13"/>
        <v>321.3563744321491</v>
      </c>
      <c r="H142" s="72">
        <f t="shared" ca="1" si="14"/>
        <v>3792.8513320626184</v>
      </c>
      <c r="I142" s="72">
        <f t="shared" ca="1" si="15"/>
        <v>3793.9049103917127</v>
      </c>
      <c r="J142" s="72">
        <f t="shared" ca="1" si="16"/>
        <v>322.4099527612434</v>
      </c>
    </row>
    <row r="143" spans="1:10" ht="18" x14ac:dyDescent="0.3">
      <c r="A143" s="86">
        <v>129</v>
      </c>
      <c r="B143" s="72">
        <f t="shared" ca="1" si="17"/>
        <v>0.62092150149765912</v>
      </c>
      <c r="C143" s="72">
        <f t="shared" ca="1" si="17"/>
        <v>0.26539703790734648</v>
      </c>
      <c r="D143" s="72">
        <f t="shared" ca="1" si="10"/>
        <v>24.250299382179051</v>
      </c>
      <c r="E143" s="72">
        <f t="shared" ca="1" si="11"/>
        <v>6.853891407827656</v>
      </c>
      <c r="F143" s="72">
        <f t="shared" ca="1" si="12"/>
        <v>3495.7452570126484</v>
      </c>
      <c r="G143" s="72">
        <f t="shared" ca="1" si="13"/>
        <v>298.15965337906437</v>
      </c>
      <c r="H143" s="72">
        <f t="shared" ca="1" si="14"/>
        <v>3793.9049103917127</v>
      </c>
      <c r="I143" s="72">
        <f t="shared" ca="1" si="15"/>
        <v>3800.7588017995404</v>
      </c>
      <c r="J143" s="72">
        <f t="shared" ca="1" si="16"/>
        <v>305.013544786892</v>
      </c>
    </row>
    <row r="144" spans="1:10" ht="18" x14ac:dyDescent="0.3">
      <c r="A144" s="86">
        <v>130</v>
      </c>
      <c r="B144" s="72">
        <f t="shared" ca="1" si="17"/>
        <v>0.50591119975731347</v>
      </c>
      <c r="C144" s="72">
        <f t="shared" ca="1" si="17"/>
        <v>2.3321720932647505E-2</v>
      </c>
      <c r="D144" s="72">
        <f t="shared" ca="1" si="10"/>
        <v>17.626000509309581</v>
      </c>
      <c r="E144" s="72">
        <f t="shared" ca="1" si="11"/>
        <v>0.52439946399474335</v>
      </c>
      <c r="F144" s="72">
        <f t="shared" ca="1" si="12"/>
        <v>3513.3712575219579</v>
      </c>
      <c r="G144" s="72">
        <f t="shared" ca="1" si="13"/>
        <v>287.38754427758249</v>
      </c>
      <c r="H144" s="72">
        <f t="shared" ca="1" si="14"/>
        <v>3800.7588017995404</v>
      </c>
      <c r="I144" s="72">
        <f t="shared" ca="1" si="15"/>
        <v>3801.2832012635349</v>
      </c>
      <c r="J144" s="72">
        <f t="shared" ca="1" si="16"/>
        <v>287.91194374157703</v>
      </c>
    </row>
    <row r="145" spans="1:10" ht="18" x14ac:dyDescent="0.3">
      <c r="A145" s="86">
        <v>131</v>
      </c>
      <c r="B145" s="72">
        <f t="shared" ref="B145:C176" ca="1" si="18">RAND()</f>
        <v>0.78057570346863869</v>
      </c>
      <c r="C145" s="72">
        <f t="shared" ca="1" si="18"/>
        <v>0.94916026438274692</v>
      </c>
      <c r="D145" s="72">
        <f t="shared" ref="D145:D208" ca="1" si="19">(1/$F$2)*LN(1/(1-B145))</f>
        <v>37.918699911826003</v>
      </c>
      <c r="E145" s="72">
        <f t="shared" ref="E145:E208" ca="1" si="20">(1/$J$2)*LN(1/(1-C145))</f>
        <v>66.201711843654891</v>
      </c>
      <c r="F145" s="72">
        <f t="shared" ref="F145:F208" ca="1" si="21">F144+D145</f>
        <v>3551.2899574337839</v>
      </c>
      <c r="G145" s="72">
        <f t="shared" ref="G145:G208" ca="1" si="22">IF(I144&gt;F145,I144-F145,0)</f>
        <v>249.99324382975101</v>
      </c>
      <c r="H145" s="72">
        <f t="shared" ref="H145:H208" ca="1" si="23">F145+G145</f>
        <v>3801.2832012635349</v>
      </c>
      <c r="I145" s="72">
        <f t="shared" ref="I145:I208" ca="1" si="24">H145+E145</f>
        <v>3867.4849131071896</v>
      </c>
      <c r="J145" s="72">
        <f t="shared" ref="J145:J208" ca="1" si="25">I145-F145</f>
        <v>316.19495567340573</v>
      </c>
    </row>
    <row r="146" spans="1:10" ht="18" x14ac:dyDescent="0.3">
      <c r="A146" s="86">
        <v>132</v>
      </c>
      <c r="B146" s="72">
        <f t="shared" ca="1" si="18"/>
        <v>0.85167761328693881</v>
      </c>
      <c r="C146" s="72">
        <f t="shared" ca="1" si="18"/>
        <v>0.28076031071745489</v>
      </c>
      <c r="D146" s="72">
        <f t="shared" ca="1" si="19"/>
        <v>47.709177141180206</v>
      </c>
      <c r="E146" s="72">
        <f t="shared" ca="1" si="20"/>
        <v>7.3235691561516125</v>
      </c>
      <c r="F146" s="72">
        <f t="shared" ca="1" si="21"/>
        <v>3598.999134574964</v>
      </c>
      <c r="G146" s="72">
        <f t="shared" ca="1" si="22"/>
        <v>268.48577853222559</v>
      </c>
      <c r="H146" s="72">
        <f t="shared" ca="1" si="23"/>
        <v>3867.4849131071896</v>
      </c>
      <c r="I146" s="72">
        <f t="shared" ca="1" si="24"/>
        <v>3874.8084822633414</v>
      </c>
      <c r="J146" s="72">
        <f t="shared" ca="1" si="25"/>
        <v>275.80934768837733</v>
      </c>
    </row>
    <row r="147" spans="1:10" ht="18" x14ac:dyDescent="0.3">
      <c r="A147" s="86">
        <v>133</v>
      </c>
      <c r="B147" s="72">
        <f t="shared" ca="1" si="18"/>
        <v>6.6657348828889074E-3</v>
      </c>
      <c r="C147" s="72">
        <f t="shared" ca="1" si="18"/>
        <v>0.1940177773170555</v>
      </c>
      <c r="D147" s="72">
        <f t="shared" ca="1" si="19"/>
        <v>0.16720125284690898</v>
      </c>
      <c r="E147" s="72">
        <f t="shared" ca="1" si="20"/>
        <v>4.7931909542974553</v>
      </c>
      <c r="F147" s="72">
        <f t="shared" ca="1" si="21"/>
        <v>3599.1663358278111</v>
      </c>
      <c r="G147" s="72">
        <f t="shared" ca="1" si="22"/>
        <v>275.64214643553032</v>
      </c>
      <c r="H147" s="72">
        <f t="shared" ca="1" si="23"/>
        <v>3874.8084822633414</v>
      </c>
      <c r="I147" s="72">
        <f t="shared" ca="1" si="24"/>
        <v>3879.601673217639</v>
      </c>
      <c r="J147" s="72">
        <f t="shared" ca="1" si="25"/>
        <v>280.43533738982796</v>
      </c>
    </row>
    <row r="148" spans="1:10" ht="18" x14ac:dyDescent="0.3">
      <c r="A148" s="86">
        <v>134</v>
      </c>
      <c r="B148" s="72">
        <f t="shared" ca="1" si="18"/>
        <v>9.9500981906549546E-2</v>
      </c>
      <c r="C148" s="72">
        <f t="shared" ca="1" si="18"/>
        <v>0.8623309433447276</v>
      </c>
      <c r="D148" s="72">
        <f t="shared" ca="1" si="19"/>
        <v>2.6201551192054864</v>
      </c>
      <c r="E148" s="72">
        <f t="shared" ca="1" si="20"/>
        <v>44.064502536619059</v>
      </c>
      <c r="F148" s="72">
        <f t="shared" ca="1" si="21"/>
        <v>3601.7864909470163</v>
      </c>
      <c r="G148" s="72">
        <f t="shared" ca="1" si="22"/>
        <v>277.8151822706227</v>
      </c>
      <c r="H148" s="72">
        <f t="shared" ca="1" si="23"/>
        <v>3879.601673217639</v>
      </c>
      <c r="I148" s="72">
        <f t="shared" ca="1" si="24"/>
        <v>3923.6661757542579</v>
      </c>
      <c r="J148" s="72">
        <f t="shared" ca="1" si="25"/>
        <v>321.87968480724157</v>
      </c>
    </row>
    <row r="149" spans="1:10" ht="18" x14ac:dyDescent="0.3">
      <c r="A149" s="86">
        <v>135</v>
      </c>
      <c r="B149" s="72">
        <f t="shared" ca="1" si="18"/>
        <v>0.29478482864205635</v>
      </c>
      <c r="C149" s="72">
        <f t="shared" ca="1" si="18"/>
        <v>0.5282902826180067</v>
      </c>
      <c r="D149" s="72">
        <f t="shared" ca="1" si="19"/>
        <v>8.7313078784078275</v>
      </c>
      <c r="E149" s="72">
        <f t="shared" ca="1" si="20"/>
        <v>16.697588625259808</v>
      </c>
      <c r="F149" s="72">
        <f t="shared" ca="1" si="21"/>
        <v>3610.5177988254241</v>
      </c>
      <c r="G149" s="72">
        <f t="shared" ca="1" si="22"/>
        <v>313.14837692883384</v>
      </c>
      <c r="H149" s="72">
        <f t="shared" ca="1" si="23"/>
        <v>3923.6661757542579</v>
      </c>
      <c r="I149" s="72">
        <f t="shared" ca="1" si="24"/>
        <v>3940.3637643795178</v>
      </c>
      <c r="J149" s="72">
        <f t="shared" ca="1" si="25"/>
        <v>329.84596555409371</v>
      </c>
    </row>
    <row r="150" spans="1:10" ht="18" x14ac:dyDescent="0.3">
      <c r="A150" s="86">
        <v>136</v>
      </c>
      <c r="B150" s="72">
        <f t="shared" ca="1" si="18"/>
        <v>0.68391068958197021</v>
      </c>
      <c r="C150" s="72">
        <f t="shared" ca="1" si="18"/>
        <v>0.73855824375971324</v>
      </c>
      <c r="D150" s="72">
        <f t="shared" ca="1" si="19"/>
        <v>28.793261935545249</v>
      </c>
      <c r="E150" s="72">
        <f t="shared" ca="1" si="20"/>
        <v>29.81208332817123</v>
      </c>
      <c r="F150" s="72">
        <f t="shared" ca="1" si="21"/>
        <v>3639.3110607609692</v>
      </c>
      <c r="G150" s="72">
        <f t="shared" ca="1" si="22"/>
        <v>301.05270361854855</v>
      </c>
      <c r="H150" s="72">
        <f t="shared" ca="1" si="23"/>
        <v>3940.3637643795178</v>
      </c>
      <c r="I150" s="72">
        <f t="shared" ca="1" si="24"/>
        <v>3970.1758477076892</v>
      </c>
      <c r="J150" s="72">
        <f t="shared" ca="1" si="25"/>
        <v>330.86478694671996</v>
      </c>
    </row>
    <row r="151" spans="1:10" ht="18" x14ac:dyDescent="0.3">
      <c r="A151" s="86">
        <v>137</v>
      </c>
      <c r="B151" s="72">
        <f t="shared" ca="1" si="18"/>
        <v>0.79344081608486783</v>
      </c>
      <c r="C151" s="72">
        <f t="shared" ca="1" si="18"/>
        <v>5.9401022686680682E-2</v>
      </c>
      <c r="D151" s="72">
        <f t="shared" ca="1" si="19"/>
        <v>39.429207568212462</v>
      </c>
      <c r="E151" s="72">
        <f t="shared" ca="1" si="20"/>
        <v>1.3608532609407091</v>
      </c>
      <c r="F151" s="72">
        <f t="shared" ca="1" si="21"/>
        <v>3678.7402683291816</v>
      </c>
      <c r="G151" s="72">
        <f t="shared" ca="1" si="22"/>
        <v>291.43557937850755</v>
      </c>
      <c r="H151" s="72">
        <f t="shared" ca="1" si="23"/>
        <v>3970.1758477076892</v>
      </c>
      <c r="I151" s="72">
        <f t="shared" ca="1" si="24"/>
        <v>3971.5367009686297</v>
      </c>
      <c r="J151" s="72">
        <f t="shared" ca="1" si="25"/>
        <v>292.79643263944808</v>
      </c>
    </row>
    <row r="152" spans="1:10" ht="18" x14ac:dyDescent="0.3">
      <c r="A152" s="86">
        <v>138</v>
      </c>
      <c r="B152" s="72">
        <f t="shared" ca="1" si="18"/>
        <v>0.17689891725575602</v>
      </c>
      <c r="C152" s="72">
        <f t="shared" ca="1" si="18"/>
        <v>0.88171461459662104</v>
      </c>
      <c r="D152" s="72">
        <f t="shared" ca="1" si="19"/>
        <v>4.8669065889406182</v>
      </c>
      <c r="E152" s="72">
        <f t="shared" ca="1" si="20"/>
        <v>47.436778979161609</v>
      </c>
      <c r="F152" s="72">
        <f t="shared" ca="1" si="21"/>
        <v>3683.6071749181224</v>
      </c>
      <c r="G152" s="72">
        <f t="shared" ca="1" si="22"/>
        <v>287.92952605050732</v>
      </c>
      <c r="H152" s="72">
        <f t="shared" ca="1" si="23"/>
        <v>3971.5367009686297</v>
      </c>
      <c r="I152" s="72">
        <f t="shared" ca="1" si="24"/>
        <v>4018.9734799477915</v>
      </c>
      <c r="J152" s="72">
        <f t="shared" ca="1" si="25"/>
        <v>335.36630502966909</v>
      </c>
    </row>
    <row r="153" spans="1:10" ht="18" x14ac:dyDescent="0.3">
      <c r="A153" s="86">
        <v>139</v>
      </c>
      <c r="B153" s="72">
        <f t="shared" ca="1" si="18"/>
        <v>0.96485122147227564</v>
      </c>
      <c r="C153" s="72">
        <f t="shared" ca="1" si="18"/>
        <v>1.3054400125743215E-2</v>
      </c>
      <c r="D153" s="72">
        <f t="shared" ca="1" si="19"/>
        <v>83.704135290184496</v>
      </c>
      <c r="E153" s="72">
        <f t="shared" ca="1" si="20"/>
        <v>0.29200794910497252</v>
      </c>
      <c r="F153" s="72">
        <f t="shared" ca="1" si="21"/>
        <v>3767.3113102083071</v>
      </c>
      <c r="G153" s="72">
        <f t="shared" ca="1" si="22"/>
        <v>251.6621697394844</v>
      </c>
      <c r="H153" s="72">
        <f t="shared" ca="1" si="23"/>
        <v>4018.9734799477915</v>
      </c>
      <c r="I153" s="72">
        <f t="shared" ca="1" si="24"/>
        <v>4019.2654878968965</v>
      </c>
      <c r="J153" s="72">
        <f t="shared" ca="1" si="25"/>
        <v>251.95417768858943</v>
      </c>
    </row>
    <row r="154" spans="1:10" ht="18" x14ac:dyDescent="0.3">
      <c r="A154" s="86">
        <v>140</v>
      </c>
      <c r="B154" s="72">
        <f t="shared" ca="1" si="18"/>
        <v>0.31912328410255864</v>
      </c>
      <c r="C154" s="72">
        <f t="shared" ca="1" si="18"/>
        <v>0.63263250784478287</v>
      </c>
      <c r="D154" s="72">
        <f t="shared" ca="1" si="19"/>
        <v>9.6093505786426388</v>
      </c>
      <c r="E154" s="72">
        <f t="shared" ca="1" si="20"/>
        <v>22.253168686948296</v>
      </c>
      <c r="F154" s="72">
        <f t="shared" ca="1" si="21"/>
        <v>3776.9206607869496</v>
      </c>
      <c r="G154" s="72">
        <f t="shared" ca="1" si="22"/>
        <v>242.34482710994689</v>
      </c>
      <c r="H154" s="72">
        <f t="shared" ca="1" si="23"/>
        <v>4019.2654878968965</v>
      </c>
      <c r="I154" s="72">
        <f t="shared" ca="1" si="24"/>
        <v>4041.5186565838449</v>
      </c>
      <c r="J154" s="72">
        <f t="shared" ca="1" si="25"/>
        <v>264.59799579689525</v>
      </c>
    </row>
    <row r="155" spans="1:10" ht="18" x14ac:dyDescent="0.3">
      <c r="A155" s="86">
        <v>141</v>
      </c>
      <c r="B155" s="72">
        <f t="shared" ca="1" si="18"/>
        <v>0.71720398858034351</v>
      </c>
      <c r="C155" s="72">
        <f t="shared" ca="1" si="18"/>
        <v>0.53429970948316186</v>
      </c>
      <c r="D155" s="72">
        <f t="shared" ca="1" si="19"/>
        <v>31.57573622375174</v>
      </c>
      <c r="E155" s="72">
        <f t="shared" ca="1" si="20"/>
        <v>16.982511225904499</v>
      </c>
      <c r="F155" s="72">
        <f t="shared" ca="1" si="21"/>
        <v>3808.4963970107015</v>
      </c>
      <c r="G155" s="72">
        <f t="shared" ca="1" si="22"/>
        <v>233.0222595731434</v>
      </c>
      <c r="H155" s="72">
        <f t="shared" ca="1" si="23"/>
        <v>4041.5186565838449</v>
      </c>
      <c r="I155" s="72">
        <f t="shared" ca="1" si="24"/>
        <v>4058.5011678097494</v>
      </c>
      <c r="J155" s="72">
        <f t="shared" ca="1" si="25"/>
        <v>250.00477079904795</v>
      </c>
    </row>
    <row r="156" spans="1:10" ht="18" x14ac:dyDescent="0.3">
      <c r="A156" s="86">
        <v>142</v>
      </c>
      <c r="B156" s="72">
        <f t="shared" ca="1" si="18"/>
        <v>0.49804262106106667</v>
      </c>
      <c r="C156" s="72">
        <f t="shared" ca="1" si="18"/>
        <v>0.6813279699866267</v>
      </c>
      <c r="D156" s="72">
        <f t="shared" ca="1" si="19"/>
        <v>17.231001635172881</v>
      </c>
      <c r="E156" s="72">
        <f t="shared" ca="1" si="20"/>
        <v>25.413173870101748</v>
      </c>
      <c r="F156" s="72">
        <f t="shared" ca="1" si="21"/>
        <v>3825.7273986458745</v>
      </c>
      <c r="G156" s="72">
        <f t="shared" ca="1" si="22"/>
        <v>232.77376916387493</v>
      </c>
      <c r="H156" s="72">
        <f t="shared" ca="1" si="23"/>
        <v>4058.5011678097494</v>
      </c>
      <c r="I156" s="72">
        <f t="shared" ca="1" si="24"/>
        <v>4083.9143416798511</v>
      </c>
      <c r="J156" s="72">
        <f t="shared" ca="1" si="25"/>
        <v>258.1869430339766</v>
      </c>
    </row>
    <row r="157" spans="1:10" ht="18" x14ac:dyDescent="0.3">
      <c r="A157" s="86">
        <v>143</v>
      </c>
      <c r="B157" s="72">
        <f t="shared" ca="1" si="18"/>
        <v>0.36004960536871311</v>
      </c>
      <c r="C157" s="72">
        <f t="shared" ca="1" si="18"/>
        <v>0.64217445045310217</v>
      </c>
      <c r="D157" s="72">
        <f t="shared" ca="1" si="19"/>
        <v>11.159115350524104</v>
      </c>
      <c r="E157" s="72">
        <f t="shared" ca="1" si="20"/>
        <v>22.837993402557689</v>
      </c>
      <c r="F157" s="72">
        <f t="shared" ca="1" si="21"/>
        <v>3836.8865139963987</v>
      </c>
      <c r="G157" s="72">
        <f t="shared" ca="1" si="22"/>
        <v>247.02782768345241</v>
      </c>
      <c r="H157" s="72">
        <f t="shared" ca="1" si="23"/>
        <v>4083.9143416798511</v>
      </c>
      <c r="I157" s="72">
        <f t="shared" ca="1" si="24"/>
        <v>4106.7523350824085</v>
      </c>
      <c r="J157" s="72">
        <f t="shared" ca="1" si="25"/>
        <v>269.86582108600987</v>
      </c>
    </row>
    <row r="158" spans="1:10" ht="18" x14ac:dyDescent="0.3">
      <c r="A158" s="86">
        <v>144</v>
      </c>
      <c r="B158" s="72">
        <f t="shared" ca="1" si="18"/>
        <v>0.33025493659024197</v>
      </c>
      <c r="C158" s="72">
        <f t="shared" ca="1" si="18"/>
        <v>0.34112207250615467</v>
      </c>
      <c r="D158" s="72">
        <f t="shared" ca="1" si="19"/>
        <v>10.021453534500434</v>
      </c>
      <c r="E158" s="72">
        <f t="shared" ca="1" si="20"/>
        <v>9.2714889032514627</v>
      </c>
      <c r="F158" s="72">
        <f t="shared" ca="1" si="21"/>
        <v>3846.907967530899</v>
      </c>
      <c r="G158" s="72">
        <f t="shared" ca="1" si="22"/>
        <v>259.84436755150955</v>
      </c>
      <c r="H158" s="72">
        <f t="shared" ca="1" si="23"/>
        <v>4106.7523350824085</v>
      </c>
      <c r="I158" s="72">
        <f t="shared" ca="1" si="24"/>
        <v>4116.0238239856599</v>
      </c>
      <c r="J158" s="72">
        <f t="shared" ca="1" si="25"/>
        <v>269.11585645476089</v>
      </c>
    </row>
    <row r="159" spans="1:10" ht="18" x14ac:dyDescent="0.3">
      <c r="A159" s="86">
        <v>145</v>
      </c>
      <c r="B159" s="72">
        <f t="shared" ca="1" si="18"/>
        <v>0.97579073007672201</v>
      </c>
      <c r="C159" s="72">
        <f t="shared" ca="1" si="18"/>
        <v>0.48251982380228564</v>
      </c>
      <c r="D159" s="72">
        <f t="shared" ca="1" si="19"/>
        <v>93.025491612132555</v>
      </c>
      <c r="E159" s="72">
        <f t="shared" ca="1" si="20"/>
        <v>14.639645809792436</v>
      </c>
      <c r="F159" s="72">
        <f t="shared" ca="1" si="21"/>
        <v>3939.9334591430315</v>
      </c>
      <c r="G159" s="72">
        <f t="shared" ca="1" si="22"/>
        <v>176.09036484262833</v>
      </c>
      <c r="H159" s="72">
        <f t="shared" ca="1" si="23"/>
        <v>4116.0238239856599</v>
      </c>
      <c r="I159" s="72">
        <f t="shared" ca="1" si="24"/>
        <v>4130.6634697954523</v>
      </c>
      <c r="J159" s="72">
        <f t="shared" ca="1" si="25"/>
        <v>190.73001065242079</v>
      </c>
    </row>
    <row r="160" spans="1:10" ht="18" x14ac:dyDescent="0.3">
      <c r="A160" s="86">
        <v>146</v>
      </c>
      <c r="B160" s="72">
        <f t="shared" ca="1" si="18"/>
        <v>0.8710976117529986</v>
      </c>
      <c r="C160" s="72">
        <f t="shared" ca="1" si="18"/>
        <v>0.16297689792570658</v>
      </c>
      <c r="D160" s="72">
        <f t="shared" ca="1" si="19"/>
        <v>51.217496032581778</v>
      </c>
      <c r="E160" s="72">
        <f t="shared" ca="1" si="20"/>
        <v>3.9534135073112764</v>
      </c>
      <c r="F160" s="72">
        <f t="shared" ca="1" si="21"/>
        <v>3991.1509551756135</v>
      </c>
      <c r="G160" s="72">
        <f t="shared" ca="1" si="22"/>
        <v>139.51251461983884</v>
      </c>
      <c r="H160" s="72">
        <f t="shared" ca="1" si="23"/>
        <v>4130.6634697954523</v>
      </c>
      <c r="I160" s="72">
        <f t="shared" ca="1" si="24"/>
        <v>4134.6168833027632</v>
      </c>
      <c r="J160" s="72">
        <f t="shared" ca="1" si="25"/>
        <v>143.46592812714971</v>
      </c>
    </row>
    <row r="161" spans="1:10" ht="18" x14ac:dyDescent="0.3">
      <c r="A161" s="86">
        <v>147</v>
      </c>
      <c r="B161" s="72">
        <f t="shared" ca="1" si="18"/>
        <v>0.54800686152985167</v>
      </c>
      <c r="C161" s="72">
        <f t="shared" ca="1" si="18"/>
        <v>0.15410316257176215</v>
      </c>
      <c r="D161" s="72">
        <f t="shared" ca="1" si="19"/>
        <v>19.852206991022676</v>
      </c>
      <c r="E161" s="72">
        <f t="shared" ca="1" si="20"/>
        <v>3.7190637419017523</v>
      </c>
      <c r="F161" s="72">
        <f t="shared" ca="1" si="21"/>
        <v>4011.0031621666362</v>
      </c>
      <c r="G161" s="72">
        <f t="shared" ca="1" si="22"/>
        <v>123.61372113612697</v>
      </c>
      <c r="H161" s="72">
        <f t="shared" ca="1" si="23"/>
        <v>4134.6168833027632</v>
      </c>
      <c r="I161" s="72">
        <f t="shared" ca="1" si="24"/>
        <v>4138.3359470446649</v>
      </c>
      <c r="J161" s="72">
        <f t="shared" ca="1" si="25"/>
        <v>127.33278487802863</v>
      </c>
    </row>
    <row r="162" spans="1:10" ht="18" x14ac:dyDescent="0.3">
      <c r="A162" s="86">
        <v>148</v>
      </c>
      <c r="B162" s="72">
        <f t="shared" ca="1" si="18"/>
        <v>0.79708266531693928</v>
      </c>
      <c r="C162" s="72">
        <f t="shared" ca="1" si="18"/>
        <v>0.48702972774688502</v>
      </c>
      <c r="D162" s="72">
        <f t="shared" ca="1" si="19"/>
        <v>39.873915029657184</v>
      </c>
      <c r="E162" s="72">
        <f t="shared" ca="1" si="20"/>
        <v>14.834164095884507</v>
      </c>
      <c r="F162" s="72">
        <f t="shared" ca="1" si="21"/>
        <v>4050.8770771962936</v>
      </c>
      <c r="G162" s="72">
        <f t="shared" ca="1" si="22"/>
        <v>87.458869848371251</v>
      </c>
      <c r="H162" s="72">
        <f t="shared" ca="1" si="23"/>
        <v>4138.3359470446649</v>
      </c>
      <c r="I162" s="72">
        <f t="shared" ca="1" si="24"/>
        <v>4153.1701111405491</v>
      </c>
      <c r="J162" s="72">
        <f t="shared" ca="1" si="25"/>
        <v>102.29303394425551</v>
      </c>
    </row>
    <row r="163" spans="1:10" ht="18" x14ac:dyDescent="0.3">
      <c r="A163" s="86">
        <v>149</v>
      </c>
      <c r="B163" s="72">
        <f t="shared" ca="1" si="18"/>
        <v>0.62613932216081525</v>
      </c>
      <c r="C163" s="72">
        <f t="shared" ca="1" si="18"/>
        <v>0.27979970837752155</v>
      </c>
      <c r="D163" s="72">
        <f t="shared" ca="1" si="19"/>
        <v>24.596801752916591</v>
      </c>
      <c r="E163" s="72">
        <f t="shared" ca="1" si="20"/>
        <v>7.2939093966378117</v>
      </c>
      <c r="F163" s="72">
        <f t="shared" ca="1" si="21"/>
        <v>4075.4738789492103</v>
      </c>
      <c r="G163" s="72">
        <f t="shared" ca="1" si="22"/>
        <v>77.696232191338822</v>
      </c>
      <c r="H163" s="72">
        <f t="shared" ca="1" si="23"/>
        <v>4153.1701111405491</v>
      </c>
      <c r="I163" s="72">
        <f t="shared" ca="1" si="24"/>
        <v>4160.464020537187</v>
      </c>
      <c r="J163" s="72">
        <f t="shared" ca="1" si="25"/>
        <v>84.990141587976723</v>
      </c>
    </row>
    <row r="164" spans="1:10" ht="18" x14ac:dyDescent="0.3">
      <c r="A164" s="86">
        <v>150</v>
      </c>
      <c r="B164" s="72">
        <f t="shared" ca="1" si="18"/>
        <v>0.60548090699601342</v>
      </c>
      <c r="C164" s="72">
        <f t="shared" ca="1" si="18"/>
        <v>0.52587384299900231</v>
      </c>
      <c r="D164" s="72">
        <f t="shared" ca="1" si="19"/>
        <v>23.252193547128268</v>
      </c>
      <c r="E164" s="72">
        <f t="shared" ca="1" si="20"/>
        <v>16.584040859760268</v>
      </c>
      <c r="F164" s="72">
        <f t="shared" ca="1" si="21"/>
        <v>4098.7260724963389</v>
      </c>
      <c r="G164" s="72">
        <f t="shared" ca="1" si="22"/>
        <v>61.737948040848096</v>
      </c>
      <c r="H164" s="72">
        <f t="shared" ca="1" si="23"/>
        <v>4160.464020537187</v>
      </c>
      <c r="I164" s="72">
        <f t="shared" ca="1" si="24"/>
        <v>4177.0480613969476</v>
      </c>
      <c r="J164" s="72">
        <f t="shared" ca="1" si="25"/>
        <v>78.321988900608631</v>
      </c>
    </row>
    <row r="165" spans="1:10" ht="18" x14ac:dyDescent="0.3">
      <c r="A165" s="86">
        <v>151</v>
      </c>
      <c r="B165" s="72">
        <f t="shared" ca="1" si="18"/>
        <v>0.85302541230638662</v>
      </c>
      <c r="C165" s="72">
        <f t="shared" ca="1" si="18"/>
        <v>0.62469226051614224</v>
      </c>
      <c r="D165" s="72">
        <f t="shared" ca="1" si="19"/>
        <v>47.937389499504832</v>
      </c>
      <c r="E165" s="72">
        <f t="shared" ca="1" si="20"/>
        <v>21.777976687286113</v>
      </c>
      <c r="F165" s="72">
        <f t="shared" ca="1" si="21"/>
        <v>4146.663461995844</v>
      </c>
      <c r="G165" s="72">
        <f t="shared" ca="1" si="22"/>
        <v>30.384599401103515</v>
      </c>
      <c r="H165" s="72">
        <f t="shared" ca="1" si="23"/>
        <v>4177.0480613969476</v>
      </c>
      <c r="I165" s="72">
        <f t="shared" ca="1" si="24"/>
        <v>4198.8260380842339</v>
      </c>
      <c r="J165" s="72">
        <f t="shared" ca="1" si="25"/>
        <v>52.162576088389869</v>
      </c>
    </row>
    <row r="166" spans="1:10" ht="18" x14ac:dyDescent="0.3">
      <c r="A166" s="86">
        <v>152</v>
      </c>
      <c r="B166" s="72">
        <f t="shared" ca="1" si="18"/>
        <v>0.51057341493969</v>
      </c>
      <c r="C166" s="72">
        <f t="shared" ca="1" si="18"/>
        <v>7.0834868483105939E-2</v>
      </c>
      <c r="D166" s="72">
        <f t="shared" ca="1" si="19"/>
        <v>17.863020192684935</v>
      </c>
      <c r="E166" s="72">
        <f t="shared" ca="1" si="20"/>
        <v>1.6326400902747746</v>
      </c>
      <c r="F166" s="72">
        <f t="shared" ca="1" si="21"/>
        <v>4164.5264821885294</v>
      </c>
      <c r="G166" s="72">
        <f t="shared" ca="1" si="22"/>
        <v>34.299555895704543</v>
      </c>
      <c r="H166" s="72">
        <f t="shared" ca="1" si="23"/>
        <v>4198.8260380842339</v>
      </c>
      <c r="I166" s="72">
        <f t="shared" ca="1" si="24"/>
        <v>4200.4586781745083</v>
      </c>
      <c r="J166" s="72">
        <f t="shared" ca="1" si="25"/>
        <v>35.932195985978979</v>
      </c>
    </row>
    <row r="167" spans="1:10" ht="18" x14ac:dyDescent="0.3">
      <c r="A167" s="86">
        <v>153</v>
      </c>
      <c r="B167" s="72">
        <f t="shared" ca="1" si="18"/>
        <v>3.8196169281067838E-2</v>
      </c>
      <c r="C167" s="72">
        <f t="shared" ca="1" si="18"/>
        <v>0.70008011619438426</v>
      </c>
      <c r="D167" s="72">
        <f t="shared" ca="1" si="19"/>
        <v>0.97361918205390252</v>
      </c>
      <c r="E167" s="72">
        <f t="shared" ca="1" si="20"/>
        <v>26.760886532721806</v>
      </c>
      <c r="F167" s="72">
        <f t="shared" ca="1" si="21"/>
        <v>4165.5001013705833</v>
      </c>
      <c r="G167" s="72">
        <f t="shared" ca="1" si="22"/>
        <v>34.958576803925098</v>
      </c>
      <c r="H167" s="72">
        <f t="shared" ca="1" si="23"/>
        <v>4200.4586781745083</v>
      </c>
      <c r="I167" s="72">
        <f t="shared" ca="1" si="24"/>
        <v>4227.2195647072303</v>
      </c>
      <c r="J167" s="72">
        <f t="shared" ca="1" si="25"/>
        <v>61.719463336647095</v>
      </c>
    </row>
    <row r="168" spans="1:10" ht="18" x14ac:dyDescent="0.3">
      <c r="A168" s="86">
        <v>154</v>
      </c>
      <c r="B168" s="72">
        <f t="shared" ca="1" si="18"/>
        <v>0.49446329445336246</v>
      </c>
      <c r="C168" s="72">
        <f t="shared" ca="1" si="18"/>
        <v>0.52343531367928553</v>
      </c>
      <c r="D168" s="72">
        <f t="shared" ca="1" si="19"/>
        <v>17.053365770010405</v>
      </c>
      <c r="E168" s="72">
        <f t="shared" ca="1" si="20"/>
        <v>16.470040268165807</v>
      </c>
      <c r="F168" s="72">
        <f t="shared" ca="1" si="21"/>
        <v>4182.553467140594</v>
      </c>
      <c r="G168" s="72">
        <f t="shared" ca="1" si="22"/>
        <v>44.666097566636381</v>
      </c>
      <c r="H168" s="72">
        <f t="shared" ca="1" si="23"/>
        <v>4227.2195647072303</v>
      </c>
      <c r="I168" s="72">
        <f t="shared" ca="1" si="24"/>
        <v>4243.6896049753959</v>
      </c>
      <c r="J168" s="72">
        <f t="shared" ca="1" si="25"/>
        <v>61.136137834801957</v>
      </c>
    </row>
    <row r="169" spans="1:10" ht="18" x14ac:dyDescent="0.3">
      <c r="A169" s="86">
        <v>155</v>
      </c>
      <c r="B169" s="72">
        <f t="shared" ca="1" si="18"/>
        <v>0.15933497575915123</v>
      </c>
      <c r="C169" s="72">
        <f t="shared" ca="1" si="18"/>
        <v>0.53604163180804487</v>
      </c>
      <c r="D169" s="72">
        <f t="shared" ca="1" si="19"/>
        <v>4.3390501211387775</v>
      </c>
      <c r="E169" s="72">
        <f t="shared" ca="1" si="20"/>
        <v>17.065787877900679</v>
      </c>
      <c r="F169" s="72">
        <f t="shared" ca="1" si="21"/>
        <v>4186.8925172617328</v>
      </c>
      <c r="G169" s="72">
        <f t="shared" ca="1" si="22"/>
        <v>56.797087713663132</v>
      </c>
      <c r="H169" s="72">
        <f t="shared" ca="1" si="23"/>
        <v>4243.6896049753959</v>
      </c>
      <c r="I169" s="72">
        <f t="shared" ca="1" si="24"/>
        <v>4260.7553928532971</v>
      </c>
      <c r="J169" s="72">
        <f t="shared" ca="1" si="25"/>
        <v>73.862875591564261</v>
      </c>
    </row>
    <row r="170" spans="1:10" ht="18" x14ac:dyDescent="0.3">
      <c r="A170" s="86">
        <v>156</v>
      </c>
      <c r="B170" s="72">
        <f t="shared" ca="1" si="18"/>
        <v>0.92642706806219144</v>
      </c>
      <c r="C170" s="72">
        <f t="shared" ca="1" si="18"/>
        <v>0.7355023941814669</v>
      </c>
      <c r="D170" s="72">
        <f t="shared" ca="1" si="19"/>
        <v>65.2369523369088</v>
      </c>
      <c r="E170" s="72">
        <f t="shared" ca="1" si="20"/>
        <v>29.553846210011617</v>
      </c>
      <c r="F170" s="72">
        <f t="shared" ca="1" si="21"/>
        <v>4252.1294695986417</v>
      </c>
      <c r="G170" s="72">
        <f t="shared" ca="1" si="22"/>
        <v>8.6259232546553903</v>
      </c>
      <c r="H170" s="72">
        <f t="shared" ca="1" si="23"/>
        <v>4260.7553928532971</v>
      </c>
      <c r="I170" s="72">
        <f t="shared" ca="1" si="24"/>
        <v>4290.3092390633083</v>
      </c>
      <c r="J170" s="72">
        <f t="shared" ca="1" si="25"/>
        <v>38.179769464666606</v>
      </c>
    </row>
    <row r="171" spans="1:10" ht="18" x14ac:dyDescent="0.3">
      <c r="A171" s="86">
        <v>157</v>
      </c>
      <c r="B171" s="72">
        <f t="shared" ca="1" si="18"/>
        <v>0.44591487076820591</v>
      </c>
      <c r="C171" s="72">
        <f t="shared" ca="1" si="18"/>
        <v>0.59547011298320029</v>
      </c>
      <c r="D171" s="72">
        <f t="shared" ca="1" si="19"/>
        <v>14.760923529162717</v>
      </c>
      <c r="E171" s="72">
        <f t="shared" ca="1" si="20"/>
        <v>20.11177019760358</v>
      </c>
      <c r="F171" s="72">
        <f t="shared" ca="1" si="21"/>
        <v>4266.8903931278046</v>
      </c>
      <c r="G171" s="72">
        <f t="shared" ca="1" si="22"/>
        <v>23.418845935503668</v>
      </c>
      <c r="H171" s="72">
        <f t="shared" ca="1" si="23"/>
        <v>4290.3092390633083</v>
      </c>
      <c r="I171" s="72">
        <f t="shared" ca="1" si="24"/>
        <v>4310.4210092609119</v>
      </c>
      <c r="J171" s="72">
        <f t="shared" ca="1" si="25"/>
        <v>43.530616133107287</v>
      </c>
    </row>
    <row r="172" spans="1:10" ht="18" x14ac:dyDescent="0.3">
      <c r="A172" s="86">
        <v>158</v>
      </c>
      <c r="B172" s="72">
        <f t="shared" ca="1" si="18"/>
        <v>0.73470013562281644</v>
      </c>
      <c r="C172" s="72">
        <f t="shared" ca="1" si="18"/>
        <v>9.6482550888711049E-2</v>
      </c>
      <c r="D172" s="72">
        <f t="shared" ca="1" si="19"/>
        <v>33.172363226101595</v>
      </c>
      <c r="E172" s="72">
        <f t="shared" ca="1" si="20"/>
        <v>2.2546634742273222</v>
      </c>
      <c r="F172" s="72">
        <f t="shared" ca="1" si="21"/>
        <v>4300.0627563539065</v>
      </c>
      <c r="G172" s="72">
        <f t="shared" ca="1" si="22"/>
        <v>10.358252907005408</v>
      </c>
      <c r="H172" s="72">
        <f t="shared" ca="1" si="23"/>
        <v>4310.4210092609119</v>
      </c>
      <c r="I172" s="72">
        <f t="shared" ca="1" si="24"/>
        <v>4312.6756727351394</v>
      </c>
      <c r="J172" s="72">
        <f t="shared" ca="1" si="25"/>
        <v>12.612916381232935</v>
      </c>
    </row>
    <row r="173" spans="1:10" ht="18" x14ac:dyDescent="0.3">
      <c r="A173" s="86">
        <v>159</v>
      </c>
      <c r="B173" s="72">
        <f t="shared" ca="1" si="18"/>
        <v>0.49299951739555004</v>
      </c>
      <c r="C173" s="72">
        <f t="shared" ca="1" si="18"/>
        <v>0.77901187245949521</v>
      </c>
      <c r="D173" s="72">
        <f t="shared" ca="1" si="19"/>
        <v>16.981083087721565</v>
      </c>
      <c r="E173" s="72">
        <f t="shared" ca="1" si="20"/>
        <v>33.547695565413669</v>
      </c>
      <c r="F173" s="72">
        <f t="shared" ca="1" si="21"/>
        <v>4317.0438394416278</v>
      </c>
      <c r="G173" s="72">
        <f t="shared" ca="1" si="22"/>
        <v>0</v>
      </c>
      <c r="H173" s="72">
        <f t="shared" ca="1" si="23"/>
        <v>4317.0438394416278</v>
      </c>
      <c r="I173" s="72">
        <f t="shared" ca="1" si="24"/>
        <v>4350.5915350070418</v>
      </c>
      <c r="J173" s="72">
        <f t="shared" ca="1" si="25"/>
        <v>33.54769556541396</v>
      </c>
    </row>
    <row r="174" spans="1:10" ht="18" x14ac:dyDescent="0.3">
      <c r="A174" s="86">
        <v>160</v>
      </c>
      <c r="B174" s="72">
        <f t="shared" ca="1" si="18"/>
        <v>0.59970915221395171</v>
      </c>
      <c r="C174" s="72">
        <f t="shared" ca="1" si="18"/>
        <v>0.16559030333788749</v>
      </c>
      <c r="D174" s="72">
        <f t="shared" ca="1" si="19"/>
        <v>22.889096915807976</v>
      </c>
      <c r="E174" s="72">
        <f t="shared" ca="1" si="20"/>
        <v>4.0229056498577096</v>
      </c>
      <c r="F174" s="72">
        <f t="shared" ca="1" si="21"/>
        <v>4339.9329363574361</v>
      </c>
      <c r="G174" s="72">
        <f t="shared" ca="1" si="22"/>
        <v>10.658598649605665</v>
      </c>
      <c r="H174" s="72">
        <f t="shared" ca="1" si="23"/>
        <v>4350.5915350070418</v>
      </c>
      <c r="I174" s="72">
        <f t="shared" ca="1" si="24"/>
        <v>4354.6144406568992</v>
      </c>
      <c r="J174" s="72">
        <f t="shared" ca="1" si="25"/>
        <v>14.681504299463086</v>
      </c>
    </row>
    <row r="175" spans="1:10" ht="18" x14ac:dyDescent="0.3">
      <c r="A175" s="86">
        <v>161</v>
      </c>
      <c r="B175" s="72">
        <f t="shared" ca="1" si="18"/>
        <v>0.46735793583853724</v>
      </c>
      <c r="C175" s="72">
        <f t="shared" ca="1" si="18"/>
        <v>0.5771710139197247</v>
      </c>
      <c r="D175" s="72">
        <f t="shared" ca="1" si="19"/>
        <v>15.747640745556147</v>
      </c>
      <c r="E175" s="72">
        <f t="shared" ca="1" si="20"/>
        <v>19.128610442415045</v>
      </c>
      <c r="F175" s="72">
        <f t="shared" ca="1" si="21"/>
        <v>4355.6805771029922</v>
      </c>
      <c r="G175" s="72">
        <f t="shared" ca="1" si="22"/>
        <v>0</v>
      </c>
      <c r="H175" s="72">
        <f t="shared" ca="1" si="23"/>
        <v>4355.6805771029922</v>
      </c>
      <c r="I175" s="72">
        <f t="shared" ca="1" si="24"/>
        <v>4374.8091875454074</v>
      </c>
      <c r="J175" s="72">
        <f t="shared" ca="1" si="25"/>
        <v>19.128610442415265</v>
      </c>
    </row>
    <row r="176" spans="1:10" ht="18" x14ac:dyDescent="0.3">
      <c r="A176" s="86">
        <v>162</v>
      </c>
      <c r="B176" s="72">
        <f t="shared" ca="1" si="18"/>
        <v>0.93597074252259782</v>
      </c>
      <c r="C176" s="72">
        <f t="shared" ca="1" si="18"/>
        <v>0.54799219176053648</v>
      </c>
      <c r="D176" s="72">
        <f t="shared" ca="1" si="19"/>
        <v>68.710378799960168</v>
      </c>
      <c r="E176" s="72">
        <f t="shared" ca="1" si="20"/>
        <v>17.645684987401001</v>
      </c>
      <c r="F176" s="72">
        <f t="shared" ca="1" si="21"/>
        <v>4424.3909559029526</v>
      </c>
      <c r="G176" s="72">
        <f t="shared" ca="1" si="22"/>
        <v>0</v>
      </c>
      <c r="H176" s="72">
        <f t="shared" ca="1" si="23"/>
        <v>4424.3909559029526</v>
      </c>
      <c r="I176" s="72">
        <f t="shared" ca="1" si="24"/>
        <v>4442.0366408903537</v>
      </c>
      <c r="J176" s="72">
        <f t="shared" ca="1" si="25"/>
        <v>17.645684987401182</v>
      </c>
    </row>
    <row r="177" spans="1:10" ht="18" x14ac:dyDescent="0.3">
      <c r="A177" s="86">
        <v>163</v>
      </c>
      <c r="B177" s="72">
        <f t="shared" ref="B177:C214" ca="1" si="26">RAND()</f>
        <v>0.41054528470516971</v>
      </c>
      <c r="C177" s="72">
        <f t="shared" ca="1" si="26"/>
        <v>0.66905747172786023</v>
      </c>
      <c r="D177" s="72">
        <f t="shared" ca="1" si="19"/>
        <v>13.213934519842891</v>
      </c>
      <c r="E177" s="72">
        <f t="shared" ca="1" si="20"/>
        <v>24.5735677617417</v>
      </c>
      <c r="F177" s="72">
        <f t="shared" ca="1" si="21"/>
        <v>4437.6048904227955</v>
      </c>
      <c r="G177" s="72">
        <f t="shared" ca="1" si="22"/>
        <v>4.4317504675582313</v>
      </c>
      <c r="H177" s="72">
        <f t="shared" ca="1" si="23"/>
        <v>4442.0366408903537</v>
      </c>
      <c r="I177" s="72">
        <f t="shared" ca="1" si="24"/>
        <v>4466.610208652095</v>
      </c>
      <c r="J177" s="72">
        <f t="shared" ca="1" si="25"/>
        <v>29.005318229299519</v>
      </c>
    </row>
    <row r="178" spans="1:10" ht="18" x14ac:dyDescent="0.3">
      <c r="A178" s="86">
        <v>164</v>
      </c>
      <c r="B178" s="72">
        <f t="shared" ca="1" si="26"/>
        <v>0.20618115625601041</v>
      </c>
      <c r="C178" s="72">
        <f t="shared" ca="1" si="26"/>
        <v>0.58417639152361234</v>
      </c>
      <c r="D178" s="72">
        <f t="shared" ca="1" si="19"/>
        <v>5.7725000065092402</v>
      </c>
      <c r="E178" s="72">
        <f t="shared" ca="1" si="20"/>
        <v>19.499869482834853</v>
      </c>
      <c r="F178" s="72">
        <f t="shared" ca="1" si="21"/>
        <v>4443.3773904293048</v>
      </c>
      <c r="G178" s="72">
        <f t="shared" ca="1" si="22"/>
        <v>23.232818222790229</v>
      </c>
      <c r="H178" s="72">
        <f t="shared" ca="1" si="23"/>
        <v>4466.610208652095</v>
      </c>
      <c r="I178" s="72">
        <f t="shared" ca="1" si="24"/>
        <v>4486.1100781349296</v>
      </c>
      <c r="J178" s="72">
        <f t="shared" ca="1" si="25"/>
        <v>42.732687705624812</v>
      </c>
    </row>
    <row r="179" spans="1:10" ht="18" x14ac:dyDescent="0.3">
      <c r="A179" s="86">
        <v>165</v>
      </c>
      <c r="B179" s="72">
        <f t="shared" ca="1" si="26"/>
        <v>0.6283602879011394</v>
      </c>
      <c r="C179" s="72">
        <f t="shared" ca="1" si="26"/>
        <v>0.40037427287136251</v>
      </c>
      <c r="D179" s="72">
        <f t="shared" ca="1" si="19"/>
        <v>24.745760247170185</v>
      </c>
      <c r="E179" s="72">
        <f t="shared" ca="1" si="20"/>
        <v>11.365546811592944</v>
      </c>
      <c r="F179" s="72">
        <f t="shared" ca="1" si="21"/>
        <v>4468.1231506764752</v>
      </c>
      <c r="G179" s="72">
        <f t="shared" ca="1" si="22"/>
        <v>17.986927458454375</v>
      </c>
      <c r="H179" s="72">
        <f t="shared" ca="1" si="23"/>
        <v>4486.1100781349296</v>
      </c>
      <c r="I179" s="72">
        <f t="shared" ca="1" si="24"/>
        <v>4497.4756249465227</v>
      </c>
      <c r="J179" s="72">
        <f t="shared" ca="1" si="25"/>
        <v>29.352474270047423</v>
      </c>
    </row>
    <row r="180" spans="1:10" ht="18" x14ac:dyDescent="0.3">
      <c r="A180" s="86">
        <v>166</v>
      </c>
      <c r="B180" s="72">
        <f t="shared" ca="1" si="26"/>
        <v>0.44774403781712357</v>
      </c>
      <c r="C180" s="72">
        <f t="shared" ca="1" si="26"/>
        <v>0.34679382545875015</v>
      </c>
      <c r="D180" s="72">
        <f t="shared" ca="1" si="19"/>
        <v>14.843591014345531</v>
      </c>
      <c r="E180" s="72">
        <f t="shared" ca="1" si="20"/>
        <v>9.4636103371761369</v>
      </c>
      <c r="F180" s="72">
        <f t="shared" ca="1" si="21"/>
        <v>4482.9667416908205</v>
      </c>
      <c r="G180" s="72">
        <f t="shared" ca="1" si="22"/>
        <v>14.508883255702131</v>
      </c>
      <c r="H180" s="72">
        <f t="shared" ca="1" si="23"/>
        <v>4497.4756249465227</v>
      </c>
      <c r="I180" s="72">
        <f t="shared" ca="1" si="24"/>
        <v>4506.9392352836985</v>
      </c>
      <c r="J180" s="72">
        <f t="shared" ca="1" si="25"/>
        <v>23.972493592877981</v>
      </c>
    </row>
    <row r="181" spans="1:10" ht="18" x14ac:dyDescent="0.3">
      <c r="A181" s="86">
        <v>167</v>
      </c>
      <c r="B181" s="72">
        <f t="shared" ca="1" si="26"/>
        <v>6.5659301712346574E-2</v>
      </c>
      <c r="C181" s="72">
        <f t="shared" ca="1" si="26"/>
        <v>0.22133563281676449</v>
      </c>
      <c r="D181" s="72">
        <f t="shared" ca="1" si="19"/>
        <v>1.6978533484914535</v>
      </c>
      <c r="E181" s="72">
        <f t="shared" ca="1" si="20"/>
        <v>5.5594483735602456</v>
      </c>
      <c r="F181" s="72">
        <f t="shared" ca="1" si="21"/>
        <v>4484.6645950393122</v>
      </c>
      <c r="G181" s="72">
        <f t="shared" ca="1" si="22"/>
        <v>22.274640244386319</v>
      </c>
      <c r="H181" s="72">
        <f t="shared" ca="1" si="23"/>
        <v>4506.9392352836985</v>
      </c>
      <c r="I181" s="72">
        <f t="shared" ca="1" si="24"/>
        <v>4512.4986836572589</v>
      </c>
      <c r="J181" s="72">
        <f t="shared" ca="1" si="25"/>
        <v>27.834088617946691</v>
      </c>
    </row>
    <row r="182" spans="1:10" ht="18" x14ac:dyDescent="0.3">
      <c r="A182" s="86">
        <v>168</v>
      </c>
      <c r="B182" s="72">
        <f t="shared" ca="1" si="26"/>
        <v>0.42564100946013961</v>
      </c>
      <c r="C182" s="72">
        <f t="shared" ca="1" si="26"/>
        <v>0.56619285519624418</v>
      </c>
      <c r="D182" s="72">
        <f t="shared" ca="1" si="19"/>
        <v>13.862516477414358</v>
      </c>
      <c r="E182" s="72">
        <f t="shared" ca="1" si="20"/>
        <v>18.559004676745438</v>
      </c>
      <c r="F182" s="72">
        <f t="shared" ca="1" si="21"/>
        <v>4498.5271115167261</v>
      </c>
      <c r="G182" s="72">
        <f t="shared" ca="1" si="22"/>
        <v>13.971572140532771</v>
      </c>
      <c r="H182" s="72">
        <f t="shared" ca="1" si="23"/>
        <v>4512.4986836572589</v>
      </c>
      <c r="I182" s="72">
        <f t="shared" ca="1" si="24"/>
        <v>4531.0576883340045</v>
      </c>
      <c r="J182" s="72">
        <f t="shared" ca="1" si="25"/>
        <v>32.530576817278416</v>
      </c>
    </row>
    <row r="183" spans="1:10" ht="18" x14ac:dyDescent="0.3">
      <c r="A183" s="86">
        <v>169</v>
      </c>
      <c r="B183" s="72">
        <f t="shared" ca="1" si="26"/>
        <v>0.27945733127967509</v>
      </c>
      <c r="C183" s="72">
        <f t="shared" ca="1" si="26"/>
        <v>0.28758290781001794</v>
      </c>
      <c r="D183" s="72">
        <f t="shared" ca="1" si="19"/>
        <v>8.1937661077543993</v>
      </c>
      <c r="E183" s="72">
        <f t="shared" ca="1" si="20"/>
        <v>7.5353718988559359</v>
      </c>
      <c r="F183" s="72">
        <f t="shared" ca="1" si="21"/>
        <v>4506.7208776244806</v>
      </c>
      <c r="G183" s="72">
        <f t="shared" ca="1" si="22"/>
        <v>24.336810709523888</v>
      </c>
      <c r="H183" s="72">
        <f t="shared" ca="1" si="23"/>
        <v>4531.0576883340045</v>
      </c>
      <c r="I183" s="72">
        <f t="shared" ca="1" si="24"/>
        <v>4538.5930602328608</v>
      </c>
      <c r="J183" s="72">
        <f t="shared" ca="1" si="25"/>
        <v>31.872182608380172</v>
      </c>
    </row>
    <row r="184" spans="1:10" ht="18" x14ac:dyDescent="0.3">
      <c r="A184" s="86">
        <v>170</v>
      </c>
      <c r="B184" s="72">
        <f t="shared" ca="1" si="26"/>
        <v>0.99499224895969907</v>
      </c>
      <c r="C184" s="72">
        <f t="shared" ca="1" si="26"/>
        <v>0.16799246151708069</v>
      </c>
      <c r="D184" s="72">
        <f t="shared" ca="1" si="19"/>
        <v>132.41920897050036</v>
      </c>
      <c r="E184" s="72">
        <f t="shared" ca="1" si="20"/>
        <v>4.0869728338975655</v>
      </c>
      <c r="F184" s="72">
        <f t="shared" ca="1" si="21"/>
        <v>4639.1400865949809</v>
      </c>
      <c r="G184" s="72">
        <f t="shared" ca="1" si="22"/>
        <v>0</v>
      </c>
      <c r="H184" s="72">
        <f t="shared" ca="1" si="23"/>
        <v>4639.1400865949809</v>
      </c>
      <c r="I184" s="72">
        <f t="shared" ca="1" si="24"/>
        <v>4643.2270594288784</v>
      </c>
      <c r="J184" s="72">
        <f t="shared" ca="1" si="25"/>
        <v>4.0869728338975619</v>
      </c>
    </row>
    <row r="185" spans="1:10" ht="18" x14ac:dyDescent="0.3">
      <c r="A185" s="86">
        <v>171</v>
      </c>
      <c r="B185" s="72">
        <f t="shared" ca="1" si="26"/>
        <v>0.60293627035356179</v>
      </c>
      <c r="C185" s="72">
        <f t="shared" ca="1" si="26"/>
        <v>2.1366962682132229E-2</v>
      </c>
      <c r="D185" s="72">
        <f t="shared" ca="1" si="19"/>
        <v>23.091462077538225</v>
      </c>
      <c r="E185" s="72">
        <f t="shared" ca="1" si="20"/>
        <v>0.47996757599699008</v>
      </c>
      <c r="F185" s="72">
        <f t="shared" ca="1" si="21"/>
        <v>4662.2315486725192</v>
      </c>
      <c r="G185" s="72">
        <f t="shared" ca="1" si="22"/>
        <v>0</v>
      </c>
      <c r="H185" s="72">
        <f t="shared" ca="1" si="23"/>
        <v>4662.2315486725192</v>
      </c>
      <c r="I185" s="72">
        <f t="shared" ca="1" si="24"/>
        <v>4662.7115162485161</v>
      </c>
      <c r="J185" s="72">
        <f t="shared" ca="1" si="25"/>
        <v>0.47996757599685225</v>
      </c>
    </row>
    <row r="186" spans="1:10" ht="18" x14ac:dyDescent="0.3">
      <c r="A186" s="86">
        <v>172</v>
      </c>
      <c r="B186" s="72">
        <f t="shared" ca="1" si="26"/>
        <v>0.45752565453555605</v>
      </c>
      <c r="C186" s="72">
        <f t="shared" ca="1" si="26"/>
        <v>0.18268587804164882</v>
      </c>
      <c r="D186" s="72">
        <f t="shared" ca="1" si="19"/>
        <v>15.290362103804181</v>
      </c>
      <c r="E186" s="72">
        <f t="shared" ca="1" si="20"/>
        <v>4.4829283514513634</v>
      </c>
      <c r="F186" s="72">
        <f t="shared" ca="1" si="21"/>
        <v>4677.5219107763232</v>
      </c>
      <c r="G186" s="72">
        <f t="shared" ca="1" si="22"/>
        <v>0</v>
      </c>
      <c r="H186" s="72">
        <f t="shared" ca="1" si="23"/>
        <v>4677.5219107763232</v>
      </c>
      <c r="I186" s="72">
        <f t="shared" ca="1" si="24"/>
        <v>4682.0048391277742</v>
      </c>
      <c r="J186" s="72">
        <f t="shared" ca="1" si="25"/>
        <v>4.482928351450937</v>
      </c>
    </row>
    <row r="187" spans="1:10" ht="18" x14ac:dyDescent="0.3">
      <c r="A187" s="86">
        <v>173</v>
      </c>
      <c r="B187" s="72">
        <f t="shared" ca="1" si="26"/>
        <v>0.43677404725061364</v>
      </c>
      <c r="C187" s="72">
        <f t="shared" ca="1" si="26"/>
        <v>0.26038505558145286</v>
      </c>
      <c r="D187" s="72">
        <f t="shared" ca="1" si="19"/>
        <v>14.351859858098855</v>
      </c>
      <c r="E187" s="72">
        <f t="shared" ca="1" si="20"/>
        <v>6.7027905242422623</v>
      </c>
      <c r="F187" s="72">
        <f t="shared" ca="1" si="21"/>
        <v>4691.8737706344218</v>
      </c>
      <c r="G187" s="72">
        <f t="shared" ca="1" si="22"/>
        <v>0</v>
      </c>
      <c r="H187" s="72">
        <f t="shared" ca="1" si="23"/>
        <v>4691.8737706344218</v>
      </c>
      <c r="I187" s="72">
        <f t="shared" ca="1" si="24"/>
        <v>4698.5765611586639</v>
      </c>
      <c r="J187" s="72">
        <f t="shared" ca="1" si="25"/>
        <v>6.7027905242421184</v>
      </c>
    </row>
    <row r="188" spans="1:10" ht="18" x14ac:dyDescent="0.3">
      <c r="A188" s="86">
        <v>174</v>
      </c>
      <c r="B188" s="72">
        <f t="shared" ca="1" si="26"/>
        <v>0.12604558478188232</v>
      </c>
      <c r="C188" s="72">
        <f t="shared" ca="1" si="26"/>
        <v>0.91418321261743274</v>
      </c>
      <c r="D188" s="72">
        <f t="shared" ca="1" si="19"/>
        <v>3.3681765296952175</v>
      </c>
      <c r="E188" s="72">
        <f t="shared" ca="1" si="20"/>
        <v>54.567569655268969</v>
      </c>
      <c r="F188" s="72">
        <f t="shared" ca="1" si="21"/>
        <v>4695.2419471641169</v>
      </c>
      <c r="G188" s="72">
        <f t="shared" ca="1" si="22"/>
        <v>3.3346139945469986</v>
      </c>
      <c r="H188" s="72">
        <f t="shared" ca="1" si="23"/>
        <v>4698.5765611586639</v>
      </c>
      <c r="I188" s="72">
        <f t="shared" ca="1" si="24"/>
        <v>4753.1441308139329</v>
      </c>
      <c r="J188" s="72">
        <f t="shared" ca="1" si="25"/>
        <v>57.902183649815925</v>
      </c>
    </row>
    <row r="189" spans="1:10" ht="18" x14ac:dyDescent="0.3">
      <c r="A189" s="86">
        <v>175</v>
      </c>
      <c r="B189" s="72">
        <f t="shared" ca="1" si="26"/>
        <v>0.68263218844121909</v>
      </c>
      <c r="C189" s="72">
        <f t="shared" ca="1" si="26"/>
        <v>6.4828941924839678E-2</v>
      </c>
      <c r="D189" s="72">
        <f t="shared" ca="1" si="19"/>
        <v>28.692347222268584</v>
      </c>
      <c r="E189" s="72">
        <f t="shared" ca="1" si="20"/>
        <v>1.4894625914160116</v>
      </c>
      <c r="F189" s="72">
        <f t="shared" ca="1" si="21"/>
        <v>4723.9342943863858</v>
      </c>
      <c r="G189" s="72">
        <f t="shared" ca="1" si="22"/>
        <v>29.209836427547089</v>
      </c>
      <c r="H189" s="72">
        <f t="shared" ca="1" si="23"/>
        <v>4753.1441308139329</v>
      </c>
      <c r="I189" s="72">
        <f t="shared" ca="1" si="24"/>
        <v>4754.6335934053486</v>
      </c>
      <c r="J189" s="72">
        <f t="shared" ca="1" si="25"/>
        <v>30.699299018962847</v>
      </c>
    </row>
    <row r="190" spans="1:10" ht="18" x14ac:dyDescent="0.3">
      <c r="A190" s="86">
        <v>176</v>
      </c>
      <c r="B190" s="72">
        <f t="shared" ca="1" si="26"/>
        <v>0.20601380262380953</v>
      </c>
      <c r="C190" s="72">
        <f t="shared" ca="1" si="26"/>
        <v>0.92840144400583013</v>
      </c>
      <c r="D190" s="72">
        <f t="shared" ca="1" si="19"/>
        <v>5.7672300385822437</v>
      </c>
      <c r="E190" s="72">
        <f t="shared" ca="1" si="20"/>
        <v>58.592897175513315</v>
      </c>
      <c r="F190" s="72">
        <f t="shared" ca="1" si="21"/>
        <v>4729.7015244249678</v>
      </c>
      <c r="G190" s="72">
        <f t="shared" ca="1" si="22"/>
        <v>24.932068980380791</v>
      </c>
      <c r="H190" s="72">
        <f t="shared" ca="1" si="23"/>
        <v>4754.6335934053486</v>
      </c>
      <c r="I190" s="72">
        <f t="shared" ca="1" si="24"/>
        <v>4813.2264905808615</v>
      </c>
      <c r="J190" s="72">
        <f t="shared" ca="1" si="25"/>
        <v>83.524966155893708</v>
      </c>
    </row>
    <row r="191" spans="1:10" ht="18" x14ac:dyDescent="0.3">
      <c r="A191" s="86">
        <v>177</v>
      </c>
      <c r="B191" s="72">
        <f t="shared" ca="1" si="26"/>
        <v>0.61998738858320623</v>
      </c>
      <c r="C191" s="72">
        <f t="shared" ca="1" si="26"/>
        <v>0.16999001113964785</v>
      </c>
      <c r="D191" s="72">
        <f t="shared" ca="1" si="19"/>
        <v>24.188770971837055</v>
      </c>
      <c r="E191" s="72">
        <f t="shared" ca="1" si="20"/>
        <v>4.1403898553867133</v>
      </c>
      <c r="F191" s="72">
        <f t="shared" ca="1" si="21"/>
        <v>4753.8902953968045</v>
      </c>
      <c r="G191" s="72">
        <f t="shared" ca="1" si="22"/>
        <v>59.336195184057033</v>
      </c>
      <c r="H191" s="72">
        <f t="shared" ca="1" si="23"/>
        <v>4813.2264905808615</v>
      </c>
      <c r="I191" s="72">
        <f t="shared" ca="1" si="24"/>
        <v>4817.3668804362478</v>
      </c>
      <c r="J191" s="72">
        <f t="shared" ca="1" si="25"/>
        <v>63.476585039443307</v>
      </c>
    </row>
    <row r="192" spans="1:10" ht="18" x14ac:dyDescent="0.3">
      <c r="A192" s="86">
        <v>178</v>
      </c>
      <c r="B192" s="72">
        <f t="shared" ca="1" si="26"/>
        <v>0.36654358718588886</v>
      </c>
      <c r="C192" s="72">
        <f t="shared" ca="1" si="26"/>
        <v>0.5591558500530468</v>
      </c>
      <c r="D192" s="72">
        <f t="shared" ca="1" si="19"/>
        <v>11.414102133855822</v>
      </c>
      <c r="E192" s="72">
        <f t="shared" ca="1" si="20"/>
        <v>18.201419277269832</v>
      </c>
      <c r="F192" s="72">
        <f t="shared" ca="1" si="21"/>
        <v>4765.30439753066</v>
      </c>
      <c r="G192" s="72">
        <f t="shared" ca="1" si="22"/>
        <v>52.062482905587785</v>
      </c>
      <c r="H192" s="72">
        <f t="shared" ca="1" si="23"/>
        <v>4817.3668804362478</v>
      </c>
      <c r="I192" s="72">
        <f t="shared" ca="1" si="24"/>
        <v>4835.5682997135173</v>
      </c>
      <c r="J192" s="72">
        <f t="shared" ca="1" si="25"/>
        <v>70.263902182857237</v>
      </c>
    </row>
    <row r="193" spans="1:10" ht="18" x14ac:dyDescent="0.3">
      <c r="A193" s="86">
        <v>179</v>
      </c>
      <c r="B193" s="72">
        <f t="shared" ca="1" si="26"/>
        <v>0.21139091694894963</v>
      </c>
      <c r="C193" s="72">
        <f t="shared" ca="1" si="26"/>
        <v>0.43981832970801049</v>
      </c>
      <c r="D193" s="72">
        <f t="shared" ca="1" si="19"/>
        <v>5.9371134915104724</v>
      </c>
      <c r="E193" s="72">
        <f t="shared" ca="1" si="20"/>
        <v>12.877647480604303</v>
      </c>
      <c r="F193" s="72">
        <f t="shared" ca="1" si="21"/>
        <v>4771.2415110221709</v>
      </c>
      <c r="G193" s="72">
        <f t="shared" ca="1" si="22"/>
        <v>64.326788691346337</v>
      </c>
      <c r="H193" s="72">
        <f t="shared" ca="1" si="23"/>
        <v>4835.5682997135173</v>
      </c>
      <c r="I193" s="72">
        <f t="shared" ca="1" si="24"/>
        <v>4848.4459471941218</v>
      </c>
      <c r="J193" s="72">
        <f t="shared" ca="1" si="25"/>
        <v>77.204436171950874</v>
      </c>
    </row>
    <row r="194" spans="1:10" ht="18" x14ac:dyDescent="0.3">
      <c r="A194" s="86">
        <v>180</v>
      </c>
      <c r="B194" s="72">
        <f t="shared" ca="1" si="26"/>
        <v>0.83748942335179022</v>
      </c>
      <c r="C194" s="72">
        <f t="shared" ca="1" si="26"/>
        <v>0.14290866846427985</v>
      </c>
      <c r="D194" s="72">
        <f t="shared" ca="1" si="19"/>
        <v>45.425304806612743</v>
      </c>
      <c r="E194" s="72">
        <f t="shared" ca="1" si="20"/>
        <v>3.4269065520545801</v>
      </c>
      <c r="F194" s="72">
        <f t="shared" ca="1" si="21"/>
        <v>4816.6668158287839</v>
      </c>
      <c r="G194" s="72">
        <f t="shared" ca="1" si="22"/>
        <v>31.779131365337889</v>
      </c>
      <c r="H194" s="72">
        <f t="shared" ca="1" si="23"/>
        <v>4848.4459471941218</v>
      </c>
      <c r="I194" s="72">
        <f t="shared" ca="1" si="24"/>
        <v>4851.8728537461766</v>
      </c>
      <c r="J194" s="72">
        <f t="shared" ca="1" si="25"/>
        <v>35.206037917392678</v>
      </c>
    </row>
    <row r="195" spans="1:10" ht="18" x14ac:dyDescent="0.3">
      <c r="A195" s="86">
        <v>181</v>
      </c>
      <c r="B195" s="72">
        <f t="shared" ca="1" si="26"/>
        <v>0.23499716987569885</v>
      </c>
      <c r="C195" s="72">
        <f t="shared" ca="1" si="26"/>
        <v>4.9123946023994947E-2</v>
      </c>
      <c r="D195" s="72">
        <f t="shared" ca="1" si="19"/>
        <v>6.6968936413388498</v>
      </c>
      <c r="E195" s="72">
        <f t="shared" ca="1" si="20"/>
        <v>1.1193679386173299</v>
      </c>
      <c r="F195" s="72">
        <f t="shared" ca="1" si="21"/>
        <v>4823.3637094701226</v>
      </c>
      <c r="G195" s="72">
        <f t="shared" ca="1" si="22"/>
        <v>28.50914427605403</v>
      </c>
      <c r="H195" s="72">
        <f t="shared" ca="1" si="23"/>
        <v>4851.8728537461766</v>
      </c>
      <c r="I195" s="72">
        <f t="shared" ca="1" si="24"/>
        <v>4852.9922216847935</v>
      </c>
      <c r="J195" s="72">
        <f t="shared" ca="1" si="25"/>
        <v>29.628512214670991</v>
      </c>
    </row>
    <row r="196" spans="1:10" ht="18" x14ac:dyDescent="0.3">
      <c r="A196" s="86">
        <v>182</v>
      </c>
      <c r="B196" s="72">
        <f t="shared" ca="1" si="26"/>
        <v>0.78030783832617967</v>
      </c>
      <c r="C196" s="72">
        <f t="shared" ca="1" si="26"/>
        <v>0.43067473220900199</v>
      </c>
      <c r="D196" s="72">
        <f t="shared" ca="1" si="19"/>
        <v>37.888199440859935</v>
      </c>
      <c r="E196" s="72">
        <f t="shared" ca="1" si="20"/>
        <v>12.517852445456121</v>
      </c>
      <c r="F196" s="72">
        <f t="shared" ca="1" si="21"/>
        <v>4861.2519089109828</v>
      </c>
      <c r="G196" s="72">
        <f t="shared" ca="1" si="22"/>
        <v>0</v>
      </c>
      <c r="H196" s="72">
        <f t="shared" ca="1" si="23"/>
        <v>4861.2519089109828</v>
      </c>
      <c r="I196" s="72">
        <f t="shared" ca="1" si="24"/>
        <v>4873.7697613564387</v>
      </c>
      <c r="J196" s="72">
        <f t="shared" ca="1" si="25"/>
        <v>12.517852445455901</v>
      </c>
    </row>
    <row r="197" spans="1:10" ht="18" x14ac:dyDescent="0.3">
      <c r="A197" s="86">
        <v>183</v>
      </c>
      <c r="B197" s="72">
        <f t="shared" ca="1" si="26"/>
        <v>0.67519451968721733</v>
      </c>
      <c r="C197" s="72">
        <f t="shared" ca="1" si="26"/>
        <v>0.4630682124734421</v>
      </c>
      <c r="D197" s="72">
        <f t="shared" ca="1" si="19"/>
        <v>28.113219948819413</v>
      </c>
      <c r="E197" s="72">
        <f t="shared" ca="1" si="20"/>
        <v>13.819649280707804</v>
      </c>
      <c r="F197" s="72">
        <f t="shared" ca="1" si="21"/>
        <v>4889.3651288598021</v>
      </c>
      <c r="G197" s="72">
        <f t="shared" ca="1" si="22"/>
        <v>0</v>
      </c>
      <c r="H197" s="72">
        <f t="shared" ca="1" si="23"/>
        <v>4889.3651288598021</v>
      </c>
      <c r="I197" s="72">
        <f t="shared" ca="1" si="24"/>
        <v>4903.1847781405095</v>
      </c>
      <c r="J197" s="72">
        <f t="shared" ca="1" si="25"/>
        <v>13.819649280707381</v>
      </c>
    </row>
    <row r="198" spans="1:10" ht="18" x14ac:dyDescent="0.3">
      <c r="A198" s="86">
        <v>184</v>
      </c>
      <c r="B198" s="72">
        <f t="shared" ca="1" si="26"/>
        <v>0.592226914027566</v>
      </c>
      <c r="C198" s="72">
        <f t="shared" ca="1" si="26"/>
        <v>0.73534105754808687</v>
      </c>
      <c r="D198" s="72">
        <f t="shared" ca="1" si="19"/>
        <v>22.426110528140097</v>
      </c>
      <c r="E198" s="72">
        <f t="shared" ca="1" si="20"/>
        <v>29.54029536709993</v>
      </c>
      <c r="F198" s="72">
        <f t="shared" ca="1" si="21"/>
        <v>4911.7912393879424</v>
      </c>
      <c r="G198" s="72">
        <f t="shared" ca="1" si="22"/>
        <v>0</v>
      </c>
      <c r="H198" s="72">
        <f t="shared" ca="1" si="23"/>
        <v>4911.7912393879424</v>
      </c>
      <c r="I198" s="72">
        <f t="shared" ca="1" si="24"/>
        <v>4941.3315347550424</v>
      </c>
      <c r="J198" s="72">
        <f t="shared" ca="1" si="25"/>
        <v>29.540295367100043</v>
      </c>
    </row>
    <row r="199" spans="1:10" ht="18" x14ac:dyDescent="0.3">
      <c r="A199" s="86">
        <v>185</v>
      </c>
      <c r="B199" s="72">
        <f t="shared" ca="1" si="26"/>
        <v>9.6553740614932604E-2</v>
      </c>
      <c r="C199" s="72">
        <f t="shared" ca="1" si="26"/>
        <v>0.94364180570154721</v>
      </c>
      <c r="D199" s="72">
        <f t="shared" ca="1" si="19"/>
        <v>2.5384662800068547</v>
      </c>
      <c r="E199" s="72">
        <f t="shared" ca="1" si="20"/>
        <v>63.911725137161667</v>
      </c>
      <c r="F199" s="72">
        <f t="shared" ca="1" si="21"/>
        <v>4914.3297056679494</v>
      </c>
      <c r="G199" s="72">
        <f t="shared" ca="1" si="22"/>
        <v>27.001829087093029</v>
      </c>
      <c r="H199" s="72">
        <f t="shared" ca="1" si="23"/>
        <v>4941.3315347550424</v>
      </c>
      <c r="I199" s="72">
        <f t="shared" ca="1" si="24"/>
        <v>5005.2432598922042</v>
      </c>
      <c r="J199" s="72">
        <f t="shared" ca="1" si="25"/>
        <v>90.913554224254767</v>
      </c>
    </row>
    <row r="200" spans="1:10" ht="18" x14ac:dyDescent="0.3">
      <c r="A200" s="86">
        <v>186</v>
      </c>
      <c r="B200" s="72">
        <f t="shared" ca="1" si="26"/>
        <v>7.8664857932755572E-2</v>
      </c>
      <c r="C200" s="72">
        <f t="shared" ca="1" si="26"/>
        <v>0.6409485132511642</v>
      </c>
      <c r="D200" s="72">
        <f t="shared" ca="1" si="19"/>
        <v>2.0482854898666556</v>
      </c>
      <c r="E200" s="72">
        <f t="shared" ca="1" si="20"/>
        <v>22.761988525542996</v>
      </c>
      <c r="F200" s="72">
        <f t="shared" ca="1" si="21"/>
        <v>4916.3779911578158</v>
      </c>
      <c r="G200" s="72">
        <f t="shared" ca="1" si="22"/>
        <v>88.865268734388337</v>
      </c>
      <c r="H200" s="72">
        <f t="shared" ca="1" si="23"/>
        <v>5005.2432598922042</v>
      </c>
      <c r="I200" s="72">
        <f t="shared" ca="1" si="24"/>
        <v>5028.0052484177468</v>
      </c>
      <c r="J200" s="72">
        <f t="shared" ca="1" si="25"/>
        <v>111.62725725993096</v>
      </c>
    </row>
    <row r="201" spans="1:10" ht="18" x14ac:dyDescent="0.3">
      <c r="A201" s="86">
        <v>187</v>
      </c>
      <c r="B201" s="72">
        <f t="shared" ca="1" si="26"/>
        <v>0.56969799885602368</v>
      </c>
      <c r="C201" s="72">
        <f t="shared" ca="1" si="26"/>
        <v>0.17225587267570552</v>
      </c>
      <c r="D201" s="72">
        <f t="shared" ca="1" si="19"/>
        <v>21.081699714244646</v>
      </c>
      <c r="E201" s="72">
        <f t="shared" ca="1" si="20"/>
        <v>4.2011377183464811</v>
      </c>
      <c r="F201" s="72">
        <f t="shared" ca="1" si="21"/>
        <v>4937.4596908720605</v>
      </c>
      <c r="G201" s="72">
        <f t="shared" ca="1" si="22"/>
        <v>90.545557545686279</v>
      </c>
      <c r="H201" s="72">
        <f t="shared" ca="1" si="23"/>
        <v>5028.0052484177468</v>
      </c>
      <c r="I201" s="72">
        <f t="shared" ca="1" si="24"/>
        <v>5032.206386136093</v>
      </c>
      <c r="J201" s="72">
        <f t="shared" ca="1" si="25"/>
        <v>94.746695264032496</v>
      </c>
    </row>
    <row r="202" spans="1:10" ht="18" x14ac:dyDescent="0.3">
      <c r="A202" s="86">
        <v>188</v>
      </c>
      <c r="B202" s="72">
        <f t="shared" ca="1" si="26"/>
        <v>0.87207578538597208</v>
      </c>
      <c r="C202" s="72">
        <f t="shared" ca="1" si="26"/>
        <v>0.38156094775394256</v>
      </c>
      <c r="D202" s="72">
        <f t="shared" ca="1" si="19"/>
        <v>51.407931593376354</v>
      </c>
      <c r="E202" s="72">
        <f t="shared" ca="1" si="20"/>
        <v>10.679036294227881</v>
      </c>
      <c r="F202" s="72">
        <f t="shared" ca="1" si="21"/>
        <v>4988.8676224654364</v>
      </c>
      <c r="G202" s="72">
        <f t="shared" ca="1" si="22"/>
        <v>43.33876367065659</v>
      </c>
      <c r="H202" s="72">
        <f t="shared" ca="1" si="23"/>
        <v>5032.206386136093</v>
      </c>
      <c r="I202" s="72">
        <f t="shared" ca="1" si="24"/>
        <v>5042.8854224303204</v>
      </c>
      <c r="J202" s="72">
        <f t="shared" ca="1" si="25"/>
        <v>54.017799964884034</v>
      </c>
    </row>
    <row r="203" spans="1:10" ht="18" x14ac:dyDescent="0.3">
      <c r="A203" s="86">
        <v>189</v>
      </c>
      <c r="B203" s="72">
        <f t="shared" ca="1" si="26"/>
        <v>0.42798960772289141</v>
      </c>
      <c r="C203" s="72">
        <f t="shared" ca="1" si="26"/>
        <v>0.95933554982092406</v>
      </c>
      <c r="D203" s="72">
        <f t="shared" ca="1" si="19"/>
        <v>13.964952986268939</v>
      </c>
      <c r="E203" s="72">
        <f t="shared" ca="1" si="20"/>
        <v>71.164467293235333</v>
      </c>
      <c r="F203" s="72">
        <f t="shared" ca="1" si="21"/>
        <v>5002.8325754517055</v>
      </c>
      <c r="G203" s="72">
        <f t="shared" ca="1" si="22"/>
        <v>40.05284697861498</v>
      </c>
      <c r="H203" s="72">
        <f t="shared" ca="1" si="23"/>
        <v>5042.8854224303204</v>
      </c>
      <c r="I203" s="72">
        <f t="shared" ca="1" si="24"/>
        <v>5114.0498897235557</v>
      </c>
      <c r="J203" s="72">
        <f t="shared" ca="1" si="25"/>
        <v>111.21731427185023</v>
      </c>
    </row>
    <row r="204" spans="1:10" ht="18" x14ac:dyDescent="0.3">
      <c r="A204" s="86">
        <v>190</v>
      </c>
      <c r="B204" s="72">
        <f t="shared" ca="1" si="26"/>
        <v>0.51515062600082717</v>
      </c>
      <c r="C204" s="72">
        <f t="shared" ca="1" si="26"/>
        <v>0.29649012875756875</v>
      </c>
      <c r="D204" s="72">
        <f t="shared" ca="1" si="19"/>
        <v>18.097925133877165</v>
      </c>
      <c r="E204" s="72">
        <f t="shared" ca="1" si="20"/>
        <v>7.8149637979848414</v>
      </c>
      <c r="F204" s="72">
        <f t="shared" ca="1" si="21"/>
        <v>5020.9305005855822</v>
      </c>
      <c r="G204" s="72">
        <f t="shared" ca="1" si="22"/>
        <v>93.119389137973485</v>
      </c>
      <c r="H204" s="72">
        <f t="shared" ca="1" si="23"/>
        <v>5114.0498897235557</v>
      </c>
      <c r="I204" s="72">
        <f t="shared" ca="1" si="24"/>
        <v>5121.8648535215407</v>
      </c>
      <c r="J204" s="72">
        <f t="shared" ca="1" si="25"/>
        <v>100.93435293595849</v>
      </c>
    </row>
    <row r="205" spans="1:10" ht="18" x14ac:dyDescent="0.3">
      <c r="A205" s="86">
        <v>191</v>
      </c>
      <c r="B205" s="72">
        <f t="shared" ca="1" si="26"/>
        <v>0.91681798517740498</v>
      </c>
      <c r="C205" s="72">
        <f t="shared" ca="1" si="26"/>
        <v>8.8668255579900435E-2</v>
      </c>
      <c r="D205" s="72">
        <f t="shared" ca="1" si="19"/>
        <v>62.168103063007486</v>
      </c>
      <c r="E205" s="72">
        <f t="shared" ca="1" si="20"/>
        <v>2.0632954193730213</v>
      </c>
      <c r="F205" s="72">
        <f t="shared" ca="1" si="21"/>
        <v>5083.0986036485892</v>
      </c>
      <c r="G205" s="72">
        <f t="shared" ca="1" si="22"/>
        <v>38.766249872951448</v>
      </c>
      <c r="H205" s="72">
        <f t="shared" ca="1" si="23"/>
        <v>5121.8648535215407</v>
      </c>
      <c r="I205" s="72">
        <f t="shared" ca="1" si="24"/>
        <v>5123.9281489409141</v>
      </c>
      <c r="J205" s="72">
        <f t="shared" ca="1" si="25"/>
        <v>40.829545292324838</v>
      </c>
    </row>
    <row r="206" spans="1:10" ht="18" x14ac:dyDescent="0.3">
      <c r="A206" s="86">
        <v>192</v>
      </c>
      <c r="B206" s="72">
        <f t="shared" ca="1" si="26"/>
        <v>0.93022546101104087</v>
      </c>
      <c r="C206" s="72">
        <f t="shared" ca="1" si="26"/>
        <v>0.15847643375834453</v>
      </c>
      <c r="D206" s="72">
        <f t="shared" ca="1" si="19"/>
        <v>66.56215266726818</v>
      </c>
      <c r="E206" s="72">
        <f t="shared" ca="1" si="20"/>
        <v>3.8342502378404757</v>
      </c>
      <c r="F206" s="72">
        <f t="shared" ca="1" si="21"/>
        <v>5149.6607563158577</v>
      </c>
      <c r="G206" s="72">
        <f t="shared" ca="1" si="22"/>
        <v>0</v>
      </c>
      <c r="H206" s="72">
        <f t="shared" ca="1" si="23"/>
        <v>5149.6607563158577</v>
      </c>
      <c r="I206" s="72">
        <f t="shared" ca="1" si="24"/>
        <v>5153.4950065536977</v>
      </c>
      <c r="J206" s="72">
        <f t="shared" ca="1" si="25"/>
        <v>3.8342502378400241</v>
      </c>
    </row>
    <row r="207" spans="1:10" ht="18" x14ac:dyDescent="0.3">
      <c r="A207" s="86">
        <v>193</v>
      </c>
      <c r="B207" s="72">
        <f t="shared" ca="1" si="26"/>
        <v>0.5489609142530214</v>
      </c>
      <c r="C207" s="72">
        <f t="shared" ca="1" si="26"/>
        <v>0.81500435398570581</v>
      </c>
      <c r="D207" s="72">
        <f t="shared" ca="1" si="19"/>
        <v>19.905031965179337</v>
      </c>
      <c r="E207" s="72">
        <f t="shared" ca="1" si="20"/>
        <v>37.498288649747451</v>
      </c>
      <c r="F207" s="72">
        <f t="shared" ca="1" si="21"/>
        <v>5169.5657882810374</v>
      </c>
      <c r="G207" s="72">
        <f t="shared" ca="1" si="22"/>
        <v>0</v>
      </c>
      <c r="H207" s="72">
        <f t="shared" ca="1" si="23"/>
        <v>5169.5657882810374</v>
      </c>
      <c r="I207" s="72">
        <f t="shared" ca="1" si="24"/>
        <v>5207.0640769307847</v>
      </c>
      <c r="J207" s="72">
        <f t="shared" ca="1" si="25"/>
        <v>37.498288649747337</v>
      </c>
    </row>
    <row r="208" spans="1:10" ht="18" x14ac:dyDescent="0.3">
      <c r="A208" s="86">
        <v>194</v>
      </c>
      <c r="B208" s="72">
        <f t="shared" ca="1" si="26"/>
        <v>0.64883105774618621</v>
      </c>
      <c r="C208" s="72">
        <f t="shared" ca="1" si="26"/>
        <v>5.4413372804892335E-2</v>
      </c>
      <c r="D208" s="72">
        <f t="shared" ca="1" si="19"/>
        <v>26.162196358742328</v>
      </c>
      <c r="E208" s="72">
        <f t="shared" ca="1" si="20"/>
        <v>1.243328323721282</v>
      </c>
      <c r="F208" s="72">
        <f t="shared" ca="1" si="21"/>
        <v>5195.7279846397796</v>
      </c>
      <c r="G208" s="72">
        <f t="shared" ca="1" si="22"/>
        <v>11.336092291005116</v>
      </c>
      <c r="H208" s="72">
        <f t="shared" ca="1" si="23"/>
        <v>5207.0640769307847</v>
      </c>
      <c r="I208" s="72">
        <f t="shared" ca="1" si="24"/>
        <v>5208.3074052545062</v>
      </c>
      <c r="J208" s="72">
        <f t="shared" ca="1" si="25"/>
        <v>12.579420614726587</v>
      </c>
    </row>
    <row r="209" spans="1:10" ht="18" x14ac:dyDescent="0.3">
      <c r="A209" s="86">
        <v>195</v>
      </c>
      <c r="B209" s="72">
        <f t="shared" ca="1" si="26"/>
        <v>9.8606896157917401E-2</v>
      </c>
      <c r="C209" s="72">
        <f t="shared" ca="1" si="26"/>
        <v>0.55389351969351974</v>
      </c>
      <c r="D209" s="72">
        <f t="shared" ref="D209:D214" ca="1" si="27">(1/$F$2)*LN(1/(1-B209))</f>
        <v>2.5953454812941859</v>
      </c>
      <c r="E209" s="72">
        <f t="shared" ref="E209:E214" ca="1" si="28">(1/$J$2)*LN(1/(1-C209))</f>
        <v>17.937724675007789</v>
      </c>
      <c r="F209" s="72">
        <f t="shared" ref="F209:F214" ca="1" si="29">F208+D209</f>
        <v>5198.3233301210739</v>
      </c>
      <c r="G209" s="72">
        <f t="shared" ref="G209:G214" ca="1" si="30">IF(I208&gt;F209,I208-F209,0)</f>
        <v>9.9840751334322704</v>
      </c>
      <c r="H209" s="72">
        <f t="shared" ref="H209:H214" ca="1" si="31">F209+G209</f>
        <v>5208.3074052545062</v>
      </c>
      <c r="I209" s="72">
        <f t="shared" ref="I209:I214" ca="1" si="32">H209+E209</f>
        <v>5226.2451299295144</v>
      </c>
      <c r="J209" s="72">
        <f t="shared" ref="J209:J214" ca="1" si="33">I209-F209</f>
        <v>27.921799808440483</v>
      </c>
    </row>
    <row r="210" spans="1:10" ht="18" x14ac:dyDescent="0.3">
      <c r="A210" s="86">
        <v>196</v>
      </c>
      <c r="B210" s="72">
        <f t="shared" ca="1" si="26"/>
        <v>0.85314430565807553</v>
      </c>
      <c r="C210" s="72">
        <f t="shared" ca="1" si="26"/>
        <v>0.40264416124488589</v>
      </c>
      <c r="D210" s="72">
        <f t="shared" ca="1" si="27"/>
        <v>47.957621137536485</v>
      </c>
      <c r="E210" s="72">
        <f t="shared" ca="1" si="28"/>
        <v>11.449828851950128</v>
      </c>
      <c r="F210" s="72">
        <f t="shared" ca="1" si="29"/>
        <v>5246.28095125861</v>
      </c>
      <c r="G210" s="72">
        <f t="shared" ca="1" si="30"/>
        <v>0</v>
      </c>
      <c r="H210" s="72">
        <f t="shared" ca="1" si="31"/>
        <v>5246.28095125861</v>
      </c>
      <c r="I210" s="72">
        <f t="shared" ca="1" si="32"/>
        <v>5257.7307801105599</v>
      </c>
      <c r="J210" s="72">
        <f t="shared" ca="1" si="33"/>
        <v>11.44982885194986</v>
      </c>
    </row>
    <row r="211" spans="1:10" ht="18" x14ac:dyDescent="0.3">
      <c r="A211" s="86">
        <v>197</v>
      </c>
      <c r="B211" s="72">
        <f t="shared" ca="1" si="26"/>
        <v>0.528300926669518</v>
      </c>
      <c r="C211" s="72">
        <f t="shared" ca="1" si="26"/>
        <v>3.3556473982081503E-3</v>
      </c>
      <c r="D211" s="72">
        <f t="shared" ca="1" si="27"/>
        <v>18.785351330634271</v>
      </c>
      <c r="E211" s="72">
        <f t="shared" ca="1" si="28"/>
        <v>7.4695337999987302E-2</v>
      </c>
      <c r="F211" s="72">
        <f t="shared" ca="1" si="29"/>
        <v>5265.0663025892445</v>
      </c>
      <c r="G211" s="72">
        <f t="shared" ca="1" si="30"/>
        <v>0</v>
      </c>
      <c r="H211" s="72">
        <f t="shared" ca="1" si="31"/>
        <v>5265.0663025892445</v>
      </c>
      <c r="I211" s="72">
        <f t="shared" ca="1" si="32"/>
        <v>5265.1409979272448</v>
      </c>
      <c r="J211" s="72">
        <f t="shared" ca="1" si="33"/>
        <v>7.4695338000310585E-2</v>
      </c>
    </row>
    <row r="212" spans="1:10" ht="18" x14ac:dyDescent="0.3">
      <c r="A212" s="86">
        <v>198</v>
      </c>
      <c r="B212" s="72">
        <f t="shared" ca="1" si="26"/>
        <v>4.6823130252086953E-2</v>
      </c>
      <c r="C212" s="72">
        <f t="shared" ca="1" si="26"/>
        <v>0.69423635577525078</v>
      </c>
      <c r="D212" s="72">
        <f t="shared" ca="1" si="27"/>
        <v>1.198869998699809</v>
      </c>
      <c r="E212" s="72">
        <f t="shared" ca="1" si="28"/>
        <v>26.332063999601957</v>
      </c>
      <c r="F212" s="72">
        <f t="shared" ca="1" si="29"/>
        <v>5266.2651725879441</v>
      </c>
      <c r="G212" s="72">
        <f t="shared" ca="1" si="30"/>
        <v>0</v>
      </c>
      <c r="H212" s="72">
        <f t="shared" ca="1" si="31"/>
        <v>5266.2651725879441</v>
      </c>
      <c r="I212" s="72">
        <f t="shared" ca="1" si="32"/>
        <v>5292.5972365875459</v>
      </c>
      <c r="J212" s="72">
        <f t="shared" ca="1" si="33"/>
        <v>26.332063999601814</v>
      </c>
    </row>
    <row r="213" spans="1:10" ht="18" x14ac:dyDescent="0.3">
      <c r="A213" s="86">
        <v>199</v>
      </c>
      <c r="B213" s="72">
        <f t="shared" ca="1" si="26"/>
        <v>0.11179909519178333</v>
      </c>
      <c r="C213" s="72">
        <f t="shared" ca="1" si="26"/>
        <v>0.95440552786150612</v>
      </c>
      <c r="D213" s="72">
        <f t="shared" ca="1" si="27"/>
        <v>2.9639329356479696</v>
      </c>
      <c r="E213" s="72">
        <f t="shared" ca="1" si="28"/>
        <v>68.621528774292742</v>
      </c>
      <c r="F213" s="72">
        <f t="shared" ca="1" si="29"/>
        <v>5269.2291055235919</v>
      </c>
      <c r="G213" s="72">
        <f t="shared" ca="1" si="30"/>
        <v>23.368131063954024</v>
      </c>
      <c r="H213" s="72">
        <f t="shared" ca="1" si="31"/>
        <v>5292.5972365875459</v>
      </c>
      <c r="I213" s="72">
        <f t="shared" ca="1" si="32"/>
        <v>5361.2187653618385</v>
      </c>
      <c r="J213" s="72">
        <f t="shared" ca="1" si="33"/>
        <v>91.989659838246553</v>
      </c>
    </row>
    <row r="214" spans="1:10" ht="18" x14ac:dyDescent="0.3">
      <c r="A214" s="86">
        <v>200</v>
      </c>
      <c r="B214" s="72">
        <f t="shared" ca="1" si="26"/>
        <v>0.62312301307345852</v>
      </c>
      <c r="C214" s="72">
        <f t="shared" ca="1" si="26"/>
        <v>0.11979850123830416</v>
      </c>
      <c r="D214" s="72">
        <f t="shared" ca="1" si="27"/>
        <v>24.395910985108962</v>
      </c>
      <c r="E214" s="72">
        <f t="shared" ca="1" si="28"/>
        <v>2.835653819006533</v>
      </c>
      <c r="F214" s="72">
        <f t="shared" ca="1" si="29"/>
        <v>5293.6250165087013</v>
      </c>
      <c r="G214" s="72">
        <f t="shared" ca="1" si="30"/>
        <v>67.593748853137186</v>
      </c>
      <c r="H214" s="72">
        <f t="shared" ca="1" si="31"/>
        <v>5361.2187653618385</v>
      </c>
      <c r="I214" s="72">
        <f t="shared" ca="1" si="32"/>
        <v>5364.0544191808449</v>
      </c>
      <c r="J214" s="72">
        <f t="shared" ca="1" si="33"/>
        <v>70.429402672143624</v>
      </c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21" r:id="rId4" name="CommandButton1">
          <controlPr defaultSize="0" autoLine="0" r:id="rId5">
            <anchor moveWithCells="1">
              <from>
                <xdr:col>11</xdr:col>
                <xdr:colOff>30480</xdr:colOff>
                <xdr:row>0</xdr:row>
                <xdr:rowOff>121920</xdr:rowOff>
              </from>
              <to>
                <xdr:col>12</xdr:col>
                <xdr:colOff>259080</xdr:colOff>
                <xdr:row>3</xdr:row>
                <xdr:rowOff>83820</xdr:rowOff>
              </to>
            </anchor>
          </controlPr>
        </control>
      </mc:Choice>
      <mc:Fallback>
        <control shapeId="30721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26</vt:i4>
      </vt:variant>
      <vt:variant>
        <vt:lpstr>Именованные диапазоны</vt:lpstr>
      </vt:variant>
      <vt:variant>
        <vt:i4>2</vt:i4>
      </vt:variant>
    </vt:vector>
  </HeadingPairs>
  <TitlesOfParts>
    <vt:vector size="28" baseType="lpstr">
      <vt:lpstr>Лист1</vt:lpstr>
      <vt:lpstr>Лист2</vt:lpstr>
      <vt:lpstr>Лист3</vt:lpstr>
      <vt:lpstr>Лист4</vt:lpstr>
      <vt:lpstr>Лист5</vt:lpstr>
      <vt:lpstr>Лист6</vt:lpstr>
      <vt:lpstr>Лист7</vt:lpstr>
      <vt:lpstr>Лист8</vt:lpstr>
      <vt:lpstr>Лист9</vt:lpstr>
      <vt:lpstr>Лист10</vt:lpstr>
      <vt:lpstr>Лист11</vt:lpstr>
      <vt:lpstr>Лист12</vt:lpstr>
      <vt:lpstr>Лист13</vt:lpstr>
      <vt:lpstr>Лист14</vt:lpstr>
      <vt:lpstr>Лист15</vt:lpstr>
      <vt:lpstr>Лист16</vt:lpstr>
      <vt:lpstr>Лист17</vt:lpstr>
      <vt:lpstr>Лист18</vt:lpstr>
      <vt:lpstr>Лист19</vt:lpstr>
      <vt:lpstr>Лист20</vt:lpstr>
      <vt:lpstr>Лист21</vt:lpstr>
      <vt:lpstr>Лист22</vt:lpstr>
      <vt:lpstr>Лист23</vt:lpstr>
      <vt:lpstr>Лист24</vt:lpstr>
      <vt:lpstr>Лист25</vt:lpstr>
      <vt:lpstr>Лист26</vt:lpstr>
      <vt:lpstr>L</vt:lpstr>
      <vt:lpstr>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2022-12-08T16:35:47Z</dcterms:modified>
</cp:coreProperties>
</file>