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activeX/activeX5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ЭтаКнига" defaultThemeVersion="124226"/>
  <bookViews>
    <workbookView xWindow="240" yWindow="105" windowWidth="14805" windowHeight="7425"/>
  </bookViews>
  <sheets>
    <sheet name="Лист1" sheetId="1" r:id="rId1"/>
    <sheet name="Лист2" sheetId="2" r:id="rId2"/>
    <sheet name="Лист3" sheetId="3" r:id="rId3"/>
  </sheets>
  <calcPr calcId="124519"/>
</workbook>
</file>

<file path=xl/calcChain.xml><?xml version="1.0" encoding="utf-8"?>
<calcChain xmlns="http://schemas.openxmlformats.org/spreadsheetml/2006/main">
  <c r="F58" i="3"/>
  <c r="B5"/>
  <c r="C5"/>
  <c r="D5"/>
  <c r="B6"/>
  <c r="C6"/>
  <c r="D6"/>
  <c r="B7"/>
  <c r="C7"/>
  <c r="D7"/>
  <c r="B8"/>
  <c r="C8"/>
  <c r="D8"/>
  <c r="B9"/>
  <c r="C9"/>
  <c r="D9"/>
  <c r="B10"/>
  <c r="C10"/>
  <c r="D10"/>
  <c r="B11"/>
  <c r="C11"/>
  <c r="D11"/>
  <c r="B12"/>
  <c r="C12"/>
  <c r="D12"/>
  <c r="B13"/>
  <c r="C13"/>
  <c r="D13"/>
  <c r="B14"/>
  <c r="C14"/>
  <c r="D14"/>
  <c r="B15"/>
  <c r="C15"/>
  <c r="D15"/>
  <c r="B16"/>
  <c r="C16"/>
  <c r="D16"/>
  <c r="B17"/>
  <c r="C17"/>
  <c r="D17"/>
  <c r="B18"/>
  <c r="C18"/>
  <c r="D18"/>
  <c r="B19"/>
  <c r="C19"/>
  <c r="D19"/>
  <c r="B20"/>
  <c r="C20"/>
  <c r="D20"/>
  <c r="B21"/>
  <c r="C21"/>
  <c r="D21"/>
  <c r="B22"/>
  <c r="C22"/>
  <c r="D22"/>
  <c r="B23"/>
  <c r="C23"/>
  <c r="D23"/>
  <c r="B24"/>
  <c r="C24"/>
  <c r="D24"/>
  <c r="B25"/>
  <c r="C25"/>
  <c r="D25"/>
  <c r="B26"/>
  <c r="C26"/>
  <c r="D26"/>
  <c r="B27"/>
  <c r="C27"/>
  <c r="D27"/>
  <c r="B28"/>
  <c r="C28"/>
  <c r="D28"/>
  <c r="B29"/>
  <c r="C29"/>
  <c r="D29"/>
  <c r="B30"/>
  <c r="C30"/>
  <c r="D30"/>
  <c r="B31"/>
  <c r="C31"/>
  <c r="D31"/>
  <c r="B32"/>
  <c r="C32"/>
  <c r="D32"/>
  <c r="B33"/>
  <c r="C33"/>
  <c r="D33"/>
  <c r="B34"/>
  <c r="C34"/>
  <c r="D34"/>
  <c r="B35"/>
  <c r="C35"/>
  <c r="D35"/>
  <c r="B36"/>
  <c r="C36"/>
  <c r="D36"/>
  <c r="B37"/>
  <c r="C37"/>
  <c r="D37"/>
  <c r="B38"/>
  <c r="C38"/>
  <c r="D38"/>
  <c r="B39"/>
  <c r="C39"/>
  <c r="D39"/>
  <c r="B40"/>
  <c r="C40"/>
  <c r="D40"/>
  <c r="B41"/>
  <c r="C41"/>
  <c r="D41"/>
  <c r="B42"/>
  <c r="C42"/>
  <c r="D42"/>
  <c r="B43"/>
  <c r="C43"/>
  <c r="D43"/>
  <c r="B44"/>
  <c r="C44"/>
  <c r="D44"/>
  <c r="B45"/>
  <c r="C45"/>
  <c r="D45"/>
  <c r="B46"/>
  <c r="C46"/>
  <c r="D46"/>
  <c r="B47"/>
  <c r="C47"/>
  <c r="D47"/>
  <c r="B48"/>
  <c r="C48"/>
  <c r="D48"/>
  <c r="B49"/>
  <c r="C49"/>
  <c r="D49"/>
  <c r="B50"/>
  <c r="C50"/>
  <c r="D50"/>
  <c r="B51"/>
  <c r="C51"/>
  <c r="D51"/>
  <c r="B52"/>
  <c r="C52"/>
  <c r="D52"/>
  <c r="B53"/>
  <c r="C53"/>
  <c r="D53"/>
  <c r="C4"/>
  <c r="D4"/>
  <c r="B4" l="1"/>
  <c r="E5" s="1"/>
  <c r="E6" s="1"/>
  <c r="E7" s="1"/>
  <c r="E8" s="1"/>
  <c r="E9" s="1"/>
  <c r="E10" s="1"/>
  <c r="E11" s="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O86" i="1" l="1"/>
  <c r="P89" l="1"/>
  <c r="O89"/>
  <c r="P88"/>
  <c r="O88"/>
  <c r="P86"/>
  <c r="O87" s="1"/>
  <c r="P87" l="1"/>
  <c r="K95"/>
  <c r="L85"/>
  <c r="L86"/>
  <c r="L87"/>
  <c r="L88"/>
  <c r="L89"/>
  <c r="L90"/>
  <c r="L91"/>
  <c r="L92"/>
  <c r="L93"/>
  <c r="L94"/>
  <c r="K94"/>
  <c r="K92"/>
  <c r="K93" s="1"/>
  <c r="K91"/>
  <c r="K89"/>
  <c r="K90" s="1"/>
  <c r="K76"/>
  <c r="K77" s="1"/>
  <c r="K75"/>
  <c r="L75"/>
  <c r="L74"/>
  <c r="L77" l="1"/>
  <c r="K78"/>
  <c r="K79" s="1"/>
  <c r="L78"/>
  <c r="L76"/>
  <c r="B19"/>
  <c r="E19" s="1"/>
  <c r="C19"/>
  <c r="F19" s="1"/>
  <c r="D19"/>
  <c r="G19" s="1"/>
  <c r="B20"/>
  <c r="E20" s="1"/>
  <c r="C20"/>
  <c r="F20" s="1"/>
  <c r="D20"/>
  <c r="G20" s="1"/>
  <c r="B21"/>
  <c r="E21" s="1"/>
  <c r="C21"/>
  <c r="F21" s="1"/>
  <c r="D21"/>
  <c r="G21" s="1"/>
  <c r="B22"/>
  <c r="E22" s="1"/>
  <c r="C22"/>
  <c r="F22" s="1"/>
  <c r="D22"/>
  <c r="G22" s="1"/>
  <c r="B23"/>
  <c r="E23" s="1"/>
  <c r="C23"/>
  <c r="F23" s="1"/>
  <c r="D23"/>
  <c r="G23" s="1"/>
  <c r="B24"/>
  <c r="E24" s="1"/>
  <c r="C24"/>
  <c r="F24" s="1"/>
  <c r="D24"/>
  <c r="G24" s="1"/>
  <c r="B25"/>
  <c r="E25" s="1"/>
  <c r="C25"/>
  <c r="F25" s="1"/>
  <c r="D25"/>
  <c r="G25" s="1"/>
  <c r="B26"/>
  <c r="E26" s="1"/>
  <c r="C26"/>
  <c r="F26" s="1"/>
  <c r="D26"/>
  <c r="G26" s="1"/>
  <c r="B27"/>
  <c r="E27" s="1"/>
  <c r="C27"/>
  <c r="F27" s="1"/>
  <c r="D27"/>
  <c r="G27" s="1"/>
  <c r="B28"/>
  <c r="E28" s="1"/>
  <c r="C28"/>
  <c r="F28" s="1"/>
  <c r="D28"/>
  <c r="G28" s="1"/>
  <c r="B29"/>
  <c r="E29" s="1"/>
  <c r="C29"/>
  <c r="F29" s="1"/>
  <c r="D29"/>
  <c r="G29" s="1"/>
  <c r="B30"/>
  <c r="E30" s="1"/>
  <c r="C30"/>
  <c r="F30" s="1"/>
  <c r="D30"/>
  <c r="G30" s="1"/>
  <c r="B31"/>
  <c r="E31" s="1"/>
  <c r="C31"/>
  <c r="F31" s="1"/>
  <c r="D31"/>
  <c r="G31" s="1"/>
  <c r="B32"/>
  <c r="E32" s="1"/>
  <c r="C32"/>
  <c r="F32" s="1"/>
  <c r="D32"/>
  <c r="G32" s="1"/>
  <c r="B33"/>
  <c r="E33" s="1"/>
  <c r="C33"/>
  <c r="F33" s="1"/>
  <c r="D33"/>
  <c r="G33" s="1"/>
  <c r="B34"/>
  <c r="E34" s="1"/>
  <c r="C34"/>
  <c r="F34" s="1"/>
  <c r="D34"/>
  <c r="G34" s="1"/>
  <c r="B35"/>
  <c r="E35" s="1"/>
  <c r="C35"/>
  <c r="F35" s="1"/>
  <c r="D35"/>
  <c r="G35" s="1"/>
  <c r="B36"/>
  <c r="E36" s="1"/>
  <c r="C36"/>
  <c r="F36" s="1"/>
  <c r="D36"/>
  <c r="G36" s="1"/>
  <c r="B37"/>
  <c r="E37" s="1"/>
  <c r="C37"/>
  <c r="F37" s="1"/>
  <c r="D37"/>
  <c r="G37" s="1"/>
  <c r="B38"/>
  <c r="E38" s="1"/>
  <c r="C38"/>
  <c r="F38" s="1"/>
  <c r="D38"/>
  <c r="G38" s="1"/>
  <c r="B39"/>
  <c r="E39" s="1"/>
  <c r="C39"/>
  <c r="F39" s="1"/>
  <c r="D39"/>
  <c r="G39" s="1"/>
  <c r="B40"/>
  <c r="E40" s="1"/>
  <c r="C40"/>
  <c r="F40" s="1"/>
  <c r="D40"/>
  <c r="G40" s="1"/>
  <c r="B41"/>
  <c r="E41" s="1"/>
  <c r="C41"/>
  <c r="F41" s="1"/>
  <c r="D41"/>
  <c r="G41" s="1"/>
  <c r="B42"/>
  <c r="E42" s="1"/>
  <c r="C42"/>
  <c r="F42" s="1"/>
  <c r="D42"/>
  <c r="G42" s="1"/>
  <c r="B43"/>
  <c r="E43" s="1"/>
  <c r="C43"/>
  <c r="F43" s="1"/>
  <c r="D43"/>
  <c r="G43" s="1"/>
  <c r="B44"/>
  <c r="E44" s="1"/>
  <c r="C44"/>
  <c r="F44" s="1"/>
  <c r="D44"/>
  <c r="G44" s="1"/>
  <c r="B45"/>
  <c r="E45" s="1"/>
  <c r="C45"/>
  <c r="F45" s="1"/>
  <c r="D45"/>
  <c r="G45" s="1"/>
  <c r="B46"/>
  <c r="E46" s="1"/>
  <c r="C46"/>
  <c r="F46" s="1"/>
  <c r="D46"/>
  <c r="G46" s="1"/>
  <c r="B47"/>
  <c r="E47" s="1"/>
  <c r="C47"/>
  <c r="F47" s="1"/>
  <c r="D47"/>
  <c r="G47" s="1"/>
  <c r="B48"/>
  <c r="E48" s="1"/>
  <c r="C48"/>
  <c r="F48" s="1"/>
  <c r="D48"/>
  <c r="G48" s="1"/>
  <c r="B49"/>
  <c r="E49" s="1"/>
  <c r="C49"/>
  <c r="F49" s="1"/>
  <c r="D49"/>
  <c r="G49" s="1"/>
  <c r="B50"/>
  <c r="E50" s="1"/>
  <c r="C50"/>
  <c r="F50" s="1"/>
  <c r="D50"/>
  <c r="G50" s="1"/>
  <c r="B51"/>
  <c r="E51" s="1"/>
  <c r="C51"/>
  <c r="F51" s="1"/>
  <c r="D51"/>
  <c r="G51" s="1"/>
  <c r="B52"/>
  <c r="E52" s="1"/>
  <c r="C52"/>
  <c r="F52" s="1"/>
  <c r="D52"/>
  <c r="G52" s="1"/>
  <c r="B53"/>
  <c r="E53" s="1"/>
  <c r="C53"/>
  <c r="F53" s="1"/>
  <c r="D53"/>
  <c r="G53" s="1"/>
  <c r="B54"/>
  <c r="E54" s="1"/>
  <c r="C54"/>
  <c r="F54" s="1"/>
  <c r="D54"/>
  <c r="G54" s="1"/>
  <c r="B55"/>
  <c r="E55" s="1"/>
  <c r="C55"/>
  <c r="F55" s="1"/>
  <c r="D55"/>
  <c r="G55" s="1"/>
  <c r="B56"/>
  <c r="E56" s="1"/>
  <c r="C56"/>
  <c r="F56" s="1"/>
  <c r="D56"/>
  <c r="G56" s="1"/>
  <c r="B57"/>
  <c r="E57" s="1"/>
  <c r="C57"/>
  <c r="F57" s="1"/>
  <c r="D57"/>
  <c r="G57" s="1"/>
  <c r="B58"/>
  <c r="E58" s="1"/>
  <c r="C58"/>
  <c r="F58" s="1"/>
  <c r="D58"/>
  <c r="G58" s="1"/>
  <c r="B59"/>
  <c r="E59" s="1"/>
  <c r="C59"/>
  <c r="F59" s="1"/>
  <c r="D59"/>
  <c r="G59" s="1"/>
  <c r="B60"/>
  <c r="E60" s="1"/>
  <c r="C60"/>
  <c r="F60" s="1"/>
  <c r="D60"/>
  <c r="G60" s="1"/>
  <c r="B61"/>
  <c r="E61" s="1"/>
  <c r="C61"/>
  <c r="F61" s="1"/>
  <c r="D61"/>
  <c r="G61" s="1"/>
  <c r="B62"/>
  <c r="E62" s="1"/>
  <c r="C62"/>
  <c r="F62" s="1"/>
  <c r="D62"/>
  <c r="G62" s="1"/>
  <c r="B63"/>
  <c r="E63" s="1"/>
  <c r="C63"/>
  <c r="F63" s="1"/>
  <c r="D63"/>
  <c r="G63" s="1"/>
  <c r="B64"/>
  <c r="E64" s="1"/>
  <c r="C64"/>
  <c r="F64" s="1"/>
  <c r="D64"/>
  <c r="G64" s="1"/>
  <c r="B65"/>
  <c r="E65" s="1"/>
  <c r="C65"/>
  <c r="F65" s="1"/>
  <c r="D65"/>
  <c r="G65" s="1"/>
  <c r="B66"/>
  <c r="E66" s="1"/>
  <c r="C66"/>
  <c r="F66" s="1"/>
  <c r="D66"/>
  <c r="G66" s="1"/>
  <c r="B18"/>
  <c r="E18" s="1"/>
  <c r="C18"/>
  <c r="F18" s="1"/>
  <c r="D18"/>
  <c r="G18" s="1"/>
  <c r="D17"/>
  <c r="G17" s="1"/>
  <c r="C17"/>
  <c r="F17" s="1"/>
  <c r="B17"/>
  <c r="E17" s="1"/>
  <c r="K80" l="1"/>
  <c r="L79"/>
  <c r="H18"/>
  <c r="K81" l="1"/>
  <c r="L80"/>
  <c r="H19"/>
  <c r="K82" l="1"/>
  <c r="L81"/>
  <c r="H20"/>
  <c r="K83" l="1"/>
  <c r="L82"/>
  <c r="H21"/>
  <c r="K84" l="1"/>
  <c r="L83"/>
  <c r="H22"/>
  <c r="K85" l="1"/>
  <c r="K86" s="1"/>
  <c r="K87" s="1"/>
  <c r="K88" s="1"/>
  <c r="L84"/>
  <c r="H23"/>
  <c r="H24" l="1"/>
  <c r="H25" l="1"/>
  <c r="H26" l="1"/>
  <c r="H27" l="1"/>
  <c r="H28" l="1"/>
  <c r="H29" l="1"/>
  <c r="H30" l="1"/>
  <c r="H31" l="1"/>
  <c r="H32" l="1"/>
  <c r="H33" l="1"/>
  <c r="H34" l="1"/>
  <c r="H35" l="1"/>
  <c r="H36" l="1"/>
  <c r="H37" l="1"/>
  <c r="H38" l="1"/>
  <c r="H39" l="1"/>
  <c r="H40" l="1"/>
  <c r="H41" l="1"/>
  <c r="H42" l="1"/>
  <c r="H43" l="1"/>
  <c r="H44" l="1"/>
  <c r="H45" l="1"/>
  <c r="H46" l="1"/>
  <c r="H47" l="1"/>
  <c r="H48" l="1"/>
  <c r="H49" l="1"/>
  <c r="H50" l="1"/>
  <c r="H51" l="1"/>
  <c r="H52" l="1"/>
  <c r="H53" l="1"/>
  <c r="H54" l="1"/>
  <c r="H55" l="1"/>
  <c r="H56" l="1"/>
  <c r="H57" l="1"/>
  <c r="H58" l="1"/>
  <c r="H59" l="1"/>
  <c r="H60" l="1"/>
  <c r="H61" l="1"/>
  <c r="H62" l="1"/>
  <c r="H63" l="1"/>
  <c r="H64" l="1"/>
  <c r="H65" l="1"/>
  <c r="H66" l="1"/>
  <c r="H67" l="1"/>
  <c r="E125" s="1"/>
  <c r="F74" s="1"/>
</calcChain>
</file>

<file path=xl/sharedStrings.xml><?xml version="1.0" encoding="utf-8"?>
<sst xmlns="http://schemas.openxmlformats.org/spreadsheetml/2006/main" count="75" uniqueCount="52">
  <si>
    <t>Модель: случайный сигнал с комплексной помехой специального вида</t>
  </si>
  <si>
    <t>Параметры распределений</t>
  </si>
  <si>
    <t>формулы обратных функций:</t>
  </si>
  <si>
    <t>Tb: рр[1;5]:a=1; b=5</t>
  </si>
  <si>
    <t>периоды замираний</t>
  </si>
  <si>
    <t>ϕ: рр[-π;π]: a=-π; b=π</t>
  </si>
  <si>
    <t>фаза</t>
  </si>
  <si>
    <r>
      <t>b: Рэлея[0;</t>
    </r>
    <r>
      <rPr>
        <sz val="11"/>
        <color theme="1"/>
        <rFont val="Calibri"/>
        <family val="2"/>
        <charset val="204"/>
      </rPr>
      <t>∞</t>
    </r>
    <r>
      <rPr>
        <sz val="11"/>
        <color theme="1"/>
        <rFont val="Calibri"/>
        <family val="2"/>
      </rPr>
      <t xml:space="preserve">) 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</rPr>
      <t>=</t>
    </r>
  </si>
  <si>
    <t>коэффициент замираний</t>
  </si>
  <si>
    <t>Функция сигнала:</t>
  </si>
  <si>
    <t>Обозначения:</t>
  </si>
  <si>
    <r>
      <t>T</t>
    </r>
    <r>
      <rPr>
        <b/>
        <vertAlign val="subscript"/>
        <sz val="14"/>
        <color theme="1"/>
        <rFont val="Calibri"/>
        <family val="2"/>
        <charset val="204"/>
        <scheme val="minor"/>
      </rPr>
      <t>b</t>
    </r>
  </si>
  <si>
    <t>длительность периодов замирания</t>
  </si>
  <si>
    <t>ϕ</t>
  </si>
  <si>
    <t>фаза сигнала</t>
  </si>
  <si>
    <t>b</t>
  </si>
  <si>
    <t>коэффициент замирания</t>
  </si>
  <si>
    <r>
      <t>t</t>
    </r>
    <r>
      <rPr>
        <b/>
        <vertAlign val="subscript"/>
        <sz val="14"/>
        <color theme="1"/>
        <rFont val="Calibri"/>
        <family val="2"/>
        <charset val="204"/>
        <scheme val="minor"/>
      </rPr>
      <t>b</t>
    </r>
  </si>
  <si>
    <t>шкала моментов времени периодов замирания</t>
  </si>
  <si>
    <t>&lt;&lt;== равномерный закон</t>
  </si>
  <si>
    <t>&lt;&lt;== закон Рэлея</t>
  </si>
  <si>
    <t>№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</si>
  <si>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Tb</t>
    </r>
  </si>
  <si>
    <r>
      <t>r</t>
    </r>
    <r>
      <rPr>
        <vertAlign val="subscript"/>
        <sz val="11"/>
        <color theme="1"/>
        <rFont val="Calibri"/>
        <family val="2"/>
        <charset val="204"/>
      </rPr>
      <t>ϕ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</si>
  <si>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</si>
  <si>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t>DT=</t>
  </si>
  <si>
    <t>dt</t>
  </si>
  <si>
    <t>№ отсчёта</t>
  </si>
  <si>
    <t>t</t>
  </si>
  <si>
    <t>Signal</t>
  </si>
  <si>
    <t>r</t>
  </si>
  <si>
    <t>генератор ПСЧ</t>
  </si>
  <si>
    <t>[0;1]</t>
  </si>
  <si>
    <t>р.р.</t>
  </si>
  <si>
    <t>Схема следования случайных периодов замирания</t>
  </si>
  <si>
    <t>Tb1</t>
  </si>
  <si>
    <t>Tb2</t>
  </si>
  <si>
    <t>Tb3</t>
  </si>
  <si>
    <t>Tb4</t>
  </si>
  <si>
    <t>S0</t>
  </si>
  <si>
    <t>S</t>
  </si>
  <si>
    <t>Tb</t>
  </si>
  <si>
    <t>tb</t>
  </si>
  <si>
    <t>Ϭ=</t>
  </si>
  <si>
    <t>Dt</t>
  </si>
  <si>
    <t>Bb</t>
  </si>
  <si>
    <t>Fi</t>
  </si>
  <si>
    <t>Модель случайной помехи на интервале 50-ти периодов замирания</t>
  </si>
  <si>
    <t>T</t>
  </si>
  <si>
    <t>tb1</t>
  </si>
  <si>
    <t>signal</t>
  </si>
  <si>
    <t>sg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</si>
</sst>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00"/>
  </numFmts>
  <fonts count="12"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1"/>
      <color theme="1"/>
      <name val="Symbol"/>
      <family val="1"/>
      <charset val="2"/>
    </font>
    <font>
      <b/>
      <vertAlign val="subscript"/>
      <sz val="14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b/>
      <sz val="14"/>
      <color theme="1"/>
      <name val="Times New Roman"/>
      <family val="1"/>
      <charset val="204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/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" fillId="0" borderId="0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top"/>
    </xf>
    <xf numFmtId="0" fontId="0" fillId="0" borderId="0" xfId="0" applyAlignment="1">
      <alignment horizontal="center" vertical="top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2" borderId="7" xfId="0" applyFill="1" applyBorder="1"/>
    <xf numFmtId="0" fontId="0" fillId="2" borderId="8" xfId="0" applyFill="1" applyBorder="1"/>
    <xf numFmtId="0" fontId="0" fillId="5" borderId="6" xfId="0" applyFill="1" applyBorder="1"/>
    <xf numFmtId="0" fontId="0" fillId="6" borderId="7" xfId="0" applyFill="1" applyBorder="1"/>
    <xf numFmtId="0" fontId="0" fillId="6" borderId="9" xfId="0" applyFill="1" applyBorder="1"/>
    <xf numFmtId="0" fontId="0" fillId="6" borderId="8" xfId="0" applyFill="1" applyBorder="1"/>
    <xf numFmtId="0" fontId="0" fillId="7" borderId="7" xfId="0" applyFill="1" applyBorder="1"/>
    <xf numFmtId="0" fontId="0" fillId="7" borderId="8" xfId="0" applyFill="1" applyBorder="1"/>
    <xf numFmtId="0" fontId="2" fillId="0" borderId="1" xfId="0" applyFont="1" applyBorder="1" applyAlignment="1">
      <alignment horizontal="center" vertical="center"/>
    </xf>
    <xf numFmtId="0" fontId="0" fillId="0" borderId="1" xfId="0" applyBorder="1"/>
    <xf numFmtId="0" fontId="2" fillId="0" borderId="1" xfId="0" applyFont="1" applyBorder="1" applyAlignment="1">
      <alignment horizontal="right" vertical="center"/>
    </xf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0" fontId="0" fillId="2" borderId="0" xfId="0" applyFill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5"/>
  <ax:ocxPr ax:name="Size" ax:value="2514;84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4"/>
  <ax:ocxPr ax:name="Size" ax:value="1561;1270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перезапись"/>
  <ax:ocxPr ax:name="Size" ax:value="3916;10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пересчёт"/>
  <ax:ocxPr ax:name="Size" ax:value="2275;55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Генератор"/>
  <ax:ocxPr ax:name="Size" ax:value="2249;87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График отсчётов сигнала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8.8710633576033732E-2"/>
          <c:y val="0.1091439383129417"/>
          <c:w val="0.77421773833384389"/>
          <c:h val="0.76019250105359593"/>
        </c:manualLayout>
      </c:layout>
      <c:lineChart>
        <c:grouping val="standard"/>
        <c:ser>
          <c:idx val="0"/>
          <c:order val="0"/>
          <c:marker>
            <c:symbol val="none"/>
          </c:marker>
          <c:val>
            <c:numRef>
              <c:f>Лист1!$I$74:$I$273</c:f>
              <c:numCache>
                <c:formatCode>General</c:formatCode>
                <c:ptCount val="200"/>
                <c:pt idx="0">
                  <c:v>33.252234557984799</c:v>
                </c:pt>
                <c:pt idx="1">
                  <c:v>-29.519435971613394</c:v>
                </c:pt>
                <c:pt idx="2">
                  <c:v>24.497552227043737</c:v>
                </c:pt>
                <c:pt idx="3">
                  <c:v>-18.405884120116525</c:v>
                </c:pt>
                <c:pt idx="4">
                  <c:v>-30.4713564500796</c:v>
                </c:pt>
                <c:pt idx="5">
                  <c:v>25.391878965021291</c:v>
                </c:pt>
                <c:pt idx="6">
                  <c:v>-19.203562735752307</c:v>
                </c:pt>
                <c:pt idx="7">
                  <c:v>12.176645534195465</c:v>
                </c:pt>
                <c:pt idx="8">
                  <c:v>5.7507060596544495</c:v>
                </c:pt>
                <c:pt idx="9">
                  <c:v>-5.9676531017789092</c:v>
                </c:pt>
                <c:pt idx="10">
                  <c:v>5.9239985168880152</c:v>
                </c:pt>
                <c:pt idx="11">
                  <c:v>-5.621648658393271</c:v>
                </c:pt>
                <c:pt idx="12">
                  <c:v>32.109822711283684</c:v>
                </c:pt>
                <c:pt idx="13">
                  <c:v>-39.457157636713454</c:v>
                </c:pt>
                <c:pt idx="14">
                  <c:v>45.081436730619835</c:v>
                </c:pt>
                <c:pt idx="15">
                  <c:v>-48.737053176108006</c:v>
                </c:pt>
                <c:pt idx="16">
                  <c:v>50.264369746082053</c:v>
                </c:pt>
                <c:pt idx="17">
                  <c:v>-49.596690006229444</c:v>
                </c:pt>
                <c:pt idx="18">
                  <c:v>-9.1224842326247657</c:v>
                </c:pt>
                <c:pt idx="19">
                  <c:v>-6.1697457466427386</c:v>
                </c:pt>
                <c:pt idx="20">
                  <c:v>21.19254890896492</c:v>
                </c:pt>
                <c:pt idx="21">
                  <c:v>-35.289894000599588</c:v>
                </c:pt>
                <c:pt idx="22">
                  <c:v>17.874558886886764</c:v>
                </c:pt>
                <c:pt idx="23">
                  <c:v>-10.745441923010324</c:v>
                </c:pt>
                <c:pt idx="24">
                  <c:v>3.1470819250002875</c:v>
                </c:pt>
                <c:pt idx="25">
                  <c:v>4.5887080904752748</c:v>
                </c:pt>
                <c:pt idx="26">
                  <c:v>-9.4145509667955434</c:v>
                </c:pt>
                <c:pt idx="27">
                  <c:v>3.5782211310429668</c:v>
                </c:pt>
                <c:pt idx="28">
                  <c:v>-57.807772892045755</c:v>
                </c:pt>
                <c:pt idx="29">
                  <c:v>48.520018511706553</c:v>
                </c:pt>
                <c:pt idx="30">
                  <c:v>-23.38229215422211</c:v>
                </c:pt>
                <c:pt idx="31">
                  <c:v>35.104735250164232</c:v>
                </c:pt>
                <c:pt idx="32">
                  <c:v>-45.294188581770179</c:v>
                </c:pt>
                <c:pt idx="33">
                  <c:v>52.343847731429477</c:v>
                </c:pt>
                <c:pt idx="34">
                  <c:v>-70.132280161952352</c:v>
                </c:pt>
                <c:pt idx="35">
                  <c:v>84.858103891065738</c:v>
                </c:pt>
                <c:pt idx="36">
                  <c:v>-95.878256469009585</c:v>
                </c:pt>
                <c:pt idx="37">
                  <c:v>102.71149851360305</c:v>
                </c:pt>
                <c:pt idx="38">
                  <c:v>-105.05942896763992</c:v>
                </c:pt>
                <c:pt idx="39">
                  <c:v>-23.025651372965456</c:v>
                </c:pt>
                <c:pt idx="40">
                  <c:v>20.530025533080288</c:v>
                </c:pt>
                <c:pt idx="41">
                  <c:v>-29.975988178145688</c:v>
                </c:pt>
                <c:pt idx="42">
                  <c:v>38.112928472682988</c:v>
                </c:pt>
                <c:pt idx="43">
                  <c:v>-44.585514120404468</c:v>
                </c:pt>
                <c:pt idx="44">
                  <c:v>49.111093579440173</c:v>
                </c:pt>
                <c:pt idx="45">
                  <c:v>6.3507019257153061</c:v>
                </c:pt>
                <c:pt idx="46">
                  <c:v>17.332403860169439</c:v>
                </c:pt>
                <c:pt idx="47">
                  <c:v>-8.5156120314308374</c:v>
                </c:pt>
                <c:pt idx="48">
                  <c:v>-0.67304832126082104</c:v>
                </c:pt>
                <c:pt idx="49">
                  <c:v>9.8323173060915963</c:v>
                </c:pt>
                <c:pt idx="50">
                  <c:v>-18.56221852379548</c:v>
                </c:pt>
                <c:pt idx="51">
                  <c:v>26.48152564934718</c:v>
                </c:pt>
                <c:pt idx="52">
                  <c:v>32.323486538749691</c:v>
                </c:pt>
                <c:pt idx="53">
                  <c:v>-43.50981249308763</c:v>
                </c:pt>
                <c:pt idx="54">
                  <c:v>52.7961071062185</c:v>
                </c:pt>
                <c:pt idx="55">
                  <c:v>-59.776846892803562</c:v>
                </c:pt>
                <c:pt idx="56">
                  <c:v>-12.110893665635997</c:v>
                </c:pt>
                <c:pt idx="57">
                  <c:v>13.759776252386038</c:v>
                </c:pt>
                <c:pt idx="58">
                  <c:v>-14.807782746376915</c:v>
                </c:pt>
                <c:pt idx="59">
                  <c:v>15.209147719759736</c:v>
                </c:pt>
                <c:pt idx="60">
                  <c:v>-14.946343953155855</c:v>
                </c:pt>
                <c:pt idx="61">
                  <c:v>39.161160931471827</c:v>
                </c:pt>
                <c:pt idx="62">
                  <c:v>-38.576484209665601</c:v>
                </c:pt>
                <c:pt idx="63">
                  <c:v>36.307209811333216</c:v>
                </c:pt>
                <c:pt idx="64">
                  <c:v>-32.452434750034875</c:v>
                </c:pt>
                <c:pt idx="65">
                  <c:v>27.180493316591409</c:v>
                </c:pt>
                <c:pt idx="66">
                  <c:v>-20.721606083756186</c:v>
                </c:pt>
                <c:pt idx="67">
                  <c:v>44.508885374191145</c:v>
                </c:pt>
                <c:pt idx="68">
                  <c:v>-48.298217154588649</c:v>
                </c:pt>
                <c:pt idx="69">
                  <c:v>49.978412603205292</c:v>
                </c:pt>
                <c:pt idx="70">
                  <c:v>-49.476099213270736</c:v>
                </c:pt>
                <c:pt idx="71">
                  <c:v>46.81321252367372</c:v>
                </c:pt>
                <c:pt idx="72">
                  <c:v>-42.106038215239032</c:v>
                </c:pt>
                <c:pt idx="73">
                  <c:v>43.208108177590972</c:v>
                </c:pt>
                <c:pt idx="74">
                  <c:v>-32.919345504292799</c:v>
                </c:pt>
                <c:pt idx="75">
                  <c:v>21.193026918747996</c:v>
                </c:pt>
                <c:pt idx="76">
                  <c:v>-8.5412293882625825</c:v>
                </c:pt>
                <c:pt idx="77">
                  <c:v>-4.4835553513200006</c:v>
                </c:pt>
                <c:pt idx="78">
                  <c:v>17.312547574239861</c:v>
                </c:pt>
                <c:pt idx="79">
                  <c:v>26.646201452807588</c:v>
                </c:pt>
                <c:pt idx="80">
                  <c:v>-25.615771743668304</c:v>
                </c:pt>
                <c:pt idx="81">
                  <c:v>23.466726109675083</c:v>
                </c:pt>
                <c:pt idx="82">
                  <c:v>-20.292911290776992</c:v>
                </c:pt>
                <c:pt idx="83">
                  <c:v>16.232924704006152</c:v>
                </c:pt>
                <c:pt idx="84">
                  <c:v>-22.668672113898715</c:v>
                </c:pt>
                <c:pt idx="85">
                  <c:v>23.950650986248714</c:v>
                </c:pt>
                <c:pt idx="86">
                  <c:v>-24.186728143363712</c:v>
                </c:pt>
                <c:pt idx="87">
                  <c:v>23.366594324594477</c:v>
                </c:pt>
                <c:pt idx="88">
                  <c:v>-21.52606397894839</c:v>
                </c:pt>
                <c:pt idx="89">
                  <c:v>18.745511282687712</c:v>
                </c:pt>
                <c:pt idx="90">
                  <c:v>3.2907027299395759</c:v>
                </c:pt>
                <c:pt idx="91">
                  <c:v>-10.237200582321613</c:v>
                </c:pt>
                <c:pt idx="92">
                  <c:v>-15.628595826359014</c:v>
                </c:pt>
                <c:pt idx="93">
                  <c:v>14.423045213402617</c:v>
                </c:pt>
                <c:pt idx="94">
                  <c:v>-12.587654195035773</c:v>
                </c:pt>
                <c:pt idx="95">
                  <c:v>-6.8159303603030548</c:v>
                </c:pt>
                <c:pt idx="96">
                  <c:v>12.312782725898979</c:v>
                </c:pt>
                <c:pt idx="97">
                  <c:v>25.291702956322197</c:v>
                </c:pt>
                <c:pt idx="98">
                  <c:v>-20.310569728513236</c:v>
                </c:pt>
                <c:pt idx="99">
                  <c:v>14.442493605877532</c:v>
                </c:pt>
                <c:pt idx="100">
                  <c:v>-18.382917489519254</c:v>
                </c:pt>
                <c:pt idx="101">
                  <c:v>1.31599777727141</c:v>
                </c:pt>
                <c:pt idx="102">
                  <c:v>15.808390282132274</c:v>
                </c:pt>
                <c:pt idx="103">
                  <c:v>-32.242441259932676</c:v>
                </c:pt>
                <c:pt idx="104">
                  <c:v>15.193818431533831</c:v>
                </c:pt>
                <c:pt idx="105">
                  <c:v>-18.789337617355876</c:v>
                </c:pt>
                <c:pt idx="106">
                  <c:v>21.56434464028267</c:v>
                </c:pt>
                <c:pt idx="107">
                  <c:v>-23.397657633295616</c:v>
                </c:pt>
                <c:pt idx="108">
                  <c:v>24.209217594802332</c:v>
                </c:pt>
                <c:pt idx="109">
                  <c:v>-23.963584487887456</c:v>
                </c:pt>
                <c:pt idx="110">
                  <c:v>22.671484872266966</c:v>
                </c:pt>
                <c:pt idx="111">
                  <c:v>-33.378226997727815</c:v>
                </c:pt>
                <c:pt idx="112">
                  <c:v>23.450300946406237</c:v>
                </c:pt>
                <c:pt idx="113">
                  <c:v>-12.498322980961463</c:v>
                </c:pt>
                <c:pt idx="114">
                  <c:v>1.0005553646933121</c:v>
                </c:pt>
                <c:pt idx="115">
                  <c:v>9.5061633943682313</c:v>
                </c:pt>
                <c:pt idx="116">
                  <c:v>-1.6231320710975008</c:v>
                </c:pt>
                <c:pt idx="117">
                  <c:v>-6.3307798566895741</c:v>
                </c:pt>
                <c:pt idx="118">
                  <c:v>14.008232763888445</c:v>
                </c:pt>
                <c:pt idx="119">
                  <c:v>-21.073959723404858</c:v>
                </c:pt>
                <c:pt idx="120">
                  <c:v>-74.539687520172336</c:v>
                </c:pt>
                <c:pt idx="121">
                  <c:v>57.319494987010856</c:v>
                </c:pt>
                <c:pt idx="122">
                  <c:v>-37.596215663001374</c:v>
                </c:pt>
                <c:pt idx="123">
                  <c:v>16.231146039455727</c:v>
                </c:pt>
                <c:pt idx="124">
                  <c:v>5.8427219997896778</c:v>
                </c:pt>
                <c:pt idx="125">
                  <c:v>-27.66144403253427</c:v>
                </c:pt>
                <c:pt idx="126">
                  <c:v>48.272217613903308</c:v>
                </c:pt>
                <c:pt idx="127">
                  <c:v>67.563521682250581</c:v>
                </c:pt>
                <c:pt idx="128">
                  <c:v>-68.813443861802256</c:v>
                </c:pt>
                <c:pt idx="129">
                  <c:v>67.058349642931645</c:v>
                </c:pt>
                <c:pt idx="130">
                  <c:v>46.858570302116966</c:v>
                </c:pt>
                <c:pt idx="131">
                  <c:v>-47.495918215709594</c:v>
                </c:pt>
                <c:pt idx="132">
                  <c:v>-2.4298101151324336</c:v>
                </c:pt>
                <c:pt idx="133">
                  <c:v>5.6423691986100106</c:v>
                </c:pt>
                <c:pt idx="134">
                  <c:v>-8.6085314878006596</c:v>
                </c:pt>
                <c:pt idx="135">
                  <c:v>11.198767550485092</c:v>
                </c:pt>
                <c:pt idx="136">
                  <c:v>-13.299964288213975</c:v>
                </c:pt>
                <c:pt idx="137">
                  <c:v>63.004035968010953</c:v>
                </c:pt>
                <c:pt idx="138">
                  <c:v>-48.633716217036728</c:v>
                </c:pt>
                <c:pt idx="139">
                  <c:v>-35.357541895966691</c:v>
                </c:pt>
                <c:pt idx="140">
                  <c:v>32.533743326615351</c:v>
                </c:pt>
                <c:pt idx="141">
                  <c:v>-28.289227718324589</c:v>
                </c:pt>
                <c:pt idx="142">
                  <c:v>22.809348954003731</c:v>
                </c:pt>
                <c:pt idx="143">
                  <c:v>37.384891896513892</c:v>
                </c:pt>
                <c:pt idx="144">
                  <c:v>-38.697844945235737</c:v>
                </c:pt>
                <c:pt idx="145">
                  <c:v>38.320900611741735</c:v>
                </c:pt>
                <c:pt idx="146">
                  <c:v>37.11948311374136</c:v>
                </c:pt>
                <c:pt idx="147">
                  <c:v>-21.064429275112662</c:v>
                </c:pt>
                <c:pt idx="148">
                  <c:v>1.7694927942127934</c:v>
                </c:pt>
                <c:pt idx="149">
                  <c:v>-6.988086795574536</c:v>
                </c:pt>
                <c:pt idx="150">
                  <c:v>40.508223448079079</c:v>
                </c:pt>
                <c:pt idx="151">
                  <c:v>-48.555366714243746</c:v>
                </c:pt>
                <c:pt idx="152">
                  <c:v>54.48214417647101</c:v>
                </c:pt>
                <c:pt idx="153">
                  <c:v>-58.0297392075082</c:v>
                </c:pt>
                <c:pt idx="154">
                  <c:v>59.043231770612323</c:v>
                </c:pt>
                <c:pt idx="155">
                  <c:v>-57.478363627879233</c:v>
                </c:pt>
                <c:pt idx="156">
                  <c:v>6.1781107687331049</c:v>
                </c:pt>
                <c:pt idx="157">
                  <c:v>-5.7589975212601194</c:v>
                </c:pt>
                <c:pt idx="158">
                  <c:v>5.0883944337502314</c:v>
                </c:pt>
                <c:pt idx="159">
                  <c:v>-4.1955860930536639</c:v>
                </c:pt>
                <c:pt idx="160">
                  <c:v>3.1195605741155772</c:v>
                </c:pt>
                <c:pt idx="161">
                  <c:v>-62.949407948991535</c:v>
                </c:pt>
                <c:pt idx="162">
                  <c:v>70.519080524267821</c:v>
                </c:pt>
                <c:pt idx="163">
                  <c:v>-75.009253201308312</c:v>
                </c:pt>
                <c:pt idx="164">
                  <c:v>76.223844491097566</c:v>
                </c:pt>
                <c:pt idx="165">
                  <c:v>-74.109814369251851</c:v>
                </c:pt>
                <c:pt idx="166">
                  <c:v>51.839338472495179</c:v>
                </c:pt>
                <c:pt idx="167">
                  <c:v>-46.441229004910511</c:v>
                </c:pt>
                <c:pt idx="168">
                  <c:v>39.015076078185402</c:v>
                </c:pt>
                <c:pt idx="169">
                  <c:v>14.487282458958509</c:v>
                </c:pt>
                <c:pt idx="170">
                  <c:v>6.9765760711037279</c:v>
                </c:pt>
                <c:pt idx="171">
                  <c:v>-28.135774286297902</c:v>
                </c:pt>
                <c:pt idx="172">
                  <c:v>48.066310507962143</c:v>
                </c:pt>
                <c:pt idx="173">
                  <c:v>-65.897837536227257</c:v>
                </c:pt>
                <c:pt idx="174">
                  <c:v>-62.326037406241618</c:v>
                </c:pt>
                <c:pt idx="175">
                  <c:v>55.784507390658206</c:v>
                </c:pt>
                <c:pt idx="176">
                  <c:v>-46.8069220042022</c:v>
                </c:pt>
                <c:pt idx="177">
                  <c:v>35.785323699690814</c:v>
                </c:pt>
                <c:pt idx="178">
                  <c:v>-23.201014992807842</c:v>
                </c:pt>
                <c:pt idx="179">
                  <c:v>9.6035404483931366</c:v>
                </c:pt>
                <c:pt idx="180">
                  <c:v>-76.111292633445558</c:v>
                </c:pt>
                <c:pt idx="181">
                  <c:v>70.504163206380781</c:v>
                </c:pt>
                <c:pt idx="182">
                  <c:v>-61.818185305631069</c:v>
                </c:pt>
                <c:pt idx="183">
                  <c:v>65.387285282758128</c:v>
                </c:pt>
                <c:pt idx="184">
                  <c:v>-64.961586967891407</c:v>
                </c:pt>
                <c:pt idx="185">
                  <c:v>61.699079111738726</c:v>
                </c:pt>
                <c:pt idx="186">
                  <c:v>-55.742232270313885</c:v>
                </c:pt>
                <c:pt idx="187">
                  <c:v>47.351176172059638</c:v>
                </c:pt>
                <c:pt idx="188">
                  <c:v>-36.892340103486617</c:v>
                </c:pt>
                <c:pt idx="189">
                  <c:v>18.512227719734838</c:v>
                </c:pt>
                <c:pt idx="190">
                  <c:v>-7.5538439721640698</c:v>
                </c:pt>
                <c:pt idx="191">
                  <c:v>-3.7344088199964633</c:v>
                </c:pt>
                <c:pt idx="192">
                  <c:v>14.859583598814018</c:v>
                </c:pt>
                <c:pt idx="193">
                  <c:v>27.548191787128822</c:v>
                </c:pt>
                <c:pt idx="194">
                  <c:v>-35.458482288623813</c:v>
                </c:pt>
                <c:pt idx="195">
                  <c:v>41.820335235687637</c:v>
                </c:pt>
                <c:pt idx="196">
                  <c:v>-12.518521141347497</c:v>
                </c:pt>
                <c:pt idx="197">
                  <c:v>9.8501506662029978</c:v>
                </c:pt>
                <c:pt idx="198">
                  <c:v>-6.7516336584711976</c:v>
                </c:pt>
                <c:pt idx="199">
                  <c:v>16.359759220964381</c:v>
                </c:pt>
              </c:numCache>
            </c:numRef>
          </c:val>
        </c:ser>
        <c:marker val="1"/>
        <c:axId val="141394304"/>
        <c:axId val="141396224"/>
      </c:lineChart>
      <c:catAx>
        <c:axId val="1413943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номер отсчёта</a:t>
                </a:r>
              </a:p>
            </c:rich>
          </c:tx>
          <c:layout/>
        </c:title>
        <c:tickLblPos val="nextTo"/>
        <c:crossAx val="141396224"/>
        <c:crosses val="autoZero"/>
        <c:auto val="1"/>
        <c:lblAlgn val="ctr"/>
        <c:lblOffset val="100"/>
      </c:catAx>
      <c:valAx>
        <c:axId val="1413962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значение отсчёта</a:t>
                </a:r>
              </a:p>
            </c:rich>
          </c:tx>
          <c:layout/>
        </c:title>
        <c:numFmt formatCode="General" sourceLinked="1"/>
        <c:tickLblPos val="nextTo"/>
        <c:crossAx val="14139430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layout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 sz="1400"/>
              <a:t>Сигнал несущей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marker>
            <c:symbol val="none"/>
          </c:marker>
          <c:cat>
            <c:numRef>
              <c:f>Лист1!$K$74:$K$94</c:f>
              <c:numCache>
                <c:formatCode>General</c:formatCode>
                <c:ptCount val="21"/>
                <c:pt idx="0">
                  <c:v>0</c:v>
                </c:pt>
                <c:pt idx="1">
                  <c:v>1.25E-3</c:v>
                </c:pt>
                <c:pt idx="2">
                  <c:v>2.5000000000000001E-3</c:v>
                </c:pt>
                <c:pt idx="3">
                  <c:v>3.7499999999999999E-3</c:v>
                </c:pt>
                <c:pt idx="4">
                  <c:v>5.0000000000000001E-3</c:v>
                </c:pt>
                <c:pt idx="5">
                  <c:v>6.2500000000000003E-3</c:v>
                </c:pt>
                <c:pt idx="6">
                  <c:v>7.5000000000000006E-3</c:v>
                </c:pt>
                <c:pt idx="7">
                  <c:v>8.7500000000000008E-3</c:v>
                </c:pt>
                <c:pt idx="8">
                  <c:v>0.01</c:v>
                </c:pt>
                <c:pt idx="9">
                  <c:v>1.125E-2</c:v>
                </c:pt>
                <c:pt idx="10">
                  <c:v>1.2499999999999999E-2</c:v>
                </c:pt>
                <c:pt idx="11">
                  <c:v>1.3749999999999998E-2</c:v>
                </c:pt>
                <c:pt idx="12">
                  <c:v>1.4999999999999998E-2</c:v>
                </c:pt>
                <c:pt idx="13">
                  <c:v>1.6249999999999997E-2</c:v>
                </c:pt>
                <c:pt idx="14">
                  <c:v>1.7499999999999998E-2</c:v>
                </c:pt>
                <c:pt idx="15">
                  <c:v>1.8749999999999999E-2</c:v>
                </c:pt>
                <c:pt idx="16">
                  <c:v>0.02</c:v>
                </c:pt>
                <c:pt idx="17">
                  <c:v>2.1250000000000002E-2</c:v>
                </c:pt>
                <c:pt idx="18">
                  <c:v>2.2500000000000003E-2</c:v>
                </c:pt>
                <c:pt idx="19">
                  <c:v>2.3750000000000004E-2</c:v>
                </c:pt>
                <c:pt idx="20">
                  <c:v>2.5000000000000005E-2</c:v>
                </c:pt>
              </c:numCache>
            </c:numRef>
          </c:cat>
          <c:val>
            <c:numRef>
              <c:f>Лист1!$L$74:$L$94</c:f>
              <c:numCache>
                <c:formatCode>General</c:formatCode>
                <c:ptCount val="21"/>
                <c:pt idx="0">
                  <c:v>45</c:v>
                </c:pt>
                <c:pt idx="1">
                  <c:v>42.797543233281907</c:v>
                </c:pt>
                <c:pt idx="2">
                  <c:v>36.405764746872634</c:v>
                </c:pt>
                <c:pt idx="3">
                  <c:v>26.450336353161298</c:v>
                </c:pt>
                <c:pt idx="4">
                  <c:v>13.905764746872634</c:v>
                </c:pt>
                <c:pt idx="5">
                  <c:v>2.756584023544395E-15</c:v>
                </c:pt>
                <c:pt idx="6">
                  <c:v>-13.90576474687264</c:v>
                </c:pt>
                <c:pt idx="7">
                  <c:v>-26.450336353161287</c:v>
                </c:pt>
                <c:pt idx="8">
                  <c:v>-36.405764746872627</c:v>
                </c:pt>
                <c:pt idx="9">
                  <c:v>-42.797543233281907</c:v>
                </c:pt>
                <c:pt idx="10">
                  <c:v>-45</c:v>
                </c:pt>
                <c:pt idx="11">
                  <c:v>-42.797543233281921</c:v>
                </c:pt>
                <c:pt idx="12">
                  <c:v>-36.405764746872649</c:v>
                </c:pt>
                <c:pt idx="13">
                  <c:v>-26.45033635316133</c:v>
                </c:pt>
                <c:pt idx="14">
                  <c:v>-13.905764746872681</c:v>
                </c:pt>
                <c:pt idx="15">
                  <c:v>-8.2697520706331851E-15</c:v>
                </c:pt>
                <c:pt idx="16">
                  <c:v>13.905764746872626</c:v>
                </c:pt>
                <c:pt idx="17">
                  <c:v>26.45033635316128</c:v>
                </c:pt>
                <c:pt idx="18">
                  <c:v>36.405764746872649</c:v>
                </c:pt>
                <c:pt idx="19">
                  <c:v>42.797543233281935</c:v>
                </c:pt>
                <c:pt idx="20">
                  <c:v>45</c:v>
                </c:pt>
              </c:numCache>
            </c:numRef>
          </c:val>
        </c:ser>
        <c:marker val="1"/>
        <c:axId val="141238656"/>
        <c:axId val="141240192"/>
      </c:lineChart>
      <c:catAx>
        <c:axId val="141238656"/>
        <c:scaling>
          <c:orientation val="minMax"/>
        </c:scaling>
        <c:axPos val="b"/>
        <c:majorGridlines/>
        <c:numFmt formatCode="General" sourceLinked="1"/>
        <c:tickLblPos val="nextTo"/>
        <c:crossAx val="141240192"/>
        <c:crosses val="autoZero"/>
        <c:auto val="1"/>
        <c:lblAlgn val="ctr"/>
        <c:lblOffset val="100"/>
      </c:catAx>
      <c:valAx>
        <c:axId val="141240192"/>
        <c:scaling>
          <c:orientation val="minMax"/>
        </c:scaling>
        <c:axPos val="l"/>
        <c:majorGridlines/>
        <c:numFmt formatCode="General" sourceLinked="1"/>
        <c:tickLblPos val="nextTo"/>
        <c:crossAx val="14123865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5"/>
          </a:solidFill>
          <a:prstDash val="solid"/>
        </a:ln>
        <a:effectLst/>
      </c:spPr>
    </c:plotArea>
    <c:legend>
      <c:legendPos val="r"/>
      <c:layout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 sz="1200"/>
              <a:t>Искажение сигнала несущей импульсной помехой на границе интервалов замирания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marker>
            <c:symbol val="none"/>
          </c:marker>
          <c:cat>
            <c:numRef>
              <c:f>Лист1!$R$87:$R$167</c:f>
              <c:numCache>
                <c:formatCode>0.000</c:formatCode>
                <c:ptCount val="81"/>
                <c:pt idx="0">
                  <c:v>3.2002933170603982</c:v>
                </c:pt>
                <c:pt idx="1">
                  <c:v>3.2009183170603981</c:v>
                </c:pt>
                <c:pt idx="2">
                  <c:v>3.201543317060398</c:v>
                </c:pt>
                <c:pt idx="3">
                  <c:v>3.2021683170603978</c:v>
                </c:pt>
                <c:pt idx="4">
                  <c:v>3.2027933170603977</c:v>
                </c:pt>
                <c:pt idx="5">
                  <c:v>3.2034183170603976</c:v>
                </c:pt>
                <c:pt idx="6">
                  <c:v>3.2040433170603975</c:v>
                </c:pt>
                <c:pt idx="7">
                  <c:v>3.2046683170603973</c:v>
                </c:pt>
                <c:pt idx="8">
                  <c:v>3.2052933170603972</c:v>
                </c:pt>
                <c:pt idx="9">
                  <c:v>3.2059183170603971</c:v>
                </c:pt>
                <c:pt idx="10">
                  <c:v>3.206543317060397</c:v>
                </c:pt>
                <c:pt idx="11">
                  <c:v>3.2071683170603968</c:v>
                </c:pt>
                <c:pt idx="12">
                  <c:v>3.2077933170603967</c:v>
                </c:pt>
                <c:pt idx="13">
                  <c:v>3.2084183170603966</c:v>
                </c:pt>
                <c:pt idx="14">
                  <c:v>3.2090433170603965</c:v>
                </c:pt>
                <c:pt idx="15">
                  <c:v>3.2096683170603963</c:v>
                </c:pt>
                <c:pt idx="16">
                  <c:v>3.2102933170603962</c:v>
                </c:pt>
                <c:pt idx="17">
                  <c:v>3.2109183170603961</c:v>
                </c:pt>
                <c:pt idx="18">
                  <c:v>3.211543317060396</c:v>
                </c:pt>
                <c:pt idx="19">
                  <c:v>3.2121683170603959</c:v>
                </c:pt>
                <c:pt idx="20">
                  <c:v>3.2127933170603957</c:v>
                </c:pt>
                <c:pt idx="21">
                  <c:v>3.2134183170603956</c:v>
                </c:pt>
                <c:pt idx="22">
                  <c:v>3.2140433170603955</c:v>
                </c:pt>
                <c:pt idx="23">
                  <c:v>3.2146683170603954</c:v>
                </c:pt>
                <c:pt idx="24">
                  <c:v>3.2152933170603952</c:v>
                </c:pt>
                <c:pt idx="25">
                  <c:v>3.2159183170603951</c:v>
                </c:pt>
                <c:pt idx="26">
                  <c:v>3.216543317060395</c:v>
                </c:pt>
                <c:pt idx="27">
                  <c:v>3.2171683170603949</c:v>
                </c:pt>
                <c:pt idx="28">
                  <c:v>3.2177933170603947</c:v>
                </c:pt>
                <c:pt idx="29">
                  <c:v>3.2184183170603946</c:v>
                </c:pt>
                <c:pt idx="30">
                  <c:v>3.2190433170603945</c:v>
                </c:pt>
                <c:pt idx="31">
                  <c:v>3.2196683170603944</c:v>
                </c:pt>
                <c:pt idx="32">
                  <c:v>3.2202933170603942</c:v>
                </c:pt>
                <c:pt idx="33">
                  <c:v>3.2209183170603941</c:v>
                </c:pt>
                <c:pt idx="34">
                  <c:v>3.221543317060394</c:v>
                </c:pt>
                <c:pt idx="35">
                  <c:v>3.2221683170603939</c:v>
                </c:pt>
                <c:pt idx="36">
                  <c:v>3.2227933170603937</c:v>
                </c:pt>
                <c:pt idx="37">
                  <c:v>3.2234183170603936</c:v>
                </c:pt>
                <c:pt idx="38">
                  <c:v>3.2240433170603935</c:v>
                </c:pt>
                <c:pt idx="39">
                  <c:v>3.2246683170603934</c:v>
                </c:pt>
                <c:pt idx="40">
                  <c:v>3.2252933170603932</c:v>
                </c:pt>
                <c:pt idx="41">
                  <c:v>3.2259183170603931</c:v>
                </c:pt>
                <c:pt idx="42">
                  <c:v>3.226543317060393</c:v>
                </c:pt>
                <c:pt idx="43">
                  <c:v>3.2271683170603929</c:v>
                </c:pt>
                <c:pt idx="44">
                  <c:v>3.2277933170603927</c:v>
                </c:pt>
                <c:pt idx="45">
                  <c:v>3.2284183170603926</c:v>
                </c:pt>
                <c:pt idx="46">
                  <c:v>3.2290433170603925</c:v>
                </c:pt>
                <c:pt idx="47">
                  <c:v>3.2296683170603924</c:v>
                </c:pt>
                <c:pt idx="48">
                  <c:v>3.2302933170603922</c:v>
                </c:pt>
                <c:pt idx="49">
                  <c:v>3.2309183170603921</c:v>
                </c:pt>
                <c:pt idx="50">
                  <c:v>3.231543317060392</c:v>
                </c:pt>
                <c:pt idx="51">
                  <c:v>3.2321683170603919</c:v>
                </c:pt>
                <c:pt idx="52">
                  <c:v>3.2327933170603917</c:v>
                </c:pt>
                <c:pt idx="53">
                  <c:v>3.2334183170603916</c:v>
                </c:pt>
                <c:pt idx="54">
                  <c:v>3.2340433170603915</c:v>
                </c:pt>
                <c:pt idx="55">
                  <c:v>3.2346683170603914</c:v>
                </c:pt>
                <c:pt idx="56">
                  <c:v>3.2352933170603912</c:v>
                </c:pt>
                <c:pt idx="57">
                  <c:v>3.2359183170603911</c:v>
                </c:pt>
                <c:pt idx="58">
                  <c:v>3.236543317060391</c:v>
                </c:pt>
                <c:pt idx="59">
                  <c:v>3.2371683170603909</c:v>
                </c:pt>
                <c:pt idx="60">
                  <c:v>3.2377933170603908</c:v>
                </c:pt>
                <c:pt idx="61">
                  <c:v>3.2384183170603906</c:v>
                </c:pt>
                <c:pt idx="62">
                  <c:v>3.2390433170603905</c:v>
                </c:pt>
                <c:pt idx="63">
                  <c:v>3.2396683170603904</c:v>
                </c:pt>
                <c:pt idx="64">
                  <c:v>3.2402933170603903</c:v>
                </c:pt>
                <c:pt idx="65">
                  <c:v>3.2409183170603901</c:v>
                </c:pt>
                <c:pt idx="66">
                  <c:v>3.24154331706039</c:v>
                </c:pt>
                <c:pt idx="67">
                  <c:v>3.2421683170603899</c:v>
                </c:pt>
                <c:pt idx="68">
                  <c:v>3.2427933170603898</c:v>
                </c:pt>
                <c:pt idx="69">
                  <c:v>3.2434183170603896</c:v>
                </c:pt>
                <c:pt idx="70">
                  <c:v>3.2440433170603895</c:v>
                </c:pt>
                <c:pt idx="71">
                  <c:v>3.2446683170603894</c:v>
                </c:pt>
                <c:pt idx="72">
                  <c:v>3.2452933170603893</c:v>
                </c:pt>
                <c:pt idx="73">
                  <c:v>3.2459183170603891</c:v>
                </c:pt>
                <c:pt idx="74">
                  <c:v>3.246543317060389</c:v>
                </c:pt>
                <c:pt idx="75">
                  <c:v>3.2471683170603889</c:v>
                </c:pt>
                <c:pt idx="76">
                  <c:v>3.2477933170603888</c:v>
                </c:pt>
                <c:pt idx="77">
                  <c:v>3.2484183170603886</c:v>
                </c:pt>
                <c:pt idx="78">
                  <c:v>3.2490433170603885</c:v>
                </c:pt>
                <c:pt idx="79">
                  <c:v>3.2496683170603884</c:v>
                </c:pt>
                <c:pt idx="80">
                  <c:v>3.2502933170603883</c:v>
                </c:pt>
              </c:numCache>
            </c:numRef>
          </c:cat>
          <c:val>
            <c:numRef>
              <c:f>Лист1!$S$87:$S$167</c:f>
              <c:numCache>
                <c:formatCode>0.00</c:formatCode>
                <c:ptCount val="81"/>
                <c:pt idx="0">
                  <c:v>18.127340220122431</c:v>
                </c:pt>
                <c:pt idx="1">
                  <c:v>24.661517048124281</c:v>
                </c:pt>
                <c:pt idx="2">
                  <c:v>30.588445479523674</c:v>
                </c:pt>
                <c:pt idx="3">
                  <c:v>35.762184865986931</c:v>
                </c:pt>
                <c:pt idx="4">
                  <c:v>40.055340573162766</c:v>
                </c:pt>
                <c:pt idx="5">
                  <c:v>43.362200859373587</c:v>
                </c:pt>
                <c:pt idx="6">
                  <c:v>45.601339849531605</c:v>
                </c:pt>
                <c:pt idx="7">
                  <c:v>46.717622510426118</c:v>
                </c:pt>
                <c:pt idx="8">
                  <c:v>46.683562258214131</c:v>
                </c:pt>
                <c:pt idx="9">
                  <c:v>45.49999776934461</c:v>
                </c:pt>
                <c:pt idx="10">
                  <c:v>43.196072329560913</c:v>
                </c:pt>
                <c:pt idx="11">
                  <c:v>39.828516229477323</c:v>
                </c:pt>
                <c:pt idx="12">
                  <c:v>35.48024987655711</c:v>
                </c:pt>
                <c:pt idx="13">
                  <c:v>30.258342019477812</c:v>
                </c:pt>
                <c:pt idx="14">
                  <c:v>24.291373360199277</c:v>
                </c:pt>
                <c:pt idx="15">
                  <c:v>17.726270470351487</c:v>
                </c:pt>
                <c:pt idx="16">
                  <c:v>10.724687971400311</c:v>
                </c:pt>
                <c:pt idx="17">
                  <c:v>3.4590280613945432</c:v>
                </c:pt>
                <c:pt idx="18">
                  <c:v>-3.8918045993387174</c:v>
                </c:pt>
                <c:pt idx="19">
                  <c:v>-11.146808114677315</c:v>
                </c:pt>
                <c:pt idx="20">
                  <c:v>-18.127340220092503</c:v>
                </c:pt>
                <c:pt idx="21">
                  <c:v>-24.661517048101217</c:v>
                </c:pt>
                <c:pt idx="22">
                  <c:v>-30.588445479503122</c:v>
                </c:pt>
                <c:pt idx="23">
                  <c:v>-35.762184865969409</c:v>
                </c:pt>
                <c:pt idx="24">
                  <c:v>-40.055340573145926</c:v>
                </c:pt>
                <c:pt idx="25">
                  <c:v>-43.362200859361302</c:v>
                </c:pt>
                <c:pt idx="26">
                  <c:v>-45.601339849525395</c:v>
                </c:pt>
                <c:pt idx="27">
                  <c:v>-46.717622510424114</c:v>
                </c:pt>
                <c:pt idx="28">
                  <c:v>-46.683562258216391</c:v>
                </c:pt>
                <c:pt idx="29">
                  <c:v>-45.499997769352333</c:v>
                </c:pt>
                <c:pt idx="30">
                  <c:v>-43.196072329571408</c:v>
                </c:pt>
                <c:pt idx="31">
                  <c:v>-39.828516229491605</c:v>
                </c:pt>
                <c:pt idx="32">
                  <c:v>-35.480249876574824</c:v>
                </c:pt>
                <c:pt idx="33">
                  <c:v>-30.258342019502589</c:v>
                </c:pt>
                <c:pt idx="34">
                  <c:v>-24.291373360227034</c:v>
                </c:pt>
                <c:pt idx="35">
                  <c:v>-17.726270470376605</c:v>
                </c:pt>
                <c:pt idx="36">
                  <c:v>-10.724687971426723</c:v>
                </c:pt>
                <c:pt idx="37">
                  <c:v>-3.4590280614216029</c:v>
                </c:pt>
                <c:pt idx="38">
                  <c:v>3.8918045993063703</c:v>
                </c:pt>
                <c:pt idx="39">
                  <c:v>11.14680811464579</c:v>
                </c:pt>
                <c:pt idx="40">
                  <c:v>18.127340220067481</c:v>
                </c:pt>
                <c:pt idx="41">
                  <c:v>17.371056930400197</c:v>
                </c:pt>
                <c:pt idx="42">
                  <c:v>14.867725943134767</c:v>
                </c:pt>
                <c:pt idx="43">
                  <c:v>11.998302199994278</c:v>
                </c:pt>
                <c:pt idx="44">
                  <c:v>8.8334404366079369</c:v>
                </c:pt>
                <c:pt idx="45">
                  <c:v>5.4510700531643028</c:v>
                </c:pt>
                <c:pt idx="46">
                  <c:v>1.9344762339474728</c:v>
                </c:pt>
                <c:pt idx="47">
                  <c:v>-1.6297508103051019</c:v>
                </c:pt>
                <c:pt idx="48">
                  <c:v>-5.1538479807777033</c:v>
                </c:pt>
                <c:pt idx="49">
                  <c:v>-8.5510403093227705</c:v>
                </c:pt>
                <c:pt idx="50">
                  <c:v>-11.737677646176595</c:v>
                </c:pt>
                <c:pt idx="51">
                  <c:v>-14.635294404260883</c:v>
                </c:pt>
                <c:pt idx="52">
                  <c:v>-17.172541642357114</c:v>
                </c:pt>
                <c:pt idx="53">
                  <c:v>-19.286943912820352</c:v>
                </c:pt>
                <c:pt idx="54">
                  <c:v>-20.926437614452976</c:v>
                </c:pt>
                <c:pt idx="55">
                  <c:v>-22.050652971153152</c:v>
                </c:pt>
                <c:pt idx="56">
                  <c:v>-22.631908069781847</c:v>
                </c:pt>
                <c:pt idx="57">
                  <c:v>-22.655890480736591</c:v>
                </c:pt>
                <c:pt idx="58">
                  <c:v>-22.122009677466</c:v>
                </c:pt>
                <c:pt idx="59">
                  <c:v>-21.043411577195389</c:v>
                </c:pt>
                <c:pt idx="60">
                  <c:v>-19.446654844816628</c:v>
                </c:pt>
                <c:pt idx="61">
                  <c:v>-17.37105693041034</c:v>
                </c:pt>
                <c:pt idx="62">
                  <c:v>-14.867725943144713</c:v>
                </c:pt>
                <c:pt idx="63">
                  <c:v>-11.998302200005449</c:v>
                </c:pt>
                <c:pt idx="64">
                  <c:v>-8.8334404366200587</c:v>
                </c:pt>
                <c:pt idx="65">
                  <c:v>-5.4510700531795813</c:v>
                </c:pt>
                <c:pt idx="66">
                  <c:v>-1.9344762339631543</c:v>
                </c:pt>
                <c:pt idx="67">
                  <c:v>1.6297508102919795</c:v>
                </c:pt>
                <c:pt idx="68">
                  <c:v>5.1538479807648905</c:v>
                </c:pt>
                <c:pt idx="69">
                  <c:v>8.5510403093105811</c:v>
                </c:pt>
                <c:pt idx="70">
                  <c:v>11.737677646163119</c:v>
                </c:pt>
                <c:pt idx="71">
                  <c:v>14.63529440425082</c:v>
                </c:pt>
                <c:pt idx="72">
                  <c:v>17.172541642348502</c:v>
                </c:pt>
                <c:pt idx="73">
                  <c:v>19.286943912813403</c:v>
                </c:pt>
                <c:pt idx="74">
                  <c:v>20.926437614446854</c:v>
                </c:pt>
                <c:pt idx="75">
                  <c:v>22.050652971149376</c:v>
                </c:pt>
                <c:pt idx="76">
                  <c:v>22.631908069780728</c:v>
                </c:pt>
                <c:pt idx="77">
                  <c:v>22.655890480737536</c:v>
                </c:pt>
                <c:pt idx="78">
                  <c:v>22.122009677468981</c:v>
                </c:pt>
                <c:pt idx="79">
                  <c:v>21.043411577201319</c:v>
                </c:pt>
                <c:pt idx="80">
                  <c:v>19.446654844823428</c:v>
                </c:pt>
              </c:numCache>
            </c:numRef>
          </c:val>
        </c:ser>
        <c:marker val="1"/>
        <c:axId val="141277056"/>
        <c:axId val="141278592"/>
      </c:lineChart>
      <c:catAx>
        <c:axId val="141277056"/>
        <c:scaling>
          <c:orientation val="minMax"/>
        </c:scaling>
        <c:axPos val="b"/>
        <c:majorGridlines/>
        <c:numFmt formatCode="0.000" sourceLinked="1"/>
        <c:tickLblPos val="nextTo"/>
        <c:crossAx val="141278592"/>
        <c:crosses val="autoZero"/>
        <c:auto val="1"/>
        <c:lblAlgn val="ctr"/>
        <c:lblOffset val="100"/>
      </c:catAx>
      <c:valAx>
        <c:axId val="141278592"/>
        <c:scaling>
          <c:orientation val="minMax"/>
        </c:scaling>
        <c:axPos val="l"/>
        <c:majorGridlines/>
        <c:numFmt formatCode="0.00" sourceLinked="1"/>
        <c:tickLblPos val="nextTo"/>
        <c:crossAx val="14127705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layout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10094577004645208"/>
          <c:y val="1.7424939233497829E-2"/>
          <c:w val="0.78907158760610752"/>
          <c:h val="0.93659644185178037"/>
        </c:manualLayout>
      </c:layout>
      <c:lineChart>
        <c:grouping val="standard"/>
        <c:ser>
          <c:idx val="0"/>
          <c:order val="0"/>
          <c:marker>
            <c:symbol val="none"/>
          </c:marker>
          <c:val>
            <c:numRef>
              <c:f>Лист1!$J$301:$J$500</c:f>
              <c:numCache>
                <c:formatCode>0.000</c:formatCode>
                <c:ptCount val="200"/>
                <c:pt idx="0">
                  <c:v>-2.8039260041043672</c:v>
                </c:pt>
                <c:pt idx="1">
                  <c:v>2.4126805050452496</c:v>
                </c:pt>
                <c:pt idx="2">
                  <c:v>-2.0212732859553095</c:v>
                </c:pt>
                <c:pt idx="3">
                  <c:v>0.20784517083264809</c:v>
                </c:pt>
                <c:pt idx="4">
                  <c:v>-0.41102476582272707</c:v>
                </c:pt>
                <c:pt idx="5">
                  <c:v>0.61417670929315993</c:v>
                </c:pt>
                <c:pt idx="6">
                  <c:v>8.2124952091295853</c:v>
                </c:pt>
                <c:pt idx="7">
                  <c:v>-7.6721574554222833</c:v>
                </c:pt>
                <c:pt idx="8">
                  <c:v>7.1313035605079138</c:v>
                </c:pt>
                <c:pt idx="9">
                  <c:v>-6.5899699101366069</c:v>
                </c:pt>
                <c:pt idx="10">
                  <c:v>6.0481929222738398</c:v>
                </c:pt>
                <c:pt idx="11">
                  <c:v>-5.5060090447855217</c:v>
                </c:pt>
                <c:pt idx="12">
                  <c:v>-22.294845623435158</c:v>
                </c:pt>
                <c:pt idx="13">
                  <c:v>22.538446788498948</c:v>
                </c:pt>
                <c:pt idx="14">
                  <c:v>-10.014872344707312</c:v>
                </c:pt>
                <c:pt idx="15">
                  <c:v>10.079630543908461</c:v>
                </c:pt>
                <c:pt idx="16">
                  <c:v>31.584216847443312</c:v>
                </c:pt>
                <c:pt idx="17">
                  <c:v>-32.081480407386827</c:v>
                </c:pt>
                <c:pt idx="18">
                  <c:v>32.576648275878874</c:v>
                </c:pt>
                <c:pt idx="19">
                  <c:v>-33.069688106617008</c:v>
                </c:pt>
                <c:pt idx="20">
                  <c:v>33.560567692199605</c:v>
                </c:pt>
                <c:pt idx="21">
                  <c:v>-6.4386551828963725</c:v>
                </c:pt>
                <c:pt idx="22">
                  <c:v>6.5327978294989473</c:v>
                </c:pt>
                <c:pt idx="23">
                  <c:v>-6.6264880547984495</c:v>
                </c:pt>
                <c:pt idx="24">
                  <c:v>52.262676196931189</c:v>
                </c:pt>
                <c:pt idx="25">
                  <c:v>-52.03501479087253</c:v>
                </c:pt>
                <c:pt idx="26">
                  <c:v>51.803749760484543</c:v>
                </c:pt>
                <c:pt idx="27">
                  <c:v>-51.568897121757502</c:v>
                </c:pt>
                <c:pt idx="28">
                  <c:v>13.70606604327121</c:v>
                </c:pt>
                <c:pt idx="29">
                  <c:v>-13.748903731708227</c:v>
                </c:pt>
                <c:pt idx="30">
                  <c:v>13.790789255834568</c:v>
                </c:pt>
                <c:pt idx="31">
                  <c:v>-13.831719714917064</c:v>
                </c:pt>
                <c:pt idx="32">
                  <c:v>-2.1966380845013349</c:v>
                </c:pt>
                <c:pt idx="33">
                  <c:v>2.2506162467476134</c:v>
                </c:pt>
                <c:pt idx="34">
                  <c:v>-2.3044385451876583</c:v>
                </c:pt>
                <c:pt idx="35">
                  <c:v>34.599680212964081</c:v>
                </c:pt>
                <c:pt idx="36">
                  <c:v>-35.10936039513799</c:v>
                </c:pt>
                <c:pt idx="37">
                  <c:v>14.619569551988738</c:v>
                </c:pt>
                <c:pt idx="38">
                  <c:v>-14.233157598698519</c:v>
                </c:pt>
                <c:pt idx="39">
                  <c:v>13.845759944660218</c:v>
                </c:pt>
                <c:pt idx="40">
                  <c:v>-39.311097760234901</c:v>
                </c:pt>
                <c:pt idx="41">
                  <c:v>39.586357403913553</c:v>
                </c:pt>
                <c:pt idx="42">
                  <c:v>-39.858875540527706</c:v>
                </c:pt>
                <c:pt idx="43">
                  <c:v>40.113177475931302</c:v>
                </c:pt>
                <c:pt idx="44">
                  <c:v>-40.365012090259853</c:v>
                </c:pt>
                <c:pt idx="45">
                  <c:v>40.61436389333295</c:v>
                </c:pt>
                <c:pt idx="46">
                  <c:v>-26.965598024583766</c:v>
                </c:pt>
                <c:pt idx="47">
                  <c:v>26.555489299818618</c:v>
                </c:pt>
                <c:pt idx="48">
                  <c:v>-26.143747173679721</c:v>
                </c:pt>
                <c:pt idx="49">
                  <c:v>3.022477036339398</c:v>
                </c:pt>
                <c:pt idx="50">
                  <c:v>-2.8433875863768643</c:v>
                </c:pt>
                <c:pt idx="51">
                  <c:v>2.6641232424690635</c:v>
                </c:pt>
                <c:pt idx="52">
                  <c:v>-2.4846950310265714</c:v>
                </c:pt>
                <c:pt idx="53">
                  <c:v>-0.30390735501222016</c:v>
                </c:pt>
                <c:pt idx="54">
                  <c:v>0.28668861032127746</c:v>
                </c:pt>
                <c:pt idx="55">
                  <c:v>-0.26945223170695126</c:v>
                </c:pt>
                <c:pt idx="56">
                  <c:v>-4.8609041717214208</c:v>
                </c:pt>
                <c:pt idx="57">
                  <c:v>4.3963081144878284</c:v>
                </c:pt>
                <c:pt idx="58">
                  <c:v>-3.9314416447744449</c:v>
                </c:pt>
                <c:pt idx="59">
                  <c:v>3.4663333560491489</c:v>
                </c:pt>
                <c:pt idx="60">
                  <c:v>-3.0010118567618034</c:v>
                </c:pt>
                <c:pt idx="61">
                  <c:v>2.5355057681528517</c:v>
                </c:pt>
                <c:pt idx="62">
                  <c:v>-40.469298092705053</c:v>
                </c:pt>
                <c:pt idx="63">
                  <c:v>40.889065208895005</c:v>
                </c:pt>
                <c:pt idx="64">
                  <c:v>-41.306317279908065</c:v>
                </c:pt>
                <c:pt idx="65">
                  <c:v>-12.480685076061233</c:v>
                </c:pt>
                <c:pt idx="66">
                  <c:v>12.463678050436126</c:v>
                </c:pt>
                <c:pt idx="67">
                  <c:v>-12.445904396539943</c:v>
                </c:pt>
                <c:pt idx="68">
                  <c:v>12.427365207612212</c:v>
                </c:pt>
                <c:pt idx="69">
                  <c:v>-12.408061623979759</c:v>
                </c:pt>
                <c:pt idx="70">
                  <c:v>12.387994832991291</c:v>
                </c:pt>
                <c:pt idx="71">
                  <c:v>49.112733747310429</c:v>
                </c:pt>
                <c:pt idx="72">
                  <c:v>-48.542012140745861</c:v>
                </c:pt>
                <c:pt idx="73">
                  <c:v>47.968304763954286</c:v>
                </c:pt>
                <c:pt idx="74">
                  <c:v>-47.391646905232115</c:v>
                </c:pt>
                <c:pt idx="75">
                  <c:v>46.81207403395539</c:v>
                </c:pt>
                <c:pt idx="76">
                  <c:v>-20.020704923229314</c:v>
                </c:pt>
                <c:pt idx="77">
                  <c:v>20.14144863457847</c:v>
                </c:pt>
                <c:pt idx="78">
                  <c:v>-20.260953465728605</c:v>
                </c:pt>
                <c:pt idx="79">
                  <c:v>20.37921206603075</c:v>
                </c:pt>
                <c:pt idx="80">
                  <c:v>-20.496217161572488</c:v>
                </c:pt>
                <c:pt idx="81">
                  <c:v>-36.393411577484976</c:v>
                </c:pt>
                <c:pt idx="82">
                  <c:v>36.518638581526289</c:v>
                </c:pt>
                <c:pt idx="83">
                  <c:v>-36.64161936092632</c:v>
                </c:pt>
                <c:pt idx="84">
                  <c:v>36.776942215133019</c:v>
                </c:pt>
                <c:pt idx="85">
                  <c:v>-36.895131207199896</c:v>
                </c:pt>
                <c:pt idx="86">
                  <c:v>-20.264193861043982</c:v>
                </c:pt>
                <c:pt idx="87">
                  <c:v>20.081730110294469</c:v>
                </c:pt>
                <c:pt idx="88">
                  <c:v>-19.89803115257272</c:v>
                </c:pt>
                <c:pt idx="89">
                  <c:v>19.713108286930364</c:v>
                </c:pt>
                <c:pt idx="90">
                  <c:v>-19.526972887957974</c:v>
                </c:pt>
                <c:pt idx="91">
                  <c:v>-38.420592810195338</c:v>
                </c:pt>
                <c:pt idx="92">
                  <c:v>38.450588782017434</c:v>
                </c:pt>
                <c:pt idx="93">
                  <c:v>-38.478219696890292</c:v>
                </c:pt>
                <c:pt idx="94">
                  <c:v>25.148119385923071</c:v>
                </c:pt>
                <c:pt idx="95">
                  <c:v>-25.21191618649182</c:v>
                </c:pt>
                <c:pt idx="96">
                  <c:v>25.274162227543673</c:v>
                </c:pt>
                <c:pt idx="97">
                  <c:v>-25.334853680329658</c:v>
                </c:pt>
                <c:pt idx="98">
                  <c:v>25.39398681180894</c:v>
                </c:pt>
                <c:pt idx="99">
                  <c:v>-25.451557984788558</c:v>
                </c:pt>
                <c:pt idx="100">
                  <c:v>-43.516595604217926</c:v>
                </c:pt>
                <c:pt idx="101">
                  <c:v>43.722649405005129</c:v>
                </c:pt>
                <c:pt idx="102">
                  <c:v>-43.926013869613399</c:v>
                </c:pt>
                <c:pt idx="103">
                  <c:v>44.126676489395741</c:v>
                </c:pt>
                <c:pt idx="104">
                  <c:v>10.360610353429605</c:v>
                </c:pt>
                <c:pt idx="105">
                  <c:v>-10.263188530749515</c:v>
                </c:pt>
                <c:pt idx="106">
                  <c:v>10.165135429644847</c:v>
                </c:pt>
                <c:pt idx="107">
                  <c:v>23.165631760105882</c:v>
                </c:pt>
                <c:pt idx="108">
                  <c:v>-23.011695324433564</c:v>
                </c:pt>
                <c:pt idx="109">
                  <c:v>51.693346719160921</c:v>
                </c:pt>
                <c:pt idx="110">
                  <c:v>-51.99210575701396</c:v>
                </c:pt>
                <c:pt idx="111">
                  <c:v>52.287666812997848</c:v>
                </c:pt>
                <c:pt idx="112">
                  <c:v>6.6806026513639543</c:v>
                </c:pt>
                <c:pt idx="113">
                  <c:v>-6.9372349882139392</c:v>
                </c:pt>
                <c:pt idx="114">
                  <c:v>7.1934406228528189</c:v>
                </c:pt>
                <c:pt idx="115">
                  <c:v>-7.4492037960926316</c:v>
                </c:pt>
                <c:pt idx="116">
                  <c:v>25.750896212416919</c:v>
                </c:pt>
                <c:pt idx="117">
                  <c:v>-25.830322573292907</c:v>
                </c:pt>
                <c:pt idx="118">
                  <c:v>25.90816013707013</c:v>
                </c:pt>
                <c:pt idx="119">
                  <c:v>-37.608175798465972</c:v>
                </c:pt>
                <c:pt idx="120">
                  <c:v>37.281490367083308</c:v>
                </c:pt>
                <c:pt idx="121">
                  <c:v>-34.680997424863691</c:v>
                </c:pt>
                <c:pt idx="122">
                  <c:v>34.313169733758016</c:v>
                </c:pt>
                <c:pt idx="123">
                  <c:v>37.159557553219237</c:v>
                </c:pt>
                <c:pt idx="124">
                  <c:v>-37.244071081635497</c:v>
                </c:pt>
                <c:pt idx="125">
                  <c:v>37.326293764750098</c:v>
                </c:pt>
                <c:pt idx="126">
                  <c:v>-37.406220545204981</c:v>
                </c:pt>
                <c:pt idx="127">
                  <c:v>-2.2383961031183279</c:v>
                </c:pt>
                <c:pt idx="128">
                  <c:v>2.0895113123055049</c:v>
                </c:pt>
                <c:pt idx="129">
                  <c:v>-1.9404979976894039</c:v>
                </c:pt>
                <c:pt idx="130">
                  <c:v>1.7913653250670118</c:v>
                </c:pt>
                <c:pt idx="131">
                  <c:v>-1.6421224673003176</c:v>
                </c:pt>
                <c:pt idx="132">
                  <c:v>1.4927786043054883</c:v>
                </c:pt>
                <c:pt idx="133">
                  <c:v>48.962857046876564</c:v>
                </c:pt>
                <c:pt idx="134">
                  <c:v>-48.822924275998233</c:v>
                </c:pt>
                <c:pt idx="135">
                  <c:v>48.679988456336282</c:v>
                </c:pt>
                <c:pt idx="136">
                  <c:v>-27.508827306245539</c:v>
                </c:pt>
                <c:pt idx="137">
                  <c:v>27.677240045098205</c:v>
                </c:pt>
                <c:pt idx="138">
                  <c:v>-27.843950384820513</c:v>
                </c:pt>
                <c:pt idx="139">
                  <c:v>-13.597789109706339</c:v>
                </c:pt>
                <c:pt idx="140">
                  <c:v>13.575898432205085</c:v>
                </c:pt>
                <c:pt idx="141">
                  <c:v>-13.553172714878791</c:v>
                </c:pt>
                <c:pt idx="142">
                  <c:v>13.529613355552298</c:v>
                </c:pt>
                <c:pt idx="143">
                  <c:v>-13.505221803359905</c:v>
                </c:pt>
                <c:pt idx="144">
                  <c:v>13.479999558578763</c:v>
                </c:pt>
                <c:pt idx="145">
                  <c:v>-18.102881002978073</c:v>
                </c:pt>
                <c:pt idx="146">
                  <c:v>18.337886928259252</c:v>
                </c:pt>
                <c:pt idx="147">
                  <c:v>-18.571764908712368</c:v>
                </c:pt>
                <c:pt idx="148">
                  <c:v>-19.479288835865294</c:v>
                </c:pt>
                <c:pt idx="149">
                  <c:v>20.197446743394494</c:v>
                </c:pt>
                <c:pt idx="150">
                  <c:v>-20.914362326004614</c:v>
                </c:pt>
                <c:pt idx="151">
                  <c:v>21.629991487274399</c:v>
                </c:pt>
                <c:pt idx="152">
                  <c:v>-22.344290209906671</c:v>
                </c:pt>
                <c:pt idx="153">
                  <c:v>23.057214557444496</c:v>
                </c:pt>
                <c:pt idx="154">
                  <c:v>34.143266866536024</c:v>
                </c:pt>
                <c:pt idx="155">
                  <c:v>-34.232319617348658</c:v>
                </c:pt>
                <c:pt idx="156">
                  <c:v>34.319266772695428</c:v>
                </c:pt>
                <c:pt idx="157">
                  <c:v>27.038142325967247</c:v>
                </c:pt>
                <c:pt idx="158">
                  <c:v>-27.024448286440055</c:v>
                </c:pt>
                <c:pt idx="159">
                  <c:v>27.009092000337912</c:v>
                </c:pt>
                <c:pt idx="160">
                  <c:v>-26.992074412224742</c:v>
                </c:pt>
                <c:pt idx="161">
                  <c:v>26.973396568828498</c:v>
                </c:pt>
                <c:pt idx="162">
                  <c:v>-11.490148870642718</c:v>
                </c:pt>
                <c:pt idx="163">
                  <c:v>11.634800494646178</c:v>
                </c:pt>
                <c:pt idx="164">
                  <c:v>-11.77873647386828</c:v>
                </c:pt>
                <c:pt idx="165">
                  <c:v>128.77725175492222</c:v>
                </c:pt>
                <c:pt idx="166">
                  <c:v>-128.73449287266436</c:v>
                </c:pt>
                <c:pt idx="167">
                  <c:v>128.68381566151757</c:v>
                </c:pt>
                <c:pt idx="168">
                  <c:v>-128.60970226434881</c:v>
                </c:pt>
                <c:pt idx="169">
                  <c:v>128.52333969308322</c:v>
                </c:pt>
                <c:pt idx="170">
                  <c:v>-128.42473617308696</c:v>
                </c:pt>
                <c:pt idx="171">
                  <c:v>72.735964730953896</c:v>
                </c:pt>
                <c:pt idx="172">
                  <c:v>-73.241901861568806</c:v>
                </c:pt>
                <c:pt idx="173">
                  <c:v>73.7408632132029</c:v>
                </c:pt>
                <c:pt idx="174">
                  <c:v>-74.232801264023109</c:v>
                </c:pt>
                <c:pt idx="175">
                  <c:v>74.717669159639172</c:v>
                </c:pt>
                <c:pt idx="176">
                  <c:v>-75.195420720146572</c:v>
                </c:pt>
                <c:pt idx="177">
                  <c:v>-72.242777531563803</c:v>
                </c:pt>
                <c:pt idx="178">
                  <c:v>72.810663762913393</c:v>
                </c:pt>
                <c:pt idx="179">
                  <c:v>-73.371615288488613</c:v>
                </c:pt>
                <c:pt idx="180">
                  <c:v>73.925578680745829</c:v>
                </c:pt>
                <c:pt idx="181">
                  <c:v>-74.472501178969381</c:v>
                </c:pt>
                <c:pt idx="182">
                  <c:v>-0.69410879795358515</c:v>
                </c:pt>
                <c:pt idx="183">
                  <c:v>0.28092899927742554</c:v>
                </c:pt>
                <c:pt idx="184">
                  <c:v>0.1322775562280199</c:v>
                </c:pt>
                <c:pt idx="185">
                  <c:v>-35.182723536698006</c:v>
                </c:pt>
                <c:pt idx="186">
                  <c:v>35.086152970363862</c:v>
                </c:pt>
                <c:pt idx="187">
                  <c:v>-34.986240693418573</c:v>
                </c:pt>
                <c:pt idx="188">
                  <c:v>34.882996221956319</c:v>
                </c:pt>
                <c:pt idx="189">
                  <c:v>-34.776429389136567</c:v>
                </c:pt>
                <c:pt idx="190">
                  <c:v>34.666550344863275</c:v>
                </c:pt>
                <c:pt idx="191">
                  <c:v>-37.455316139211014</c:v>
                </c:pt>
                <c:pt idx="192">
                  <c:v>36.817894246294557</c:v>
                </c:pt>
                <c:pt idx="193">
                  <c:v>-36.176965707078907</c:v>
                </c:pt>
                <c:pt idx="194">
                  <c:v>35.53259156456658</c:v>
                </c:pt>
                <c:pt idx="195">
                  <c:v>10.540427543203544</c:v>
                </c:pt>
                <c:pt idx="196">
                  <c:v>-10.484785226301701</c:v>
                </c:pt>
                <c:pt idx="197">
                  <c:v>10.42814430693762</c:v>
                </c:pt>
                <c:pt idx="198">
                  <c:v>-10.370510179846942</c:v>
                </c:pt>
                <c:pt idx="199">
                  <c:v>10.311888334191025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Лист1!$K$301:$K$500</c:f>
              <c:numCache>
                <c:formatCode>0.000</c:formatCode>
                <c:ptCount val="200"/>
                <c:pt idx="0">
                  <c:v>45</c:v>
                </c:pt>
                <c:pt idx="1">
                  <c:v>-44.998491843138368</c:v>
                </c:pt>
                <c:pt idx="2">
                  <c:v>44.993967473644005</c:v>
                </c:pt>
                <c:pt idx="3">
                  <c:v>-44.986443736883402</c:v>
                </c:pt>
                <c:pt idx="4">
                  <c:v>44.975871511970432</c:v>
                </c:pt>
                <c:pt idx="5">
                  <c:v>-44.9622735540649</c:v>
                </c:pt>
                <c:pt idx="6">
                  <c:v>44.945783115190032</c:v>
                </c:pt>
                <c:pt idx="7">
                  <c:v>-44.926158713249329</c:v>
                </c:pt>
                <c:pt idx="8">
                  <c:v>44.903511922723276</c:v>
                </c:pt>
                <c:pt idx="9">
                  <c:v>-44.877844267166502</c:v>
                </c:pt>
                <c:pt idx="10">
                  <c:v>44.84915747335841</c:v>
                </c:pt>
                <c:pt idx="11">
                  <c:v>-44.817453471192671</c:v>
                </c:pt>
                <c:pt idx="12">
                  <c:v>44.783263103897823</c:v>
                </c:pt>
                <c:pt idx="13">
                  <c:v>-44.74614731361283</c:v>
                </c:pt>
                <c:pt idx="14">
                  <c:v>44.706108524886339</c:v>
                </c:pt>
                <c:pt idx="15">
                  <c:v>-44.663149353215182</c:v>
                </c:pt>
                <c:pt idx="16">
                  <c:v>44.617272604868013</c:v>
                </c:pt>
                <c:pt idx="17">
                  <c:v>-44.568481276693525</c:v>
                </c:pt>
                <c:pt idx="18">
                  <c:v>44.516778555943148</c:v>
                </c:pt>
                <c:pt idx="19">
                  <c:v>-44.462167820040868</c:v>
                </c:pt>
                <c:pt idx="20">
                  <c:v>44.404652636385904</c:v>
                </c:pt>
                <c:pt idx="21">
                  <c:v>-44.344236762095065</c:v>
                </c:pt>
                <c:pt idx="22">
                  <c:v>44.279003380677864</c:v>
                </c:pt>
                <c:pt idx="23">
                  <c:v>-44.210703508462437</c:v>
                </c:pt>
                <c:pt idx="24">
                  <c:v>44.139341875480341</c:v>
                </c:pt>
                <c:pt idx="25">
                  <c:v>-44.064923423798334</c:v>
                </c:pt>
                <c:pt idx="26">
                  <c:v>43.987453307179599</c:v>
                </c:pt>
                <c:pt idx="27">
                  <c:v>-43.906936890726804</c:v>
                </c:pt>
                <c:pt idx="28">
                  <c:v>43.823379750510568</c:v>
                </c:pt>
                <c:pt idx="29">
                  <c:v>-43.736787673183308</c:v>
                </c:pt>
                <c:pt idx="30">
                  <c:v>43.647166655578438</c:v>
                </c:pt>
                <c:pt idx="31">
                  <c:v>-43.554522904295141</c:v>
                </c:pt>
                <c:pt idx="32">
                  <c:v>43.458862835268484</c:v>
                </c:pt>
                <c:pt idx="33">
                  <c:v>-43.3601930733251</c:v>
                </c:pt>
                <c:pt idx="34">
                  <c:v>43.258520451724401</c:v>
                </c:pt>
                <c:pt idx="35">
                  <c:v>-43.153852011685352</c:v>
                </c:pt>
                <c:pt idx="36">
                  <c:v>43.04619500189883</c:v>
                </c:pt>
                <c:pt idx="37">
                  <c:v>-42.935556878025636</c:v>
                </c:pt>
                <c:pt idx="38">
                  <c:v>42.82194530218014</c:v>
                </c:pt>
                <c:pt idx="39">
                  <c:v>-42.705368142399671</c:v>
                </c:pt>
                <c:pt idx="40">
                  <c:v>42.585833472099615</c:v>
                </c:pt>
                <c:pt idx="41">
                  <c:v>-42.463349569514314</c:v>
                </c:pt>
                <c:pt idx="42">
                  <c:v>42.337924917123757</c:v>
                </c:pt>
                <c:pt idx="43">
                  <c:v>-42.217037603714878</c:v>
                </c:pt>
                <c:pt idx="44">
                  <c:v>42.093553562885958</c:v>
                </c:pt>
                <c:pt idx="45">
                  <c:v>-41.967480390045402</c:v>
                </c:pt>
                <c:pt idx="46">
                  <c:v>41.838825839768475</c:v>
                </c:pt>
                <c:pt idx="47">
                  <c:v>-41.707597825495803</c:v>
                </c:pt>
                <c:pt idx="48">
                  <c:v>41.57380441893023</c:v>
                </c:pt>
                <c:pt idx="49">
                  <c:v>-41.437453849569316</c:v>
                </c:pt>
                <c:pt idx="50">
                  <c:v>41.298554504231618</c:v>
                </c:pt>
                <c:pt idx="51">
                  <c:v>-41.157114926411396</c:v>
                </c:pt>
                <c:pt idx="52">
                  <c:v>41.013143815946414</c:v>
                </c:pt>
                <c:pt idx="53">
                  <c:v>-40.86665002835452</c:v>
                </c:pt>
                <c:pt idx="54">
                  <c:v>40.717642574320891</c:v>
                </c:pt>
                <c:pt idx="55">
                  <c:v>-40.566130619179233</c:v>
                </c:pt>
                <c:pt idx="56">
                  <c:v>40.412123482206873</c:v>
                </c:pt>
                <c:pt idx="57">
                  <c:v>-40.255630636262389</c:v>
                </c:pt>
                <c:pt idx="58">
                  <c:v>40.096661707062943</c:v>
                </c:pt>
                <c:pt idx="59">
                  <c:v>-39.935226472627122</c:v>
                </c:pt>
                <c:pt idx="60">
                  <c:v>39.771334862711718</c:v>
                </c:pt>
                <c:pt idx="61">
                  <c:v>-39.604996958048403</c:v>
                </c:pt>
                <c:pt idx="62">
                  <c:v>39.436222989951723</c:v>
                </c:pt>
                <c:pt idx="63">
                  <c:v>-39.265023339538295</c:v>
                </c:pt>
                <c:pt idx="64">
                  <c:v>39.091408537126014</c:v>
                </c:pt>
                <c:pt idx="65">
                  <c:v>-38.915389261627446</c:v>
                </c:pt>
                <c:pt idx="66">
                  <c:v>38.736976339729111</c:v>
                </c:pt>
                <c:pt idx="67">
                  <c:v>-38.556180745470513</c:v>
                </c:pt>
                <c:pt idx="68">
                  <c:v>38.373013599406363</c:v>
                </c:pt>
                <c:pt idx="69">
                  <c:v>-38.187486167963165</c:v>
                </c:pt>
                <c:pt idx="70">
                  <c:v>37.999609862790017</c:v>
                </c:pt>
                <c:pt idx="71">
                  <c:v>-37.809396239881885</c:v>
                </c:pt>
                <c:pt idx="72">
                  <c:v>37.616856999130249</c:v>
                </c:pt>
                <c:pt idx="73">
                  <c:v>-37.422003983429683</c:v>
                </c:pt>
                <c:pt idx="74">
                  <c:v>37.224849178038731</c:v>
                </c:pt>
                <c:pt idx="75">
                  <c:v>-37.025404709659256</c:v>
                </c:pt>
                <c:pt idx="76">
                  <c:v>36.823682845964868</c:v>
                </c:pt>
                <c:pt idx="77">
                  <c:v>-36.619695994664056</c:v>
                </c:pt>
                <c:pt idx="78">
                  <c:v>36.413456702782369</c:v>
                </c:pt>
                <c:pt idx="79">
                  <c:v>-36.204977655939331</c:v>
                </c:pt>
                <c:pt idx="80">
                  <c:v>35.994271677374229</c:v>
                </c:pt>
                <c:pt idx="81">
                  <c:v>-35.781351727447465</c:v>
                </c:pt>
                <c:pt idx="82">
                  <c:v>35.566230902650489</c:v>
                </c:pt>
                <c:pt idx="83">
                  <c:v>-35.348922434848348</c:v>
                </c:pt>
                <c:pt idx="84">
                  <c:v>35.102474316730024</c:v>
                </c:pt>
                <c:pt idx="85">
                  <c:v>-34.880567718655229</c:v>
                </c:pt>
                <c:pt idx="86">
                  <c:v>34.656515652026449</c:v>
                </c:pt>
                <c:pt idx="87">
                  <c:v>-34.43033189811311</c:v>
                </c:pt>
                <c:pt idx="88">
                  <c:v>34.202030369198155</c:v>
                </c:pt>
                <c:pt idx="89">
                  <c:v>-33.971625107771089</c:v>
                </c:pt>
                <c:pt idx="90">
                  <c:v>33.739130286040989</c:v>
                </c:pt>
                <c:pt idx="91">
                  <c:v>-33.504560204314267</c:v>
                </c:pt>
                <c:pt idx="92">
                  <c:v>33.267929290977754</c:v>
                </c:pt>
                <c:pt idx="93">
                  <c:v>-33.029252100852034</c:v>
                </c:pt>
                <c:pt idx="94">
                  <c:v>32.788543314618295</c:v>
                </c:pt>
                <c:pt idx="95">
                  <c:v>-32.54581773825462</c:v>
                </c:pt>
                <c:pt idx="96">
                  <c:v>32.301090301341304</c:v>
                </c:pt>
                <c:pt idx="97">
                  <c:v>-32.054376057043307</c:v>
                </c:pt>
                <c:pt idx="98">
                  <c:v>31.805690180391977</c:v>
                </c:pt>
                <c:pt idx="99">
                  <c:v>-31.555047967688154</c:v>
                </c:pt>
                <c:pt idx="100">
                  <c:v>31.302464835914165</c:v>
                </c:pt>
                <c:pt idx="101">
                  <c:v>-31.047956320969465</c:v>
                </c:pt>
                <c:pt idx="102">
                  <c:v>30.79153807765233</c:v>
                </c:pt>
                <c:pt idx="103">
                  <c:v>-30.533225877872759</c:v>
                </c:pt>
                <c:pt idx="104">
                  <c:v>30.273035610032601</c:v>
                </c:pt>
                <c:pt idx="105">
                  <c:v>-30.010983278414283</c:v>
                </c:pt>
                <c:pt idx="106">
                  <c:v>29.747085001349429</c:v>
                </c:pt>
                <c:pt idx="107">
                  <c:v>-29.481357011199808</c:v>
                </c:pt>
                <c:pt idx="108">
                  <c:v>29.213815652504195</c:v>
                </c:pt>
                <c:pt idx="109">
                  <c:v>-28.94447738133648</c:v>
                </c:pt>
                <c:pt idx="110">
                  <c:v>28.673358764672034</c:v>
                </c:pt>
                <c:pt idx="111">
                  <c:v>-28.400476478492116</c:v>
                </c:pt>
                <c:pt idx="112">
                  <c:v>28.125847307764172</c:v>
                </c:pt>
                <c:pt idx="113">
                  <c:v>-27.849488144525445</c:v>
                </c:pt>
                <c:pt idx="114">
                  <c:v>27.571415987220053</c:v>
                </c:pt>
                <c:pt idx="115">
                  <c:v>-27.291647940044001</c:v>
                </c:pt>
                <c:pt idx="116">
                  <c:v>27.010201210988271</c:v>
                </c:pt>
                <c:pt idx="117">
                  <c:v>-26.727093111818515</c:v>
                </c:pt>
                <c:pt idx="118">
                  <c:v>26.442341056098307</c:v>
                </c:pt>
                <c:pt idx="119">
                  <c:v>-26.155962558506289</c:v>
                </c:pt>
                <c:pt idx="120">
                  <c:v>25.867975234160799</c:v>
                </c:pt>
                <c:pt idx="121">
                  <c:v>-25.578396796604636</c:v>
                </c:pt>
                <c:pt idx="122">
                  <c:v>25.287245057784187</c:v>
                </c:pt>
                <c:pt idx="123">
                  <c:v>-24.994537926015415</c:v>
                </c:pt>
                <c:pt idx="124">
                  <c:v>24.700293405282018</c:v>
                </c:pt>
                <c:pt idx="125">
                  <c:v>-24.40452959454079</c:v>
                </c:pt>
                <c:pt idx="126">
                  <c:v>24.107264685651167</c:v>
                </c:pt>
                <c:pt idx="127">
                  <c:v>-23.80851696335376</c:v>
                </c:pt>
                <c:pt idx="128">
                  <c:v>23.508304803182227</c:v>
                </c:pt>
                <c:pt idx="129">
                  <c:v>-23.206646670743588</c:v>
                </c:pt>
                <c:pt idx="130">
                  <c:v>22.903561121005293</c:v>
                </c:pt>
                <c:pt idx="131">
                  <c:v>-22.599066796172764</c:v>
                </c:pt>
                <c:pt idx="132">
                  <c:v>22.29318242566741</c:v>
                </c:pt>
                <c:pt idx="133">
                  <c:v>-21.985926823987544</c:v>
                </c:pt>
                <c:pt idx="134">
                  <c:v>21.677318889971978</c:v>
                </c:pt>
                <c:pt idx="135">
                  <c:v>-21.367377606069891</c:v>
                </c:pt>
                <c:pt idx="136">
                  <c:v>21.056122036169647</c:v>
                </c:pt>
                <c:pt idx="137">
                  <c:v>-20.743571325576294</c:v>
                </c:pt>
                <c:pt idx="138">
                  <c:v>20.429744698824841</c:v>
                </c:pt>
                <c:pt idx="139">
                  <c:v>-20.114661458928246</c:v>
                </c:pt>
                <c:pt idx="140">
                  <c:v>19.798340986631239</c:v>
                </c:pt>
                <c:pt idx="141">
                  <c:v>-19.480802738341275</c:v>
                </c:pt>
                <c:pt idx="142">
                  <c:v>19.162066245367736</c:v>
                </c:pt>
                <c:pt idx="143">
                  <c:v>-18.842151113166647</c:v>
                </c:pt>
                <c:pt idx="144">
                  <c:v>18.521077019098467</c:v>
                </c:pt>
                <c:pt idx="145">
                  <c:v>-18.198863712404883</c:v>
                </c:pt>
                <c:pt idx="146">
                  <c:v>17.875531011952848</c:v>
                </c:pt>
                <c:pt idx="147">
                  <c:v>-17.55109880546004</c:v>
                </c:pt>
                <c:pt idx="148">
                  <c:v>17.225587048725362</c:v>
                </c:pt>
                <c:pt idx="149">
                  <c:v>-16.899015763346814</c:v>
                </c:pt>
                <c:pt idx="150">
                  <c:v>16.571405036697872</c:v>
                </c:pt>
                <c:pt idx="151">
                  <c:v>-16.242775019632791</c:v>
                </c:pt>
                <c:pt idx="152">
                  <c:v>15.91314592569945</c:v>
                </c:pt>
                <c:pt idx="153">
                  <c:v>-15.582538030356885</c:v>
                </c:pt>
                <c:pt idx="154">
                  <c:v>15.250971668656719</c:v>
                </c:pt>
                <c:pt idx="155">
                  <c:v>-14.918467235219168</c:v>
                </c:pt>
                <c:pt idx="156">
                  <c:v>14.585045181903117</c:v>
                </c:pt>
                <c:pt idx="157">
                  <c:v>-14.250726017007615</c:v>
                </c:pt>
                <c:pt idx="158">
                  <c:v>13.915530304477581</c:v>
                </c:pt>
                <c:pt idx="159">
                  <c:v>-13.579478661552391</c:v>
                </c:pt>
                <c:pt idx="160">
                  <c:v>13.242591758741556</c:v>
                </c:pt>
                <c:pt idx="161">
                  <c:v>-12.904890317463117</c:v>
                </c:pt>
                <c:pt idx="162">
                  <c:v>12.566395109235058</c:v>
                </c:pt>
                <c:pt idx="163">
                  <c:v>-12.227126954870384</c:v>
                </c:pt>
                <c:pt idx="164">
                  <c:v>11.887106722096492</c:v>
                </c:pt>
                <c:pt idx="165">
                  <c:v>-11.54635532553052</c:v>
                </c:pt>
                <c:pt idx="166">
                  <c:v>11.20489372428977</c:v>
                </c:pt>
                <c:pt idx="167">
                  <c:v>-10.862742921174199</c:v>
                </c:pt>
                <c:pt idx="168">
                  <c:v>10.436051762323123</c:v>
                </c:pt>
                <c:pt idx="169">
                  <c:v>-10.008366642732673</c:v>
                </c:pt>
                <c:pt idx="170">
                  <c:v>9.5797282960987058</c:v>
                </c:pt>
                <c:pt idx="171">
                  <c:v>-9.1501775475436649</c:v>
                </c:pt>
                <c:pt idx="172">
                  <c:v>8.7197553082895052</c:v>
                </c:pt>
                <c:pt idx="173">
                  <c:v>-8.2885025736841857</c:v>
                </c:pt>
                <c:pt idx="174">
                  <c:v>7.8564604168897771</c:v>
                </c:pt>
                <c:pt idx="175">
                  <c:v>-7.4236699875424641</c:v>
                </c:pt>
                <c:pt idx="176">
                  <c:v>6.9901725055801291</c:v>
                </c:pt>
                <c:pt idx="177">
                  <c:v>-6.5560092582803655</c:v>
                </c:pt>
                <c:pt idx="178">
                  <c:v>6.1212215973015445</c:v>
                </c:pt>
                <c:pt idx="179">
                  <c:v>-5.6858509324774671</c:v>
                </c:pt>
                <c:pt idx="180">
                  <c:v>5.2499387304663756</c:v>
                </c:pt>
                <c:pt idx="181">
                  <c:v>-4.8135265085305967</c:v>
                </c:pt>
                <c:pt idx="182">
                  <c:v>4.3766558315543662</c:v>
                </c:pt>
                <c:pt idx="183">
                  <c:v>-3.9393683090638225</c:v>
                </c:pt>
                <c:pt idx="184">
                  <c:v>3.5017055889833535</c:v>
                </c:pt>
                <c:pt idx="185">
                  <c:v>-3.0637093562768434</c:v>
                </c:pt>
                <c:pt idx="186">
                  <c:v>2.6254213266941719</c:v>
                </c:pt>
                <c:pt idx="187">
                  <c:v>-2.1868832437759589</c:v>
                </c:pt>
                <c:pt idx="188">
                  <c:v>1.7481368758595788</c:v>
                </c:pt>
                <c:pt idx="189">
                  <c:v>-1.3092240098120613</c:v>
                </c:pt>
                <c:pt idx="190">
                  <c:v>0.87018644966680947</c:v>
                </c:pt>
                <c:pt idx="191">
                  <c:v>-0.43106601035184428</c:v>
                </c:pt>
                <c:pt idx="192">
                  <c:v>-8.0954853113988333E-3</c:v>
                </c:pt>
                <c:pt idx="193">
                  <c:v>0.44725620960891566</c:v>
                </c:pt>
                <c:pt idx="194">
                  <c:v>-0.88637433620974793</c:v>
                </c:pt>
                <c:pt idx="195">
                  <c:v>1.3254080415305558</c:v>
                </c:pt>
                <c:pt idx="196">
                  <c:v>-1.7643155110106936</c:v>
                </c:pt>
                <c:pt idx="197">
                  <c:v>2.2030549421122201</c:v>
                </c:pt>
                <c:pt idx="198">
                  <c:v>-2.6415845473204569</c:v>
                </c:pt>
                <c:pt idx="199">
                  <c:v>3.0798625604131797</c:v>
                </c:pt>
              </c:numCache>
            </c:numRef>
          </c:val>
        </c:ser>
        <c:marker val="1"/>
        <c:axId val="45032576"/>
        <c:axId val="45034112"/>
      </c:lineChart>
      <c:catAx>
        <c:axId val="45032576"/>
        <c:scaling>
          <c:orientation val="minMax"/>
        </c:scaling>
        <c:axPos val="b"/>
        <c:tickLblPos val="nextTo"/>
        <c:crossAx val="45034112"/>
        <c:crosses val="autoZero"/>
        <c:auto val="1"/>
        <c:lblAlgn val="ctr"/>
        <c:lblOffset val="100"/>
      </c:catAx>
      <c:valAx>
        <c:axId val="45034112"/>
        <c:scaling>
          <c:orientation val="minMax"/>
        </c:scaling>
        <c:axPos val="l"/>
        <c:majorGridlines/>
        <c:numFmt formatCode="0.000" sourceLinked="1"/>
        <c:tickLblPos val="nextTo"/>
        <c:crossAx val="450325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104775</xdr:colOff>
      <xdr:row>2</xdr:row>
      <xdr:rowOff>0</xdr:rowOff>
    </xdr:from>
    <xdr:ext cx="1524000" cy="311496"/>
    <xdr:sp macro="" textlink="">
      <xdr:nvSpPr>
        <xdr:cNvPr id="2" name="TextBox 1"/>
        <xdr:cNvSpPr txBox="1"/>
      </xdr:nvSpPr>
      <xdr:spPr>
        <a:xfrm>
          <a:off x="7800975" y="428625"/>
          <a:ext cx="15240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>
              <a:solidFill>
                <a:srgbClr val="FF0000"/>
              </a:solidFill>
              <a:latin typeface="Cambria Math"/>
            </a:rPr>
            <a:t>𝒙=𝒂+𝒓(𝒃−𝒂)</a:t>
          </a:r>
          <a:endParaRPr lang="ru-RU" sz="14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390526</xdr:colOff>
      <xdr:row>3</xdr:row>
      <xdr:rowOff>104775</xdr:rowOff>
    </xdr:from>
    <xdr:ext cx="2334452" cy="311496"/>
    <xdr:sp macro="" textlink="">
      <xdr:nvSpPr>
        <xdr:cNvPr id="3" name="TextBox 2"/>
        <xdr:cNvSpPr txBox="1"/>
      </xdr:nvSpPr>
      <xdr:spPr>
        <a:xfrm>
          <a:off x="7215396" y="725971"/>
          <a:ext cx="233445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>
              <a:solidFill>
                <a:srgbClr val="FF0000"/>
              </a:solidFill>
              <a:latin typeface="Cambria Math"/>
            </a:rPr>
            <a:t>𝒙=√(𝟐</a:t>
          </a:r>
          <a:r>
            <a:rPr lang="en-US" sz="1400" b="1" i="0">
              <a:solidFill>
                <a:srgbClr val="FF0000"/>
              </a:solidFill>
              <a:latin typeface="Cambria Math"/>
              <a:ea typeface="Cambria Math"/>
            </a:rPr>
            <a:t>∙𝝈^𝟐 𝒍𝒏(𝟏/(𝟏−𝒓)) )</a:t>
          </a:r>
          <a:endParaRPr lang="ru-RU" sz="1400" b="1"/>
        </a:p>
      </xdr:txBody>
    </xdr:sp>
    <xdr:clientData/>
  </xdr:oneCellAnchor>
  <xdr:oneCellAnchor>
    <xdr:from>
      <xdr:col>3</xdr:col>
      <xdr:colOff>1050234</xdr:colOff>
      <xdr:row>7</xdr:row>
      <xdr:rowOff>6626</xdr:rowOff>
    </xdr:from>
    <xdr:ext cx="2701788" cy="311496"/>
    <xdr:sp macro="" textlink="">
      <xdr:nvSpPr>
        <xdr:cNvPr id="4" name="TextBox 3"/>
        <xdr:cNvSpPr txBox="1"/>
      </xdr:nvSpPr>
      <xdr:spPr>
        <a:xfrm>
          <a:off x="4041084" y="1387751"/>
          <a:ext cx="270178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>
              <a:solidFill>
                <a:srgbClr val="FF0000"/>
              </a:solidFill>
              <a:latin typeface="Cambria Math"/>
            </a:rPr>
            <a:t>𝑺(𝒕)=𝒃</a:t>
          </a:r>
          <a:r>
            <a:rPr lang="en-US" sz="1400" b="1" i="0">
              <a:solidFill>
                <a:srgbClr val="FF0000"/>
              </a:solidFill>
              <a:latin typeface="Cambria Math"/>
              <a:ea typeface="Cambria Math"/>
            </a:rPr>
            <a:t>∙𝑨∙𝒄𝒐𝒔(𝝎_𝟎 𝒕+𝝋)</a:t>
          </a:r>
          <a:endParaRPr lang="ru-RU" sz="1400" b="1"/>
        </a:p>
      </xdr:txBody>
    </xdr:sp>
    <xdr:clientData/>
  </xdr:oneCellAnchor>
  <xdr:twoCellAnchor>
    <xdr:from>
      <xdr:col>0</xdr:col>
      <xdr:colOff>596347</xdr:colOff>
      <xdr:row>274</xdr:row>
      <xdr:rowOff>19877</xdr:rowOff>
    </xdr:from>
    <xdr:to>
      <xdr:col>9</xdr:col>
      <xdr:colOff>66259</xdr:colOff>
      <xdr:row>293</xdr:row>
      <xdr:rowOff>16565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13156</xdr:colOff>
      <xdr:row>6</xdr:row>
      <xdr:rowOff>56029</xdr:rowOff>
    </xdr:from>
    <xdr:to>
      <xdr:col>6</xdr:col>
      <xdr:colOff>728870</xdr:colOff>
      <xdr:row>9</xdr:row>
      <xdr:rowOff>89647</xdr:rowOff>
    </xdr:to>
    <xdr:sp macro="" textlink="">
      <xdr:nvSpPr>
        <xdr:cNvPr id="6" name="Прямоугольник 5"/>
        <xdr:cNvSpPr/>
      </xdr:nvSpPr>
      <xdr:spPr>
        <a:xfrm>
          <a:off x="3392460" y="1248725"/>
          <a:ext cx="2438497" cy="671379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0</xdr:colOff>
      <xdr:row>8</xdr:row>
      <xdr:rowOff>33618</xdr:rowOff>
    </xdr:from>
    <xdr:to>
      <xdr:col>14</xdr:col>
      <xdr:colOff>11206</xdr:colOff>
      <xdr:row>10</xdr:row>
      <xdr:rowOff>78441</xdr:rowOff>
    </xdr:to>
    <xdr:cxnSp macro="">
      <xdr:nvCxnSpPr>
        <xdr:cNvPr id="8" name="Прямая соединительная линия 7"/>
        <xdr:cNvCxnSpPr/>
      </xdr:nvCxnSpPr>
      <xdr:spPr>
        <a:xfrm flipH="1">
          <a:off x="10466294" y="1647265"/>
          <a:ext cx="11206" cy="52667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770282</xdr:colOff>
      <xdr:row>7</xdr:row>
      <xdr:rowOff>230841</xdr:rowOff>
    </xdr:from>
    <xdr:to>
      <xdr:col>15</xdr:col>
      <xdr:colOff>774571</xdr:colOff>
      <xdr:row>10</xdr:row>
      <xdr:rowOff>41413</xdr:rowOff>
    </xdr:to>
    <xdr:cxnSp macro="">
      <xdr:nvCxnSpPr>
        <xdr:cNvPr id="12" name="Прямая соединительная линия 11"/>
        <xdr:cNvCxnSpPr/>
      </xdr:nvCxnSpPr>
      <xdr:spPr>
        <a:xfrm flipH="1">
          <a:off x="12167152" y="1622319"/>
          <a:ext cx="4289" cy="54772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596153</xdr:colOff>
      <xdr:row>8</xdr:row>
      <xdr:rowOff>13448</xdr:rowOff>
    </xdr:from>
    <xdr:to>
      <xdr:col>17</xdr:col>
      <xdr:colOff>2241</xdr:colOff>
      <xdr:row>10</xdr:row>
      <xdr:rowOff>58271</xdr:rowOff>
    </xdr:to>
    <xdr:cxnSp macro="">
      <xdr:nvCxnSpPr>
        <xdr:cNvPr id="13" name="Прямая соединительная линия 12"/>
        <xdr:cNvCxnSpPr/>
      </xdr:nvCxnSpPr>
      <xdr:spPr>
        <a:xfrm flipH="1">
          <a:off x="12272682" y="1627095"/>
          <a:ext cx="11206" cy="52667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591671</xdr:colOff>
      <xdr:row>7</xdr:row>
      <xdr:rowOff>221876</xdr:rowOff>
    </xdr:from>
    <xdr:to>
      <xdr:col>19</xdr:col>
      <xdr:colOff>602877</xdr:colOff>
      <xdr:row>10</xdr:row>
      <xdr:rowOff>31376</xdr:rowOff>
    </xdr:to>
    <xdr:cxnSp macro="">
      <xdr:nvCxnSpPr>
        <xdr:cNvPr id="14" name="Прямая соединительная линия 13"/>
        <xdr:cNvCxnSpPr/>
      </xdr:nvCxnSpPr>
      <xdr:spPr>
        <a:xfrm flipH="1">
          <a:off x="14083553" y="1600200"/>
          <a:ext cx="11206" cy="52667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587188</xdr:colOff>
      <xdr:row>7</xdr:row>
      <xdr:rowOff>183776</xdr:rowOff>
    </xdr:from>
    <xdr:to>
      <xdr:col>21</xdr:col>
      <xdr:colOff>598394</xdr:colOff>
      <xdr:row>9</xdr:row>
      <xdr:rowOff>284629</xdr:rowOff>
    </xdr:to>
    <xdr:cxnSp macro="">
      <xdr:nvCxnSpPr>
        <xdr:cNvPr id="15" name="Прямая соединительная линия 14"/>
        <xdr:cNvCxnSpPr/>
      </xdr:nvCxnSpPr>
      <xdr:spPr>
        <a:xfrm flipH="1">
          <a:off x="15289306" y="1562100"/>
          <a:ext cx="11206" cy="52667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9</xdr:row>
      <xdr:rowOff>212912</xdr:rowOff>
    </xdr:from>
    <xdr:to>
      <xdr:col>16</xdr:col>
      <xdr:colOff>11206</xdr:colOff>
      <xdr:row>9</xdr:row>
      <xdr:rowOff>224118</xdr:rowOff>
    </xdr:to>
    <xdr:cxnSp macro="">
      <xdr:nvCxnSpPr>
        <xdr:cNvPr id="10" name="Прямая со стрелкой 9"/>
        <xdr:cNvCxnSpPr/>
      </xdr:nvCxnSpPr>
      <xdr:spPr>
        <a:xfrm>
          <a:off x="10466294" y="2017059"/>
          <a:ext cx="1221441" cy="1120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9</xdr:row>
      <xdr:rowOff>223631</xdr:rowOff>
    </xdr:from>
    <xdr:to>
      <xdr:col>17</xdr:col>
      <xdr:colOff>16565</xdr:colOff>
      <xdr:row>9</xdr:row>
      <xdr:rowOff>224118</xdr:rowOff>
    </xdr:to>
    <xdr:cxnSp macro="">
      <xdr:nvCxnSpPr>
        <xdr:cNvPr id="18" name="Прямая со стрелкой 17"/>
        <xdr:cNvCxnSpPr/>
      </xdr:nvCxnSpPr>
      <xdr:spPr>
        <a:xfrm flipV="1">
          <a:off x="11728174" y="2037522"/>
          <a:ext cx="629478" cy="487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588065</xdr:colOff>
      <xdr:row>9</xdr:row>
      <xdr:rowOff>223631</xdr:rowOff>
    </xdr:from>
    <xdr:to>
      <xdr:col>20</xdr:col>
      <xdr:colOff>8283</xdr:colOff>
      <xdr:row>9</xdr:row>
      <xdr:rowOff>231913</xdr:rowOff>
    </xdr:to>
    <xdr:cxnSp macro="">
      <xdr:nvCxnSpPr>
        <xdr:cNvPr id="20" name="Прямая со стрелкой 19"/>
        <xdr:cNvCxnSpPr/>
      </xdr:nvCxnSpPr>
      <xdr:spPr>
        <a:xfrm>
          <a:off x="12316239" y="2037522"/>
          <a:ext cx="1871870" cy="828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604630</xdr:colOff>
      <xdr:row>9</xdr:row>
      <xdr:rowOff>240196</xdr:rowOff>
    </xdr:from>
    <xdr:to>
      <xdr:col>21</xdr:col>
      <xdr:colOff>582706</xdr:colOff>
      <xdr:row>9</xdr:row>
      <xdr:rowOff>246529</xdr:rowOff>
    </xdr:to>
    <xdr:cxnSp macro="">
      <xdr:nvCxnSpPr>
        <xdr:cNvPr id="22" name="Прямая со стрелкой 21"/>
        <xdr:cNvCxnSpPr/>
      </xdr:nvCxnSpPr>
      <xdr:spPr>
        <a:xfrm>
          <a:off x="14171543" y="2054087"/>
          <a:ext cx="1203902" cy="63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33130</xdr:colOff>
      <xdr:row>73</xdr:row>
      <xdr:rowOff>19879</xdr:rowOff>
    </xdr:from>
    <xdr:to>
      <xdr:col>19</xdr:col>
      <xdr:colOff>314739</xdr:colOff>
      <xdr:row>84</xdr:row>
      <xdr:rowOff>120927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380999</xdr:colOff>
      <xdr:row>85</xdr:row>
      <xdr:rowOff>3313</xdr:rowOff>
    </xdr:from>
    <xdr:to>
      <xdr:col>27</xdr:col>
      <xdr:colOff>207065</xdr:colOff>
      <xdr:row>98</xdr:row>
      <xdr:rowOff>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480389</xdr:colOff>
      <xdr:row>301</xdr:row>
      <xdr:rowOff>24847</xdr:rowOff>
    </xdr:from>
    <xdr:to>
      <xdr:col>23</xdr:col>
      <xdr:colOff>132521</xdr:colOff>
      <xdr:row>324</xdr:row>
      <xdr:rowOff>91110</xdr:rowOff>
    </xdr:to>
    <xdr:graphicFrame macro="">
      <xdr:nvGraphicFramePr>
        <xdr:cNvPr id="21" name="Диаграмма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V500"/>
  <sheetViews>
    <sheetView tabSelected="1" topLeftCell="A275" zoomScale="115" zoomScaleNormal="115" workbookViewId="0">
      <selection activeCell="M298" sqref="M298"/>
    </sheetView>
  </sheetViews>
  <sheetFormatPr defaultRowHeight="15"/>
  <cols>
    <col min="2" max="2" width="16.42578125" bestFit="1" customWidth="1"/>
    <col min="3" max="3" width="11.7109375" bestFit="1" customWidth="1"/>
    <col min="4" max="4" width="13.42578125" customWidth="1"/>
    <col min="5" max="8" width="12.85546875" bestFit="1" customWidth="1"/>
    <col min="15" max="15" width="13.42578125" bestFit="1" customWidth="1"/>
    <col min="16" max="16" width="11.7109375" bestFit="1" customWidth="1"/>
  </cols>
  <sheetData>
    <row r="1" spans="1:22" ht="18.75">
      <c r="C1" s="1" t="s">
        <v>0</v>
      </c>
    </row>
    <row r="2" spans="1:22">
      <c r="C2" s="46" t="s">
        <v>1</v>
      </c>
      <c r="D2" s="46"/>
      <c r="J2" t="s">
        <v>2</v>
      </c>
    </row>
    <row r="3" spans="1:22">
      <c r="C3" s="46" t="s">
        <v>3</v>
      </c>
      <c r="D3" s="46"/>
      <c r="E3" s="2" t="s">
        <v>4</v>
      </c>
      <c r="M3" t="s">
        <v>19</v>
      </c>
    </row>
    <row r="4" spans="1:22">
      <c r="C4" s="47" t="s">
        <v>5</v>
      </c>
      <c r="D4" s="47"/>
      <c r="E4" s="2" t="s">
        <v>6</v>
      </c>
    </row>
    <row r="5" spans="1:22">
      <c r="C5" s="46" t="s">
        <v>7</v>
      </c>
      <c r="D5" s="46"/>
      <c r="E5" s="3">
        <v>0.8</v>
      </c>
      <c r="F5" s="2" t="s">
        <v>8</v>
      </c>
    </row>
    <row r="6" spans="1:22">
      <c r="M6" t="s">
        <v>20</v>
      </c>
    </row>
    <row r="7" spans="1:22" ht="15.75" thickBot="1">
      <c r="S7" s="16" t="s">
        <v>34</v>
      </c>
    </row>
    <row r="8" spans="1:22" ht="19.5" thickBot="1">
      <c r="C8" s="1" t="s">
        <v>9</v>
      </c>
      <c r="O8" s="30"/>
      <c r="P8" s="31"/>
      <c r="Q8" s="32"/>
      <c r="R8" s="33"/>
      <c r="S8" s="34"/>
      <c r="T8" s="35"/>
      <c r="U8" s="36"/>
      <c r="V8" s="37"/>
    </row>
    <row r="10" spans="1:22" ht="23.25">
      <c r="C10" s="7" t="s">
        <v>10</v>
      </c>
      <c r="I10" s="15" t="s">
        <v>30</v>
      </c>
      <c r="J10" s="24" t="s">
        <v>31</v>
      </c>
      <c r="L10" s="15" t="s">
        <v>32</v>
      </c>
      <c r="M10" s="15" t="s">
        <v>33</v>
      </c>
      <c r="O10" s="17" t="s">
        <v>35</v>
      </c>
      <c r="Q10" s="18" t="s">
        <v>36</v>
      </c>
      <c r="S10" s="18" t="s">
        <v>37</v>
      </c>
      <c r="U10" s="17" t="s">
        <v>38</v>
      </c>
    </row>
    <row r="11" spans="1:22" ht="20.25">
      <c r="C11" s="4" t="s">
        <v>11</v>
      </c>
      <c r="D11" s="2" t="s">
        <v>12</v>
      </c>
    </row>
    <row r="12" spans="1:22" ht="18.75">
      <c r="C12" s="5" t="s">
        <v>13</v>
      </c>
      <c r="D12" s="2" t="s">
        <v>14</v>
      </c>
    </row>
    <row r="13" spans="1:22" ht="18.75">
      <c r="C13" s="4" t="s">
        <v>15</v>
      </c>
      <c r="D13" s="2" t="s">
        <v>16</v>
      </c>
    </row>
    <row r="14" spans="1:22" ht="20.25">
      <c r="C14" s="11" t="s">
        <v>17</v>
      </c>
      <c r="D14" s="2" t="s">
        <v>18</v>
      </c>
    </row>
    <row r="15" spans="1:22">
      <c r="A15" s="9">
        <v>1</v>
      </c>
      <c r="B15" s="9">
        <v>2</v>
      </c>
      <c r="C15" s="9">
        <v>3</v>
      </c>
      <c r="D15" s="9">
        <v>4</v>
      </c>
      <c r="E15" s="9">
        <v>5</v>
      </c>
      <c r="F15" s="9">
        <v>6</v>
      </c>
      <c r="G15" s="9">
        <v>7</v>
      </c>
      <c r="H15" s="9">
        <v>8</v>
      </c>
    </row>
    <row r="16" spans="1:22" ht="20.25">
      <c r="A16" s="4" t="s">
        <v>21</v>
      </c>
      <c r="B16" s="4" t="s">
        <v>22</v>
      </c>
      <c r="C16" s="4" t="s">
        <v>23</v>
      </c>
      <c r="D16" s="4" t="s">
        <v>24</v>
      </c>
      <c r="E16" s="4" t="s">
        <v>11</v>
      </c>
      <c r="F16" s="5" t="s">
        <v>13</v>
      </c>
      <c r="G16" s="4" t="s">
        <v>15</v>
      </c>
      <c r="H16" s="4" t="s">
        <v>17</v>
      </c>
    </row>
    <row r="17" spans="1:8" ht="18.75">
      <c r="A17" s="6">
        <v>1</v>
      </c>
      <c r="B17" s="3">
        <f t="shared" ref="B17:D18" ca="1" si="0">RAND()</f>
        <v>0.13678869147599082</v>
      </c>
      <c r="C17" s="3">
        <f t="shared" ca="1" si="0"/>
        <v>0.3967037598355736</v>
      </c>
      <c r="D17" s="3">
        <f t="shared" ca="1" si="0"/>
        <v>0.12075960527154539</v>
      </c>
      <c r="E17" s="3">
        <f ca="1">1+B17*(5-1)</f>
        <v>1.5471547659039633</v>
      </c>
      <c r="F17" s="14">
        <f ca="1">-PI()+C17*2*PI()</f>
        <v>-0.64902941848801765</v>
      </c>
      <c r="G17" s="14">
        <f ca="1">$E$5*SQRT(2*LN(1/(1-D17)))</f>
        <v>0.40587199097974475</v>
      </c>
      <c r="H17" s="14">
        <v>0</v>
      </c>
    </row>
    <row r="18" spans="1:8" ht="18.75">
      <c r="A18" s="6">
        <v>2</v>
      </c>
      <c r="B18" s="3">
        <f t="shared" ca="1" si="0"/>
        <v>0.89915885812736107</v>
      </c>
      <c r="C18" s="3">
        <f t="shared" ca="1" si="0"/>
        <v>0.49905757101506243</v>
      </c>
      <c r="D18" s="3">
        <f t="shared" ca="1" si="0"/>
        <v>0.33049264789989685</v>
      </c>
      <c r="E18" s="3">
        <f ca="1">1+B18*(5-1)</f>
        <v>4.5966354325094443</v>
      </c>
      <c r="F18" s="14">
        <f ca="1">-PI()+C18*2*PI()</f>
        <v>-5.921455951219734E-3</v>
      </c>
      <c r="G18" s="14">
        <f ca="1">$E$5*SQRT(2*LN(1/(1-D18)))</f>
        <v>0.71662598997900617</v>
      </c>
      <c r="H18" s="14">
        <f ca="1">H17+E17</f>
        <v>1.5471547659039633</v>
      </c>
    </row>
    <row r="19" spans="1:8" ht="18.75">
      <c r="A19" s="6">
        <v>3</v>
      </c>
      <c r="B19" s="3">
        <f t="shared" ref="B19:D66" ca="1" si="1">RAND()</f>
        <v>9.699755718352332E-2</v>
      </c>
      <c r="C19" s="3">
        <f t="shared" ca="1" si="1"/>
        <v>0.10756928927600162</v>
      </c>
      <c r="D19" s="3">
        <f t="shared" ca="1" si="1"/>
        <v>0.51285284470153436</v>
      </c>
      <c r="E19" s="3">
        <f t="shared" ref="E19:E66" ca="1" si="2">1+B19*(5-1)</f>
        <v>1.3879902287340933</v>
      </c>
      <c r="F19" s="14">
        <f t="shared" ref="F19:F66" ca="1" si="3">-PI()+C19*2*PI()</f>
        <v>-2.4657148757070688</v>
      </c>
      <c r="G19" s="14">
        <f t="shared" ref="G19:G66" ca="1" si="4">$E$5*SQRT(2*LN(1/(1-D19)))</f>
        <v>0.95945920408061935</v>
      </c>
      <c r="H19" s="14">
        <f t="shared" ref="H19:H67" ca="1" si="5">H18+E18</f>
        <v>6.1437901984134076</v>
      </c>
    </row>
    <row r="20" spans="1:8" ht="18.75">
      <c r="A20" s="6">
        <v>4</v>
      </c>
      <c r="B20" s="3">
        <f t="shared" ca="1" si="1"/>
        <v>0.57191209114382002</v>
      </c>
      <c r="C20" s="3">
        <f t="shared" ca="1" si="1"/>
        <v>0.52407504891979961</v>
      </c>
      <c r="D20" s="3">
        <f t="shared" ca="1" si="1"/>
        <v>0.12540064569813469</v>
      </c>
      <c r="E20" s="3">
        <f t="shared" ca="1" si="2"/>
        <v>3.2876483645752801</v>
      </c>
      <c r="F20" s="3">
        <f t="shared" ca="1" si="3"/>
        <v>0.15126799364251475</v>
      </c>
      <c r="G20" s="3">
        <f t="shared" ca="1" si="4"/>
        <v>0.41413331694120076</v>
      </c>
      <c r="H20" s="3">
        <f t="shared" ca="1" si="5"/>
        <v>7.5317804271475008</v>
      </c>
    </row>
    <row r="21" spans="1:8" ht="18.75">
      <c r="A21" s="6">
        <v>5</v>
      </c>
      <c r="B21" s="3">
        <f t="shared" ca="1" si="1"/>
        <v>9.7970102989764385E-2</v>
      </c>
      <c r="C21" s="3">
        <f t="shared" ca="1" si="1"/>
        <v>0.24536494753595672</v>
      </c>
      <c r="D21" s="3">
        <f t="shared" ca="1" si="1"/>
        <v>0.70081273515044717</v>
      </c>
      <c r="E21" s="3">
        <f t="shared" ca="1" si="2"/>
        <v>1.3918804119590575</v>
      </c>
      <c r="F21" s="3">
        <f t="shared" ca="1" si="3"/>
        <v>-1.5999192203349799</v>
      </c>
      <c r="G21" s="3">
        <f t="shared" ca="1" si="4"/>
        <v>1.2428023033352036</v>
      </c>
      <c r="H21" s="3">
        <f t="shared" ca="1" si="5"/>
        <v>10.819428791722782</v>
      </c>
    </row>
    <row r="22" spans="1:8" ht="18.75">
      <c r="A22" s="6">
        <v>6</v>
      </c>
      <c r="B22" s="3">
        <f t="shared" ca="1" si="1"/>
        <v>0.78716246036572013</v>
      </c>
      <c r="C22" s="3">
        <f t="shared" ca="1" si="1"/>
        <v>8.0954583167323735E-2</v>
      </c>
      <c r="D22" s="3">
        <f t="shared" ca="1" si="1"/>
        <v>0.29601497007729627</v>
      </c>
      <c r="E22" s="3">
        <f t="shared" ca="1" si="2"/>
        <v>4.1486498414628805</v>
      </c>
      <c r="F22" s="3">
        <f t="shared" ca="1" si="3"/>
        <v>-2.6329400060840169</v>
      </c>
      <c r="G22" s="3">
        <f t="shared" ca="1" si="4"/>
        <v>0.67028179135837462</v>
      </c>
      <c r="H22" s="3">
        <f t="shared" ca="1" si="5"/>
        <v>12.211309203681839</v>
      </c>
    </row>
    <row r="23" spans="1:8" ht="18.75">
      <c r="A23" s="6">
        <v>7</v>
      </c>
      <c r="B23" s="3">
        <f t="shared" ca="1" si="1"/>
        <v>0.3554674736686847</v>
      </c>
      <c r="C23" s="3">
        <f t="shared" ca="1" si="1"/>
        <v>0.66642729881532681</v>
      </c>
      <c r="D23" s="3">
        <f t="shared" ca="1" si="1"/>
        <v>2.6068246203468259E-2</v>
      </c>
      <c r="E23" s="3">
        <f t="shared" ca="1" si="2"/>
        <v>2.4218698946747388</v>
      </c>
      <c r="F23" s="3">
        <f t="shared" ca="1" si="3"/>
        <v>1.045693558630048</v>
      </c>
      <c r="G23" s="3">
        <f t="shared" ca="1" si="4"/>
        <v>0.18387489926424111</v>
      </c>
      <c r="H23" s="3">
        <f t="shared" ca="1" si="5"/>
        <v>16.35995904514472</v>
      </c>
    </row>
    <row r="24" spans="1:8" ht="18.75">
      <c r="A24" s="6">
        <v>8</v>
      </c>
      <c r="B24" s="3">
        <f t="shared" ca="1" si="1"/>
        <v>0.99236309642851706</v>
      </c>
      <c r="C24" s="3">
        <f t="shared" ca="1" si="1"/>
        <v>0.55759312762089941</v>
      </c>
      <c r="D24" s="3">
        <f t="shared" ca="1" si="1"/>
        <v>0.47509444565427916</v>
      </c>
      <c r="E24" s="3">
        <f t="shared" ca="1" si="2"/>
        <v>4.9694523857140682</v>
      </c>
      <c r="F24" s="3">
        <f t="shared" ca="1" si="3"/>
        <v>0.36186829326215397</v>
      </c>
      <c r="G24" s="3">
        <f t="shared" ca="1" si="4"/>
        <v>0.90829910778028133</v>
      </c>
      <c r="H24" s="3">
        <f t="shared" ca="1" si="5"/>
        <v>18.781828939819459</v>
      </c>
    </row>
    <row r="25" spans="1:8" ht="18.75">
      <c r="A25" s="6">
        <v>9</v>
      </c>
      <c r="B25" s="3">
        <f t="shared" ca="1" si="1"/>
        <v>0.35154630405784171</v>
      </c>
      <c r="C25" s="3">
        <f t="shared" ca="1" si="1"/>
        <v>0.126378548618308</v>
      </c>
      <c r="D25" s="3">
        <f t="shared" ca="1" si="1"/>
        <v>2.714747689647834E-2</v>
      </c>
      <c r="E25" s="3">
        <f t="shared" ca="1" si="2"/>
        <v>2.4061852162313668</v>
      </c>
      <c r="F25" s="3">
        <f t="shared" ca="1" si="3"/>
        <v>-2.3475328137685594</v>
      </c>
      <c r="G25" s="3">
        <f t="shared" ca="1" si="4"/>
        <v>0.18769431335221318</v>
      </c>
      <c r="H25" s="3">
        <f t="shared" ca="1" si="5"/>
        <v>23.751281325533526</v>
      </c>
    </row>
    <row r="26" spans="1:8" ht="18.75">
      <c r="A26" s="6">
        <v>10</v>
      </c>
      <c r="B26" s="3">
        <f t="shared" ca="1" si="1"/>
        <v>0.43976108655178336</v>
      </c>
      <c r="C26" s="3">
        <f t="shared" ca="1" si="1"/>
        <v>7.8355694488565497E-2</v>
      </c>
      <c r="D26" s="3">
        <f t="shared" ca="1" si="1"/>
        <v>0.12803738496672601</v>
      </c>
      <c r="E26" s="3">
        <f t="shared" ca="1" si="2"/>
        <v>2.7590443462071335</v>
      </c>
      <c r="F26" s="3">
        <f t="shared" ca="1" si="3"/>
        <v>-2.6492693052453857</v>
      </c>
      <c r="G26" s="3">
        <f t="shared" ca="1" si="4"/>
        <v>0.41877341449215094</v>
      </c>
      <c r="H26" s="3">
        <f t="shared" ca="1" si="5"/>
        <v>26.157466541764894</v>
      </c>
    </row>
    <row r="27" spans="1:8" ht="18.75">
      <c r="A27" s="6">
        <v>11</v>
      </c>
      <c r="B27" s="3">
        <f t="shared" ca="1" si="1"/>
        <v>0.63210557145749702</v>
      </c>
      <c r="C27" s="3">
        <f t="shared" ca="1" si="1"/>
        <v>0.22054159387583905</v>
      </c>
      <c r="D27" s="3">
        <f t="shared" ca="1" si="1"/>
        <v>0.11642248964216173</v>
      </c>
      <c r="E27" s="3">
        <f t="shared" ca="1" si="2"/>
        <v>3.5284222858299881</v>
      </c>
      <c r="F27" s="3">
        <f t="shared" ca="1" si="3"/>
        <v>-1.7558889513271538</v>
      </c>
      <c r="G27" s="3">
        <f t="shared" ca="1" si="4"/>
        <v>0.39803720034973822</v>
      </c>
      <c r="H27" s="3">
        <f t="shared" ca="1" si="5"/>
        <v>28.916510887972027</v>
      </c>
    </row>
    <row r="28" spans="1:8" ht="18.75">
      <c r="A28" s="6">
        <v>12</v>
      </c>
      <c r="B28" s="3">
        <f t="shared" ca="1" si="1"/>
        <v>0.58088479931949633</v>
      </c>
      <c r="C28" s="3">
        <f t="shared" ca="1" si="1"/>
        <v>0.62170482308539521</v>
      </c>
      <c r="D28" s="3">
        <f t="shared" ca="1" si="1"/>
        <v>3.1269333540766553E-3</v>
      </c>
      <c r="E28" s="3">
        <f t="shared" ca="1" si="2"/>
        <v>3.3235391972779853</v>
      </c>
      <c r="F28" s="3">
        <f t="shared" ca="1" si="3"/>
        <v>0.76469395622304592</v>
      </c>
      <c r="G28" s="3">
        <f t="shared" ca="1" si="4"/>
        <v>6.3314654738944376E-2</v>
      </c>
      <c r="H28" s="3">
        <f t="shared" ca="1" si="5"/>
        <v>32.444933173802013</v>
      </c>
    </row>
    <row r="29" spans="1:8" ht="18.75">
      <c r="A29" s="6">
        <v>13</v>
      </c>
      <c r="B29" s="3">
        <f t="shared" ca="1" si="1"/>
        <v>0.10715933129436372</v>
      </c>
      <c r="C29" s="3">
        <f t="shared" ca="1" si="1"/>
        <v>0.78241572376422708</v>
      </c>
      <c r="D29" s="3">
        <f t="shared" ca="1" si="1"/>
        <v>0.98454408998566256</v>
      </c>
      <c r="E29" s="3">
        <f t="shared" ca="1" si="2"/>
        <v>1.4286373251774549</v>
      </c>
      <c r="F29" s="3">
        <f t="shared" ca="1" si="3"/>
        <v>1.7744703260718806</v>
      </c>
      <c r="G29" s="3">
        <f t="shared" ca="1" si="4"/>
        <v>2.3102592266206421</v>
      </c>
      <c r="H29" s="3">
        <f t="shared" ca="1" si="5"/>
        <v>35.768472371080001</v>
      </c>
    </row>
    <row r="30" spans="1:8" ht="18.75">
      <c r="A30" s="6">
        <v>14</v>
      </c>
      <c r="B30" s="3">
        <f t="shared" ca="1" si="1"/>
        <v>0.27545099959406105</v>
      </c>
      <c r="C30" s="3">
        <f t="shared" ca="1" si="1"/>
        <v>0.98744418184596316</v>
      </c>
      <c r="D30" s="3">
        <f t="shared" ca="1" si="1"/>
        <v>0.2992500259130968</v>
      </c>
      <c r="E30" s="3">
        <f t="shared" ca="1" si="2"/>
        <v>2.1018039983762442</v>
      </c>
      <c r="F30" s="3">
        <f t="shared" ca="1" si="3"/>
        <v>3.0627021214447305</v>
      </c>
      <c r="G30" s="3">
        <f t="shared" ca="1" si="4"/>
        <v>0.67466531048580047</v>
      </c>
      <c r="H30" s="3">
        <f t="shared" ca="1" si="5"/>
        <v>37.197109696257456</v>
      </c>
    </row>
    <row r="31" spans="1:8" ht="18.75">
      <c r="A31" s="6">
        <v>15</v>
      </c>
      <c r="B31" s="3">
        <f t="shared" ca="1" si="1"/>
        <v>0.16908887359502822</v>
      </c>
      <c r="C31" s="3">
        <f t="shared" ca="1" si="1"/>
        <v>0.53243220025288807</v>
      </c>
      <c r="D31" s="3">
        <f t="shared" ca="1" si="1"/>
        <v>0.19721504827093761</v>
      </c>
      <c r="E31" s="3">
        <f t="shared" ca="1" si="2"/>
        <v>1.6763554943801129</v>
      </c>
      <c r="F31" s="3">
        <f t="shared" ca="1" si="3"/>
        <v>0.20377752410845229</v>
      </c>
      <c r="G31" s="3">
        <f t="shared" ca="1" si="4"/>
        <v>0.53025989940661922</v>
      </c>
      <c r="H31" s="3">
        <f t="shared" ca="1" si="5"/>
        <v>39.298913694633697</v>
      </c>
    </row>
    <row r="32" spans="1:8" ht="18.75">
      <c r="A32" s="6">
        <v>16</v>
      </c>
      <c r="B32" s="3">
        <f t="shared" ca="1" si="1"/>
        <v>6.991174797493116E-3</v>
      </c>
      <c r="C32" s="3">
        <f t="shared" ca="1" si="1"/>
        <v>0.81465707992882797</v>
      </c>
      <c r="D32" s="3">
        <f t="shared" ca="1" si="1"/>
        <v>0.30751687375155878</v>
      </c>
      <c r="E32" s="3">
        <f t="shared" ca="1" si="2"/>
        <v>1.0279646991899725</v>
      </c>
      <c r="F32" s="3">
        <f t="shared" ca="1" si="3"/>
        <v>1.9770487414088445</v>
      </c>
      <c r="G32" s="3">
        <f t="shared" ca="1" si="4"/>
        <v>0.68583044682090666</v>
      </c>
      <c r="H32" s="3">
        <f t="shared" ca="1" si="5"/>
        <v>40.975269189013808</v>
      </c>
    </row>
    <row r="33" spans="1:8" ht="18.75">
      <c r="A33" s="6">
        <v>17</v>
      </c>
      <c r="B33" s="3">
        <f t="shared" ca="1" si="1"/>
        <v>0.83051790116713953</v>
      </c>
      <c r="C33" s="3">
        <f t="shared" ca="1" si="1"/>
        <v>0.19433217927310942</v>
      </c>
      <c r="D33" s="3">
        <f t="shared" ca="1" si="1"/>
        <v>0.24831042960304872</v>
      </c>
      <c r="E33" s="3">
        <f t="shared" ca="1" si="2"/>
        <v>4.3220716046685581</v>
      </c>
      <c r="F33" s="3">
        <f t="shared" ca="1" si="3"/>
        <v>-1.9205675600688028</v>
      </c>
      <c r="G33" s="3">
        <f t="shared" ca="1" si="4"/>
        <v>0.60444417636894654</v>
      </c>
      <c r="H33" s="3">
        <f t="shared" ca="1" si="5"/>
        <v>42.003233888203781</v>
      </c>
    </row>
    <row r="34" spans="1:8" ht="18.75">
      <c r="A34" s="6">
        <v>18</v>
      </c>
      <c r="B34" s="3">
        <f t="shared" ca="1" si="1"/>
        <v>0.28929885405858435</v>
      </c>
      <c r="C34" s="3">
        <f t="shared" ca="1" si="1"/>
        <v>0.88232466422156475</v>
      </c>
      <c r="D34" s="3">
        <f t="shared" ca="1" si="1"/>
        <v>0.30022086471451903</v>
      </c>
      <c r="E34" s="3">
        <f t="shared" ca="1" si="2"/>
        <v>2.1571954162343374</v>
      </c>
      <c r="F34" s="3">
        <f t="shared" ca="1" si="3"/>
        <v>2.4022167128093042</v>
      </c>
      <c r="G34" s="3">
        <f t="shared" ca="1" si="4"/>
        <v>0.67597918523855538</v>
      </c>
      <c r="H34" s="3">
        <f t="shared" ca="1" si="5"/>
        <v>46.325305492872339</v>
      </c>
    </row>
    <row r="35" spans="1:8" ht="18.75">
      <c r="A35" s="6">
        <v>19</v>
      </c>
      <c r="B35" s="3">
        <f t="shared" ca="1" si="1"/>
        <v>0.6130123569311059</v>
      </c>
      <c r="C35" s="3">
        <f t="shared" ca="1" si="1"/>
        <v>0.50145031007448293</v>
      </c>
      <c r="D35" s="3">
        <f t="shared" ca="1" si="1"/>
        <v>1.8132337746706195E-2</v>
      </c>
      <c r="E35" s="3">
        <f t="shared" ca="1" si="2"/>
        <v>3.4520494277244236</v>
      </c>
      <c r="F35" s="3">
        <f t="shared" ca="1" si="3"/>
        <v>9.1125669508458351E-3</v>
      </c>
      <c r="G35" s="3">
        <f t="shared" ca="1" si="4"/>
        <v>0.15304375614252508</v>
      </c>
      <c r="H35" s="3">
        <f t="shared" ca="1" si="5"/>
        <v>48.482500909106676</v>
      </c>
    </row>
    <row r="36" spans="1:8" ht="18.75">
      <c r="A36" s="6">
        <v>20</v>
      </c>
      <c r="B36" s="3">
        <f t="shared" ca="1" si="1"/>
        <v>0.15681881542730025</v>
      </c>
      <c r="C36" s="3">
        <f t="shared" ca="1" si="1"/>
        <v>0.98793003993948014</v>
      </c>
      <c r="D36" s="3">
        <f t="shared" ca="1" si="1"/>
        <v>0.24930559022408172</v>
      </c>
      <c r="E36" s="3">
        <f t="shared" ca="1" si="2"/>
        <v>1.627275261709201</v>
      </c>
      <c r="F36" s="3">
        <f t="shared" ca="1" si="3"/>
        <v>3.0657548578792904</v>
      </c>
      <c r="G36" s="3">
        <f t="shared" ca="1" si="4"/>
        <v>0.60584525666572475</v>
      </c>
      <c r="H36" s="3">
        <f t="shared" ca="1" si="5"/>
        <v>51.934550336831101</v>
      </c>
    </row>
    <row r="37" spans="1:8" ht="18.75">
      <c r="A37" s="6">
        <v>21</v>
      </c>
      <c r="B37" s="3">
        <f t="shared" ca="1" si="1"/>
        <v>0.77778868765920084</v>
      </c>
      <c r="C37" s="3">
        <f t="shared" ca="1" si="1"/>
        <v>0.49208841756434918</v>
      </c>
      <c r="D37" s="3">
        <f t="shared" ca="1" si="1"/>
        <v>0.16194670199434125</v>
      </c>
      <c r="E37" s="3">
        <f t="shared" ca="1" si="2"/>
        <v>4.1111547506368034</v>
      </c>
      <c r="F37" s="3">
        <f t="shared" ca="1" si="3"/>
        <v>-4.9709938516221186E-2</v>
      </c>
      <c r="G37" s="3">
        <f t="shared" ca="1" si="4"/>
        <v>0.47554408967757339</v>
      </c>
      <c r="H37" s="3">
        <f t="shared" ca="1" si="5"/>
        <v>53.561825598540302</v>
      </c>
    </row>
    <row r="38" spans="1:8" ht="18.75">
      <c r="A38" s="6">
        <v>22</v>
      </c>
      <c r="B38" s="3">
        <f t="shared" ca="1" si="1"/>
        <v>0.11840504327175538</v>
      </c>
      <c r="C38" s="3">
        <f t="shared" ca="1" si="1"/>
        <v>0.74753448078782392</v>
      </c>
      <c r="D38" s="3">
        <f t="shared" ca="1" si="1"/>
        <v>0.53542620465124546</v>
      </c>
      <c r="E38" s="3">
        <f t="shared" ca="1" si="2"/>
        <v>1.4736201730870215</v>
      </c>
      <c r="F38" s="3">
        <f t="shared" ca="1" si="3"/>
        <v>1.5553050127063832</v>
      </c>
      <c r="G38" s="3">
        <f t="shared" ca="1" si="4"/>
        <v>0.99060215245061478</v>
      </c>
      <c r="H38" s="3">
        <f t="shared" ca="1" si="5"/>
        <v>57.672980349177109</v>
      </c>
    </row>
    <row r="39" spans="1:8" ht="18.75">
      <c r="A39" s="6">
        <v>23</v>
      </c>
      <c r="B39" s="3">
        <f t="shared" ca="1" si="1"/>
        <v>5.6889237166197981E-2</v>
      </c>
      <c r="C39" s="3">
        <f t="shared" ca="1" si="1"/>
        <v>0.75841273338940818</v>
      </c>
      <c r="D39" s="3">
        <f t="shared" ca="1" si="1"/>
        <v>0.91931615093032626</v>
      </c>
      <c r="E39" s="3">
        <f t="shared" ca="1" si="2"/>
        <v>1.2275569486647919</v>
      </c>
      <c r="F39" s="3">
        <f t="shared" ca="1" si="3"/>
        <v>1.6236550896204456</v>
      </c>
      <c r="G39" s="3">
        <f t="shared" ca="1" si="4"/>
        <v>1.7950035041053078</v>
      </c>
      <c r="H39" s="3">
        <f t="shared" ca="1" si="5"/>
        <v>59.14660052226413</v>
      </c>
    </row>
    <row r="40" spans="1:8" ht="18.75">
      <c r="A40" s="6">
        <v>24</v>
      </c>
      <c r="B40" s="3">
        <f t="shared" ca="1" si="1"/>
        <v>0.77353614602549237</v>
      </c>
      <c r="C40" s="3">
        <f t="shared" ca="1" si="1"/>
        <v>5.6205363429153721E-2</v>
      </c>
      <c r="D40" s="3">
        <f t="shared" ca="1" si="1"/>
        <v>0.93393233869037484</v>
      </c>
      <c r="E40" s="3">
        <f t="shared" ca="1" si="2"/>
        <v>4.0941445841019695</v>
      </c>
      <c r="F40" s="3">
        <f t="shared" ca="1" si="3"/>
        <v>-2.7884439399070455</v>
      </c>
      <c r="G40" s="3">
        <f t="shared" ca="1" si="4"/>
        <v>1.8649013754433814</v>
      </c>
      <c r="H40" s="3">
        <f t="shared" ca="1" si="5"/>
        <v>60.374157470928921</v>
      </c>
    </row>
    <row r="41" spans="1:8" ht="18.75">
      <c r="A41" s="6">
        <v>25</v>
      </c>
      <c r="B41" s="3">
        <f t="shared" ca="1" si="1"/>
        <v>0.71453981211909312</v>
      </c>
      <c r="C41" s="3">
        <f t="shared" ca="1" si="1"/>
        <v>0.75669345150456957</v>
      </c>
      <c r="D41" s="3">
        <f t="shared" ca="1" si="1"/>
        <v>0.36875125039473655</v>
      </c>
      <c r="E41" s="3">
        <f t="shared" ca="1" si="2"/>
        <v>3.8581592484763725</v>
      </c>
      <c r="F41" s="3">
        <f t="shared" ca="1" si="3"/>
        <v>1.6128525229427275</v>
      </c>
      <c r="G41" s="3">
        <f t="shared" ca="1" si="4"/>
        <v>0.76737914839985022</v>
      </c>
      <c r="H41" s="3">
        <f t="shared" ca="1" si="5"/>
        <v>64.46830205503089</v>
      </c>
    </row>
    <row r="42" spans="1:8" ht="18.75">
      <c r="A42" s="6">
        <v>26</v>
      </c>
      <c r="B42" s="3">
        <f t="shared" ca="1" si="1"/>
        <v>0.42593128264786451</v>
      </c>
      <c r="C42" s="3">
        <f t="shared" ca="1" si="1"/>
        <v>0.91210930792831157</v>
      </c>
      <c r="D42" s="3">
        <f t="shared" ca="1" si="1"/>
        <v>0.85859085811449942</v>
      </c>
      <c r="E42" s="3">
        <f t="shared" ca="1" si="2"/>
        <v>2.703725130591458</v>
      </c>
      <c r="F42" s="3">
        <f t="shared" ca="1" si="3"/>
        <v>2.589359148527115</v>
      </c>
      <c r="G42" s="3">
        <f t="shared" ca="1" si="4"/>
        <v>1.5823417077044635</v>
      </c>
      <c r="H42" s="3">
        <f t="shared" ca="1" si="5"/>
        <v>68.326461303507259</v>
      </c>
    </row>
    <row r="43" spans="1:8" ht="18.75">
      <c r="A43" s="6">
        <v>27</v>
      </c>
      <c r="B43" s="3">
        <f t="shared" ca="1" si="1"/>
        <v>0.17060793907427851</v>
      </c>
      <c r="C43" s="3">
        <f t="shared" ca="1" si="1"/>
        <v>0.71010865767421993</v>
      </c>
      <c r="D43" s="3">
        <f t="shared" ca="1" si="1"/>
        <v>0.76364111232939713</v>
      </c>
      <c r="E43" s="3">
        <f t="shared" ca="1" si="2"/>
        <v>1.6824317562971141</v>
      </c>
      <c r="F43" s="3">
        <f t="shared" ca="1" si="3"/>
        <v>1.3201516308098844</v>
      </c>
      <c r="G43" s="3">
        <f t="shared" ca="1" si="4"/>
        <v>1.3587777654216753</v>
      </c>
      <c r="H43" s="3">
        <f t="shared" ca="1" si="5"/>
        <v>71.030186434098709</v>
      </c>
    </row>
    <row r="44" spans="1:8" ht="18.75">
      <c r="A44" s="6">
        <v>28</v>
      </c>
      <c r="B44" s="3">
        <f t="shared" ca="1" si="1"/>
        <v>0.50865580634617702</v>
      </c>
      <c r="C44" s="3">
        <f t="shared" ca="1" si="1"/>
        <v>0.3677960325110452</v>
      </c>
      <c r="D44" s="3">
        <f t="shared" ca="1" si="1"/>
        <v>0.44306112972956435</v>
      </c>
      <c r="E44" s="3">
        <f t="shared" ca="1" si="2"/>
        <v>3.0346232253847081</v>
      </c>
      <c r="F44" s="3">
        <f t="shared" ca="1" si="3"/>
        <v>-0.83066202607744843</v>
      </c>
      <c r="G44" s="3">
        <f t="shared" ca="1" si="4"/>
        <v>0.8655540048745497</v>
      </c>
      <c r="H44" s="3">
        <f t="shared" ca="1" si="5"/>
        <v>72.71261819039583</v>
      </c>
    </row>
    <row r="45" spans="1:8" ht="18.75">
      <c r="A45" s="6">
        <v>29</v>
      </c>
      <c r="B45" s="3">
        <f t="shared" ca="1" si="1"/>
        <v>0.50473991476000624</v>
      </c>
      <c r="C45" s="3">
        <f t="shared" ca="1" si="1"/>
        <v>0.67100366400870248</v>
      </c>
      <c r="D45" s="3">
        <f t="shared" ca="1" si="1"/>
        <v>0.32471694748050473</v>
      </c>
      <c r="E45" s="3">
        <f t="shared" ca="1" si="2"/>
        <v>3.0189596590400249</v>
      </c>
      <c r="F45" s="3">
        <f t="shared" ca="1" si="3"/>
        <v>1.074447709173354</v>
      </c>
      <c r="G45" s="3">
        <f t="shared" ca="1" si="4"/>
        <v>0.70891316382499026</v>
      </c>
      <c r="H45" s="3">
        <f t="shared" ca="1" si="5"/>
        <v>75.747241415780536</v>
      </c>
    </row>
    <row r="46" spans="1:8" ht="18.75">
      <c r="A46" s="6">
        <v>30</v>
      </c>
      <c r="B46" s="3">
        <f t="shared" ca="1" si="1"/>
        <v>0.52838908598958945</v>
      </c>
      <c r="C46" s="3">
        <f t="shared" ca="1" si="1"/>
        <v>0.78950345697272106</v>
      </c>
      <c r="D46" s="3">
        <f t="shared" ca="1" si="1"/>
        <v>0.2879275305268072</v>
      </c>
      <c r="E46" s="3">
        <f t="shared" ca="1" si="2"/>
        <v>3.1135563439583578</v>
      </c>
      <c r="F46" s="3">
        <f t="shared" ca="1" si="3"/>
        <v>1.8190038672286981</v>
      </c>
      <c r="G46" s="3">
        <f t="shared" ca="1" si="4"/>
        <v>0.6592850331386364</v>
      </c>
      <c r="H46" s="3">
        <f t="shared" ca="1" si="5"/>
        <v>78.766201074820557</v>
      </c>
    </row>
    <row r="47" spans="1:8" ht="18.75">
      <c r="A47" s="6">
        <v>31</v>
      </c>
      <c r="B47" s="3">
        <f t="shared" ca="1" si="1"/>
        <v>0.13205465613685075</v>
      </c>
      <c r="C47" s="3">
        <f t="shared" ca="1" si="1"/>
        <v>0.32337891866540946</v>
      </c>
      <c r="D47" s="3">
        <f t="shared" ca="1" si="1"/>
        <v>0.12630983686992758</v>
      </c>
      <c r="E47" s="3">
        <f t="shared" ca="1" si="2"/>
        <v>1.528218624547403</v>
      </c>
      <c r="F47" s="3">
        <f t="shared" ca="1" si="3"/>
        <v>-1.1097429831796699</v>
      </c>
      <c r="G47" s="3">
        <f t="shared" ca="1" si="4"/>
        <v>0.41573756430669273</v>
      </c>
      <c r="H47" s="3">
        <f t="shared" ca="1" si="5"/>
        <v>81.879757418778922</v>
      </c>
    </row>
    <row r="48" spans="1:8" ht="18.75">
      <c r="A48" s="6">
        <v>32</v>
      </c>
      <c r="B48" s="3">
        <f t="shared" ca="1" si="1"/>
        <v>0.55936098616722685</v>
      </c>
      <c r="C48" s="3">
        <f t="shared" ca="1" si="1"/>
        <v>0.30624313269198766</v>
      </c>
      <c r="D48" s="3">
        <f t="shared" ca="1" si="1"/>
        <v>0.48440723781049755</v>
      </c>
      <c r="E48" s="3">
        <f t="shared" ca="1" si="2"/>
        <v>3.2374439446689074</v>
      </c>
      <c r="F48" s="3">
        <f t="shared" ca="1" si="3"/>
        <v>-1.2174103018348479</v>
      </c>
      <c r="G48" s="3">
        <f t="shared" ca="1" si="4"/>
        <v>0.92082609565945561</v>
      </c>
      <c r="H48" s="3">
        <f t="shared" ca="1" si="5"/>
        <v>83.407976043326329</v>
      </c>
    </row>
    <row r="49" spans="1:8" ht="18.75">
      <c r="A49" s="6">
        <v>33</v>
      </c>
      <c r="B49" s="3">
        <f t="shared" ca="1" si="1"/>
        <v>0.85466046517781513</v>
      </c>
      <c r="C49" s="3">
        <f t="shared" ca="1" si="1"/>
        <v>0.36989803172339308</v>
      </c>
      <c r="D49" s="3">
        <f t="shared" ca="1" si="1"/>
        <v>0.7515557043839749</v>
      </c>
      <c r="E49" s="3">
        <f t="shared" ca="1" si="2"/>
        <v>4.4186418607112605</v>
      </c>
      <c r="F49" s="3">
        <f t="shared" ca="1" si="3"/>
        <v>-0.8174547755107211</v>
      </c>
      <c r="G49" s="3">
        <f t="shared" ca="1" si="4"/>
        <v>1.3350830966603822</v>
      </c>
      <c r="H49" s="3">
        <f t="shared" ca="1" si="5"/>
        <v>86.64541998799524</v>
      </c>
    </row>
    <row r="50" spans="1:8" ht="18.75">
      <c r="A50" s="6">
        <v>34</v>
      </c>
      <c r="B50" s="3">
        <f t="shared" ca="1" si="1"/>
        <v>0.40580554362364224</v>
      </c>
      <c r="C50" s="3">
        <f t="shared" ca="1" si="1"/>
        <v>0.47735422090569202</v>
      </c>
      <c r="D50" s="3">
        <f t="shared" ca="1" si="1"/>
        <v>0.70878357721790053</v>
      </c>
      <c r="E50" s="3">
        <f t="shared" ca="1" si="2"/>
        <v>2.6232221744945692</v>
      </c>
      <c r="F50" s="3">
        <f t="shared" ca="1" si="3"/>
        <v>-0.1422876264749906</v>
      </c>
      <c r="G50" s="3">
        <f t="shared" ca="1" si="4"/>
        <v>1.2566309586297111</v>
      </c>
      <c r="H50" s="3">
        <f t="shared" ca="1" si="5"/>
        <v>91.064061848706501</v>
      </c>
    </row>
    <row r="51" spans="1:8" ht="18.75">
      <c r="A51" s="6">
        <v>35</v>
      </c>
      <c r="B51" s="3">
        <f t="shared" ca="1" si="1"/>
        <v>0.12900239278526993</v>
      </c>
      <c r="C51" s="3">
        <f t="shared" ca="1" si="1"/>
        <v>0.54648503725889674</v>
      </c>
      <c r="D51" s="3">
        <f t="shared" ca="1" si="1"/>
        <v>0.62529373091534457</v>
      </c>
      <c r="E51" s="3">
        <f t="shared" ca="1" si="2"/>
        <v>1.5160095711410797</v>
      </c>
      <c r="F51" s="3">
        <f t="shared" ca="1" si="3"/>
        <v>0.29207410310879567</v>
      </c>
      <c r="G51" s="3">
        <f t="shared" ca="1" si="4"/>
        <v>1.1209212453355648</v>
      </c>
      <c r="H51" s="3">
        <f t="shared" ca="1" si="5"/>
        <v>93.687284023201073</v>
      </c>
    </row>
    <row r="52" spans="1:8" ht="18.75">
      <c r="A52" s="6">
        <v>36</v>
      </c>
      <c r="B52" s="3">
        <f t="shared" ca="1" si="1"/>
        <v>0.87181598504300273</v>
      </c>
      <c r="C52" s="3">
        <f t="shared" ca="1" si="1"/>
        <v>0.18438434585942254</v>
      </c>
      <c r="D52" s="3">
        <f t="shared" ca="1" si="1"/>
        <v>0.25706812066900753</v>
      </c>
      <c r="E52" s="3">
        <f t="shared" ca="1" si="2"/>
        <v>4.4872639401720109</v>
      </c>
      <c r="F52" s="3">
        <f t="shared" ca="1" si="3"/>
        <v>-1.9830716408119502</v>
      </c>
      <c r="G52" s="3">
        <f t="shared" ca="1" si="4"/>
        <v>0.61672780042983366</v>
      </c>
      <c r="H52" s="3">
        <f t="shared" ca="1" si="5"/>
        <v>95.203293594342156</v>
      </c>
    </row>
    <row r="53" spans="1:8" ht="18.75">
      <c r="A53" s="6">
        <v>37</v>
      </c>
      <c r="B53" s="3">
        <f t="shared" ca="1" si="1"/>
        <v>0.8895089880531919</v>
      </c>
      <c r="C53" s="3">
        <f t="shared" ca="1" si="1"/>
        <v>0.60421351872336593</v>
      </c>
      <c r="D53" s="3">
        <f t="shared" ca="1" si="1"/>
        <v>6.0250293916884523E-2</v>
      </c>
      <c r="E53" s="3">
        <f t="shared" ca="1" si="2"/>
        <v>4.5580359522127676</v>
      </c>
      <c r="F53" s="3">
        <f t="shared" ca="1" si="3"/>
        <v>0.65479284965213758</v>
      </c>
      <c r="G53" s="3">
        <f t="shared" ca="1" si="4"/>
        <v>0.28203082792884376</v>
      </c>
      <c r="H53" s="3">
        <f t="shared" ca="1" si="5"/>
        <v>99.69055753451417</v>
      </c>
    </row>
    <row r="54" spans="1:8" ht="18.75">
      <c r="A54" s="6">
        <v>38</v>
      </c>
      <c r="B54" s="3">
        <f t="shared" ca="1" si="1"/>
        <v>0.37071923618359559</v>
      </c>
      <c r="C54" s="3">
        <f t="shared" ca="1" si="1"/>
        <v>0.76619680098137133</v>
      </c>
      <c r="D54" s="3">
        <f t="shared" ca="1" si="1"/>
        <v>0.26879637750186447</v>
      </c>
      <c r="E54" s="3">
        <f t="shared" ca="1" si="2"/>
        <v>2.4828769447343824</v>
      </c>
      <c r="F54" s="3">
        <f t="shared" ca="1" si="3"/>
        <v>1.6725638287443605</v>
      </c>
      <c r="G54" s="3">
        <f t="shared" ca="1" si="4"/>
        <v>0.63302529963683907</v>
      </c>
      <c r="H54" s="3">
        <f t="shared" ca="1" si="5"/>
        <v>104.24859348672693</v>
      </c>
    </row>
    <row r="55" spans="1:8" ht="18.75">
      <c r="A55" s="6">
        <v>39</v>
      </c>
      <c r="B55" s="3">
        <f t="shared" ca="1" si="1"/>
        <v>0.10183673334393362</v>
      </c>
      <c r="C55" s="3">
        <f t="shared" ca="1" si="1"/>
        <v>0.77299570185175348</v>
      </c>
      <c r="D55" s="3">
        <f t="shared" ca="1" si="1"/>
        <v>0.98054817591708221</v>
      </c>
      <c r="E55" s="3">
        <f t="shared" ca="1" si="2"/>
        <v>1.4073469333757345</v>
      </c>
      <c r="F55" s="3">
        <f t="shared" ca="1" si="3"/>
        <v>1.7152825827981166</v>
      </c>
      <c r="G55" s="3">
        <f t="shared" ca="1" si="4"/>
        <v>2.2456541297734316</v>
      </c>
      <c r="H55" s="3">
        <f t="shared" ca="1" si="5"/>
        <v>106.73147043146132</v>
      </c>
    </row>
    <row r="56" spans="1:8" ht="18.75">
      <c r="A56" s="6">
        <v>40</v>
      </c>
      <c r="B56" s="3">
        <f t="shared" ca="1" si="1"/>
        <v>0.69259121467272688</v>
      </c>
      <c r="C56" s="3">
        <f t="shared" ca="1" si="1"/>
        <v>0.22406554730392081</v>
      </c>
      <c r="D56" s="3">
        <f t="shared" ca="1" si="1"/>
        <v>0.92682910298682319</v>
      </c>
      <c r="E56" s="3">
        <f t="shared" ca="1" si="2"/>
        <v>3.7703648586909075</v>
      </c>
      <c r="F56" s="3">
        <f t="shared" ca="1" si="3"/>
        <v>-1.7337472989246454</v>
      </c>
      <c r="G56" s="3">
        <f t="shared" ca="1" si="4"/>
        <v>1.8295205995394241</v>
      </c>
      <c r="H56" s="3">
        <f t="shared" ca="1" si="5"/>
        <v>108.13881736483705</v>
      </c>
    </row>
    <row r="57" spans="1:8" ht="18.75">
      <c r="A57" s="6">
        <v>41</v>
      </c>
      <c r="B57" s="3">
        <f t="shared" ca="1" si="1"/>
        <v>0.73104761256114159</v>
      </c>
      <c r="C57" s="3">
        <f t="shared" ca="1" si="1"/>
        <v>0.37418310719572112</v>
      </c>
      <c r="D57" s="3">
        <f t="shared" ca="1" si="1"/>
        <v>0.80745537413246726</v>
      </c>
      <c r="E57" s="3">
        <f t="shared" ca="1" si="2"/>
        <v>3.9241904502445664</v>
      </c>
      <c r="F57" s="3">
        <f t="shared" ca="1" si="3"/>
        <v>-0.79053085226283404</v>
      </c>
      <c r="G57" s="3">
        <f t="shared" ca="1" si="4"/>
        <v>1.4521387611635659</v>
      </c>
      <c r="H57" s="3">
        <f t="shared" ca="1" si="5"/>
        <v>111.90918222352796</v>
      </c>
    </row>
    <row r="58" spans="1:8" ht="18.75">
      <c r="A58" s="6">
        <v>42</v>
      </c>
      <c r="B58" s="3">
        <f t="shared" ca="1" si="1"/>
        <v>0.55457415771454799</v>
      </c>
      <c r="C58" s="3">
        <f t="shared" ca="1" si="1"/>
        <v>0.84975524268424185</v>
      </c>
      <c r="D58" s="3">
        <f t="shared" ca="1" si="1"/>
        <v>0.36594084671156413</v>
      </c>
      <c r="E58" s="3">
        <f t="shared" ca="1" si="2"/>
        <v>3.218296630858192</v>
      </c>
      <c r="F58" s="3">
        <f t="shared" ca="1" si="3"/>
        <v>2.1975770019426593</v>
      </c>
      <c r="G58" s="3">
        <f t="shared" ca="1" si="4"/>
        <v>0.76366528976443693</v>
      </c>
      <c r="H58" s="3">
        <f t="shared" ca="1" si="5"/>
        <v>115.83337267377253</v>
      </c>
    </row>
    <row r="59" spans="1:8" ht="18.75">
      <c r="A59" s="6">
        <v>43</v>
      </c>
      <c r="B59" s="3">
        <f t="shared" ca="1" si="1"/>
        <v>0.2597979764552818</v>
      </c>
      <c r="C59" s="3">
        <f t="shared" ca="1" si="1"/>
        <v>0.67850520492491917</v>
      </c>
      <c r="D59" s="3">
        <f t="shared" ca="1" si="1"/>
        <v>0.36246364012074705</v>
      </c>
      <c r="E59" s="3">
        <f t="shared" ca="1" si="2"/>
        <v>2.0391919058211272</v>
      </c>
      <c r="F59" s="3">
        <f t="shared" ca="1" si="3"/>
        <v>1.1215812808393331</v>
      </c>
      <c r="G59" s="3">
        <f t="shared" ca="1" si="4"/>
        <v>0.7590680336065041</v>
      </c>
      <c r="H59" s="3">
        <f t="shared" ca="1" si="5"/>
        <v>119.05166930463072</v>
      </c>
    </row>
    <row r="60" spans="1:8" ht="18.75">
      <c r="A60" s="6">
        <v>44</v>
      </c>
      <c r="B60" s="3">
        <f t="shared" ca="1" si="1"/>
        <v>0.14027722562201106</v>
      </c>
      <c r="C60" s="3">
        <f t="shared" ca="1" si="1"/>
        <v>0.67160057432556197</v>
      </c>
      <c r="D60" s="3">
        <f t="shared" ca="1" si="1"/>
        <v>0.12815326006261518</v>
      </c>
      <c r="E60" s="3">
        <f t="shared" ca="1" si="2"/>
        <v>1.5611089024880442</v>
      </c>
      <c r="F60" s="3">
        <f t="shared" ca="1" si="3"/>
        <v>1.0781982073059497</v>
      </c>
      <c r="G60" s="3">
        <f t="shared" ca="1" si="4"/>
        <v>0.4189764708967964</v>
      </c>
      <c r="H60" s="3">
        <f t="shared" ca="1" si="5"/>
        <v>121.09086121045185</v>
      </c>
    </row>
    <row r="61" spans="1:8" ht="18.75">
      <c r="A61" s="6">
        <v>45</v>
      </c>
      <c r="B61" s="3">
        <f t="shared" ca="1" si="1"/>
        <v>0.67131055539950135</v>
      </c>
      <c r="C61" s="3">
        <f t="shared" ca="1" si="1"/>
        <v>9.1102087884762817E-2</v>
      </c>
      <c r="D61" s="3">
        <f t="shared" ca="1" si="1"/>
        <v>0.84079046569883253</v>
      </c>
      <c r="E61" s="3">
        <f t="shared" ca="1" si="2"/>
        <v>3.6852422215980054</v>
      </c>
      <c r="F61" s="3">
        <f t="shared" ca="1" si="3"/>
        <v>-2.5691813535388679</v>
      </c>
      <c r="G61" s="3">
        <f t="shared" ca="1" si="4"/>
        <v>1.5336373990384828</v>
      </c>
      <c r="H61" s="3">
        <f t="shared" ca="1" si="5"/>
        <v>122.65197011293989</v>
      </c>
    </row>
    <row r="62" spans="1:8" ht="18.75">
      <c r="A62" s="6">
        <v>46</v>
      </c>
      <c r="B62" s="3">
        <f t="shared" ca="1" si="1"/>
        <v>0.23896288073364857</v>
      </c>
      <c r="C62" s="3">
        <f t="shared" ca="1" si="1"/>
        <v>0.80454847545494435</v>
      </c>
      <c r="D62" s="3">
        <f t="shared" ca="1" si="1"/>
        <v>6.404199598775584E-2</v>
      </c>
      <c r="E62" s="3">
        <f t="shared" ca="1" si="2"/>
        <v>1.9558515229345943</v>
      </c>
      <c r="F62" s="3">
        <f t="shared" ca="1" si="3"/>
        <v>1.9135345063024491</v>
      </c>
      <c r="G62" s="3">
        <f t="shared" ca="1" si="4"/>
        <v>0.29106078214840653</v>
      </c>
      <c r="H62" s="3">
        <f t="shared" ca="1" si="5"/>
        <v>126.3372123345379</v>
      </c>
    </row>
    <row r="63" spans="1:8" ht="18.75">
      <c r="A63" s="6">
        <v>47</v>
      </c>
      <c r="B63" s="3">
        <f t="shared" ca="1" si="1"/>
        <v>0.83069413899557998</v>
      </c>
      <c r="C63" s="3">
        <f t="shared" ca="1" si="1"/>
        <v>0.99776683504401764</v>
      </c>
      <c r="D63" s="3">
        <f t="shared" ca="1" si="1"/>
        <v>0.63320136717748898</v>
      </c>
      <c r="E63" s="3">
        <f t="shared" ca="1" si="2"/>
        <v>4.3227765559823199</v>
      </c>
      <c r="F63" s="3">
        <f t="shared" ca="1" si="3"/>
        <v>3.1275612643498567</v>
      </c>
      <c r="G63" s="3">
        <f t="shared" ca="1" si="4"/>
        <v>1.1330340243673629</v>
      </c>
      <c r="H63" s="3">
        <f t="shared" ca="1" si="5"/>
        <v>128.29306385747248</v>
      </c>
    </row>
    <row r="64" spans="1:8" ht="18.75">
      <c r="A64" s="6">
        <v>48</v>
      </c>
      <c r="B64" s="3">
        <f t="shared" ca="1" si="1"/>
        <v>0.9777737406571001</v>
      </c>
      <c r="C64" s="3">
        <f t="shared" ca="1" si="1"/>
        <v>0.94163670413863354</v>
      </c>
      <c r="D64" s="3">
        <f t="shared" ca="1" si="1"/>
        <v>0.68041527168475802</v>
      </c>
      <c r="E64" s="3">
        <f t="shared" ca="1" si="2"/>
        <v>4.9110949626284004</v>
      </c>
      <c r="F64" s="3">
        <f t="shared" ca="1" si="3"/>
        <v>2.7748852505550801</v>
      </c>
      <c r="G64" s="3">
        <f t="shared" ca="1" si="4"/>
        <v>1.208361720665462</v>
      </c>
      <c r="H64" s="3">
        <f t="shared" ca="1" si="5"/>
        <v>132.61584041345481</v>
      </c>
    </row>
    <row r="65" spans="1:19" ht="18.75">
      <c r="A65" s="6">
        <v>49</v>
      </c>
      <c r="B65" s="3">
        <f t="shared" ca="1" si="1"/>
        <v>0.72728423196804237</v>
      </c>
      <c r="C65" s="3">
        <f t="shared" ca="1" si="1"/>
        <v>0.43339762028932682</v>
      </c>
      <c r="D65" s="3">
        <f t="shared" ca="1" si="1"/>
        <v>0.11094138198087422</v>
      </c>
      <c r="E65" s="3">
        <f t="shared" ca="1" si="2"/>
        <v>3.9091369278721695</v>
      </c>
      <c r="F65" s="3">
        <f t="shared" ca="1" si="3"/>
        <v>-0.41847509362129731</v>
      </c>
      <c r="G65" s="3">
        <f t="shared" ca="1" si="4"/>
        <v>0.38796636326377798</v>
      </c>
      <c r="H65" s="3">
        <f t="shared" ca="1" si="5"/>
        <v>137.5269353760832</v>
      </c>
    </row>
    <row r="66" spans="1:19" ht="18.75">
      <c r="A66" s="6">
        <v>50</v>
      </c>
      <c r="B66" s="3">
        <f t="shared" ca="1" si="1"/>
        <v>0.23705313211240431</v>
      </c>
      <c r="C66" s="3">
        <f t="shared" ca="1" si="1"/>
        <v>0.90266744506504182</v>
      </c>
      <c r="D66" s="3">
        <f t="shared" ca="1" si="1"/>
        <v>0.98630675130455647</v>
      </c>
      <c r="E66" s="3">
        <f t="shared" ca="1" si="2"/>
        <v>1.9482125284496172</v>
      </c>
      <c r="F66" s="3">
        <f t="shared" ca="1" si="3"/>
        <v>2.5300341745122141</v>
      </c>
      <c r="G66" s="3">
        <f t="shared" ca="1" si="4"/>
        <v>2.3435637446767035</v>
      </c>
      <c r="H66" s="3">
        <f t="shared" ca="1" si="5"/>
        <v>141.43607230395537</v>
      </c>
    </row>
    <row r="67" spans="1:19">
      <c r="H67" s="3">
        <f t="shared" ca="1" si="5"/>
        <v>143.384284832405</v>
      </c>
    </row>
    <row r="72" spans="1:19">
      <c r="A72" s="3">
        <v>1</v>
      </c>
      <c r="B72" s="3">
        <v>2</v>
      </c>
      <c r="C72" s="3">
        <v>3</v>
      </c>
      <c r="D72" s="3">
        <v>4</v>
      </c>
      <c r="E72" s="3">
        <v>5</v>
      </c>
      <c r="F72" s="3">
        <v>6</v>
      </c>
      <c r="G72" s="3">
        <v>7</v>
      </c>
      <c r="H72" s="3">
        <v>8</v>
      </c>
      <c r="I72" s="3">
        <v>9</v>
      </c>
      <c r="J72" s="19">
        <v>10</v>
      </c>
      <c r="K72" s="19">
        <v>11</v>
      </c>
      <c r="L72" s="19">
        <v>12</v>
      </c>
      <c r="M72" s="19">
        <v>13</v>
      </c>
      <c r="N72" s="19">
        <v>14</v>
      </c>
      <c r="O72" s="19">
        <v>15</v>
      </c>
      <c r="P72" s="19">
        <v>16</v>
      </c>
      <c r="Q72" s="19">
        <v>17</v>
      </c>
      <c r="R72" s="20">
        <v>18</v>
      </c>
      <c r="S72" s="25">
        <v>19</v>
      </c>
    </row>
    <row r="73" spans="1:19" ht="37.5">
      <c r="A73" s="4" t="s">
        <v>21</v>
      </c>
      <c r="B73" s="4" t="s">
        <v>11</v>
      </c>
      <c r="C73" s="5" t="s">
        <v>13</v>
      </c>
      <c r="D73" s="4" t="s">
        <v>15</v>
      </c>
      <c r="E73" s="4" t="s">
        <v>17</v>
      </c>
      <c r="F73" s="4" t="s">
        <v>26</v>
      </c>
      <c r="G73" s="4" t="s">
        <v>27</v>
      </c>
      <c r="H73" s="4" t="s">
        <v>28</v>
      </c>
      <c r="I73" s="4" t="s">
        <v>29</v>
      </c>
      <c r="J73" s="4" t="s">
        <v>39</v>
      </c>
    </row>
    <row r="74" spans="1:19" ht="18.75">
      <c r="A74" s="6">
        <v>1</v>
      </c>
      <c r="B74" s="3">
        <v>2.1399451335830122</v>
      </c>
      <c r="C74" s="12">
        <v>2.7310805379381167</v>
      </c>
      <c r="D74" s="12">
        <v>1.6563632758320055</v>
      </c>
      <c r="E74" s="12">
        <v>0</v>
      </c>
      <c r="F74" s="3">
        <f>E125</f>
        <v>0.72027368933121438</v>
      </c>
      <c r="G74" s="6">
        <v>1</v>
      </c>
      <c r="H74" s="12">
        <v>0</v>
      </c>
      <c r="I74" s="3">
        <v>33.252234557984799</v>
      </c>
      <c r="J74" s="19">
        <v>45</v>
      </c>
      <c r="K74" s="8">
        <v>0</v>
      </c>
      <c r="L74" s="21">
        <f>45*COS(K74*1000*2*PI()/25)</f>
        <v>45</v>
      </c>
    </row>
    <row r="75" spans="1:19" ht="18.75">
      <c r="A75" s="6">
        <v>2</v>
      </c>
      <c r="B75" s="9">
        <v>1.0853481834773859</v>
      </c>
      <c r="C75" s="13">
        <v>-1.2471823730236891</v>
      </c>
      <c r="D75" s="13">
        <v>1.0410111722829032</v>
      </c>
      <c r="E75" s="12">
        <v>2.1399451335830122</v>
      </c>
      <c r="G75" s="6">
        <v>2</v>
      </c>
      <c r="H75" s="12">
        <v>0.76205333755108018</v>
      </c>
      <c r="I75" s="3">
        <v>-29.519435971613394</v>
      </c>
      <c r="J75" s="19">
        <v>-44.017446807338857</v>
      </c>
      <c r="K75" s="21">
        <f>K74+25/20000</f>
        <v>1.25E-3</v>
      </c>
      <c r="L75" s="21">
        <f t="shared" ref="L75:L94" si="6">45*COS(K75*1000*2*PI()/25)</f>
        <v>42.797543233281907</v>
      </c>
    </row>
    <row r="76" spans="1:19" ht="18.75">
      <c r="A76" s="6">
        <v>3</v>
      </c>
      <c r="B76" s="9">
        <v>1.6770566834711955</v>
      </c>
      <c r="C76" s="10">
        <v>0.46933155526476034</v>
      </c>
      <c r="D76" s="10">
        <v>0.50476517516921149</v>
      </c>
      <c r="E76" s="13">
        <v>3.2252933170603981</v>
      </c>
      <c r="G76" s="6">
        <v>3</v>
      </c>
      <c r="H76" s="12">
        <v>1.5241066751021604</v>
      </c>
      <c r="I76" s="3">
        <v>24.497552227043737</v>
      </c>
      <c r="J76" s="19">
        <v>41.112694374973593</v>
      </c>
      <c r="K76" s="21">
        <f t="shared" ref="K76:K90" si="7">K75+25/20000</f>
        <v>2.5000000000000001E-3</v>
      </c>
      <c r="L76" s="21">
        <f t="shared" si="6"/>
        <v>36.405764746872634</v>
      </c>
    </row>
    <row r="77" spans="1:19" ht="18.75">
      <c r="A77" s="6">
        <v>4</v>
      </c>
      <c r="B77" s="9">
        <v>3.246196965183259</v>
      </c>
      <c r="C77" s="10">
        <v>1.7513103447508165</v>
      </c>
      <c r="D77" s="10">
        <v>0.83866989372833134</v>
      </c>
      <c r="E77" s="9">
        <v>4.9023500005315936</v>
      </c>
      <c r="G77" s="6">
        <v>4</v>
      </c>
      <c r="H77" s="13">
        <v>2.2861600126532404</v>
      </c>
      <c r="I77" s="3">
        <v>-18.405884120116525</v>
      </c>
      <c r="J77" s="19">
        <v>-36.41259042629504</v>
      </c>
      <c r="K77" s="21">
        <f t="shared" si="7"/>
        <v>3.7499999999999999E-3</v>
      </c>
      <c r="L77" s="21">
        <f t="shared" si="6"/>
        <v>26.450336353161298</v>
      </c>
    </row>
    <row r="78" spans="1:19" ht="18.75">
      <c r="A78" s="6">
        <v>5</v>
      </c>
      <c r="B78" s="9">
        <v>4.078324275992828</v>
      </c>
      <c r="C78" s="10">
        <v>-2.3262990556580627</v>
      </c>
      <c r="D78" s="10">
        <v>1.5754584041119335</v>
      </c>
      <c r="E78" s="9">
        <v>8.1485469657148535</v>
      </c>
      <c r="G78" s="6">
        <v>5</v>
      </c>
      <c r="H78" s="13">
        <v>3.0482133502043207</v>
      </c>
      <c r="I78" s="3">
        <v>-30.4713564500796</v>
      </c>
      <c r="J78" s="19">
        <v>30.122383945332686</v>
      </c>
      <c r="K78" s="21">
        <f t="shared" si="7"/>
        <v>5.0000000000000001E-3</v>
      </c>
      <c r="L78" s="21">
        <f t="shared" si="6"/>
        <v>13.905764746872634</v>
      </c>
    </row>
    <row r="79" spans="1:19" ht="18.75">
      <c r="A79" s="6">
        <v>6</v>
      </c>
      <c r="B79" s="9">
        <v>4.2605039983675645</v>
      </c>
      <c r="C79" s="10">
        <v>0.33132811124848782</v>
      </c>
      <c r="D79" s="10">
        <v>1.958682358062104</v>
      </c>
      <c r="E79" s="9">
        <v>12.226871241707681</v>
      </c>
      <c r="G79" s="6">
        <v>6</v>
      </c>
      <c r="H79" s="13">
        <v>3.810266687755401</v>
      </c>
      <c r="I79" s="3">
        <v>25.391878965021291</v>
      </c>
      <c r="J79" s="19">
        <v>-22.516762152546178</v>
      </c>
      <c r="K79" s="21">
        <f t="shared" si="7"/>
        <v>6.2500000000000003E-3</v>
      </c>
      <c r="L79" s="21">
        <f t="shared" si="6"/>
        <v>2.756584023544395E-15</v>
      </c>
    </row>
    <row r="80" spans="1:19" ht="18.75">
      <c r="A80" s="6">
        <v>7</v>
      </c>
      <c r="B80" s="9">
        <v>1.739699559997554</v>
      </c>
      <c r="C80" s="10">
        <v>0.67660299243455313</v>
      </c>
      <c r="D80" s="10">
        <v>0.36008926500383742</v>
      </c>
      <c r="E80" s="9">
        <v>16.487375240075245</v>
      </c>
      <c r="G80" s="6">
        <v>7</v>
      </c>
      <c r="H80" s="13">
        <v>4.5723200253064809</v>
      </c>
      <c r="I80" s="3">
        <v>-19.203562735752307</v>
      </c>
      <c r="J80" s="19">
        <v>13.927855180138371</v>
      </c>
      <c r="K80" s="21">
        <f t="shared" si="7"/>
        <v>7.5000000000000006E-3</v>
      </c>
      <c r="L80" s="21">
        <f t="shared" si="6"/>
        <v>-13.90576474687264</v>
      </c>
    </row>
    <row r="81" spans="1:19" ht="18.75">
      <c r="A81" s="6">
        <v>8</v>
      </c>
      <c r="B81" s="9">
        <v>4.9502663447595001</v>
      </c>
      <c r="C81" s="10">
        <v>-1.1552019206604107</v>
      </c>
      <c r="D81" s="10">
        <v>0.51080047748839585</v>
      </c>
      <c r="E81" s="9">
        <v>18.227074800072799</v>
      </c>
      <c r="G81" s="6">
        <v>8</v>
      </c>
      <c r="H81" s="13">
        <v>5.3343733628575611</v>
      </c>
      <c r="I81" s="3">
        <v>12.176645534195465</v>
      </c>
      <c r="J81" s="19">
        <v>-4.7307322711055129</v>
      </c>
      <c r="K81" s="21">
        <f t="shared" si="7"/>
        <v>8.7500000000000008E-3</v>
      </c>
      <c r="L81" s="21">
        <f t="shared" si="6"/>
        <v>-26.450336353161287</v>
      </c>
    </row>
    <row r="82" spans="1:19" ht="18.75">
      <c r="A82" s="6">
        <v>9</v>
      </c>
      <c r="B82" s="9">
        <v>1.9674868609662521</v>
      </c>
      <c r="C82" s="10">
        <v>-1.0108197494099551</v>
      </c>
      <c r="D82" s="10">
        <v>0.95010106649703696</v>
      </c>
      <c r="E82" s="9">
        <v>23.177341144832297</v>
      </c>
      <c r="G82" s="6">
        <v>9</v>
      </c>
      <c r="H82" s="13">
        <v>6.0964267004086414</v>
      </c>
      <c r="I82" s="3">
        <v>5.7507060596544495</v>
      </c>
      <c r="J82" s="19">
        <v>-4.6729771311095023</v>
      </c>
      <c r="K82" s="21">
        <f t="shared" si="7"/>
        <v>0.01</v>
      </c>
      <c r="L82" s="21">
        <f t="shared" si="6"/>
        <v>-36.405764746872627</v>
      </c>
    </row>
    <row r="83" spans="1:19" ht="18.75">
      <c r="A83" s="6">
        <v>10</v>
      </c>
      <c r="B83" s="9">
        <v>1.3014989217120441</v>
      </c>
      <c r="C83" s="10">
        <v>-1.6015350184801558</v>
      </c>
      <c r="D83" s="10">
        <v>1.2269094436798802</v>
      </c>
      <c r="E83" s="9">
        <v>25.144828005798551</v>
      </c>
      <c r="G83" s="6">
        <v>10</v>
      </c>
      <c r="H83" s="13">
        <v>6.8584800379597217</v>
      </c>
      <c r="I83" s="3">
        <v>-5.9676531017789092</v>
      </c>
      <c r="J83" s="19">
        <v>13.872622151128834</v>
      </c>
      <c r="K83" s="21">
        <f t="shared" si="7"/>
        <v>1.125E-2</v>
      </c>
      <c r="L83" s="21">
        <f t="shared" si="6"/>
        <v>-42.797543233281907</v>
      </c>
    </row>
    <row r="84" spans="1:19" ht="18.75">
      <c r="A84" s="6">
        <v>11</v>
      </c>
      <c r="B84" s="9">
        <v>4.6694295933351926</v>
      </c>
      <c r="C84" s="10">
        <v>-1.8458453214571426</v>
      </c>
      <c r="D84" s="10">
        <v>0.53068889666325114</v>
      </c>
      <c r="E84" s="9">
        <v>26.446326927510597</v>
      </c>
      <c r="G84" s="6">
        <v>11</v>
      </c>
      <c r="H84" s="8">
        <v>7.620533375510802</v>
      </c>
      <c r="I84" s="3">
        <v>5.9239985168880152</v>
      </c>
      <c r="J84" s="19">
        <v>-22.466463207362846</v>
      </c>
      <c r="K84" s="21">
        <f t="shared" si="7"/>
        <v>1.2499999999999999E-2</v>
      </c>
      <c r="L84" s="21">
        <f t="shared" si="6"/>
        <v>-45</v>
      </c>
    </row>
    <row r="85" spans="1:19" ht="18.75">
      <c r="A85" s="6">
        <v>12</v>
      </c>
      <c r="B85" s="9">
        <v>2.2800174322694788</v>
      </c>
      <c r="C85" s="10">
        <v>-1.2989161445310267</v>
      </c>
      <c r="D85" s="10">
        <v>2.1713898770786262</v>
      </c>
      <c r="E85" s="9">
        <v>31.115756520845789</v>
      </c>
      <c r="G85" s="6">
        <v>12</v>
      </c>
      <c r="H85" s="8">
        <v>8.3825867130618814</v>
      </c>
      <c r="I85" s="3">
        <v>-5.621648658393271</v>
      </c>
      <c r="J85" s="19">
        <v>30.079215590173696</v>
      </c>
      <c r="K85" s="21">
        <f t="shared" si="7"/>
        <v>1.3749999999999998E-2</v>
      </c>
      <c r="L85" s="21">
        <f t="shared" si="6"/>
        <v>-42.797543233281921</v>
      </c>
    </row>
    <row r="86" spans="1:19" ht="18.75">
      <c r="A86" s="6">
        <v>13</v>
      </c>
      <c r="B86" s="9">
        <v>4.8241591059747009</v>
      </c>
      <c r="C86" s="10">
        <v>0.9931755297312268</v>
      </c>
      <c r="D86" s="10">
        <v>0.57097168998359582</v>
      </c>
      <c r="E86" s="9">
        <v>33.395773953115267</v>
      </c>
      <c r="G86" s="6">
        <v>13</v>
      </c>
      <c r="H86" s="8">
        <v>9.1446400506129617</v>
      </c>
      <c r="I86" s="3">
        <v>32.109822711283684</v>
      </c>
      <c r="J86" s="19">
        <v>-36.378437781381898</v>
      </c>
      <c r="K86" s="21">
        <f t="shared" si="7"/>
        <v>1.4999999999999998E-2</v>
      </c>
      <c r="L86" s="21">
        <f t="shared" si="6"/>
        <v>-36.405764746872649</v>
      </c>
      <c r="O86" s="8">
        <f>E77</f>
        <v>4.9023500005315936</v>
      </c>
      <c r="P86" s="13">
        <f>E76</f>
        <v>3.2252933170603981</v>
      </c>
      <c r="Q86" s="4" t="s">
        <v>21</v>
      </c>
      <c r="R86" s="4" t="s">
        <v>28</v>
      </c>
      <c r="S86" s="4" t="s">
        <v>40</v>
      </c>
    </row>
    <row r="87" spans="1:19" ht="18.75">
      <c r="A87" s="6">
        <v>14</v>
      </c>
      <c r="B87" s="9">
        <v>1.3354794540519634</v>
      </c>
      <c r="C87" s="10">
        <v>0.90428618834533037</v>
      </c>
      <c r="D87" s="10">
        <v>1.4829242410076464</v>
      </c>
      <c r="E87" s="9">
        <v>38.219933059089968</v>
      </c>
      <c r="G87" s="6">
        <v>14</v>
      </c>
      <c r="H87" s="3">
        <v>9.906693388164042</v>
      </c>
      <c r="I87" s="3">
        <v>-39.457157636713454</v>
      </c>
      <c r="J87" s="19">
        <v>41.089048853207359</v>
      </c>
      <c r="K87" s="21">
        <f t="shared" si="7"/>
        <v>1.6249999999999997E-2</v>
      </c>
      <c r="L87" s="21">
        <f t="shared" si="6"/>
        <v>-26.45033635316133</v>
      </c>
      <c r="O87" s="8">
        <f>P86-O86</f>
        <v>-1.6770566834711955</v>
      </c>
      <c r="P87" s="26">
        <f>P86+O86</f>
        <v>8.1276433175919927</v>
      </c>
      <c r="Q87" s="21">
        <v>1</v>
      </c>
      <c r="R87" s="29">
        <v>3.2002933170603982</v>
      </c>
      <c r="S87" s="28">
        <v>18.127340220122431</v>
      </c>
    </row>
    <row r="88" spans="1:19" ht="18.75">
      <c r="A88" s="6">
        <v>15</v>
      </c>
      <c r="B88" s="9">
        <v>2.7074190654924299</v>
      </c>
      <c r="C88" s="10">
        <v>-1.3885114296153405</v>
      </c>
      <c r="D88" s="10">
        <v>1.4786510028801232</v>
      </c>
      <c r="E88" s="9">
        <v>39.555412513141931</v>
      </c>
      <c r="G88" s="6">
        <v>15</v>
      </c>
      <c r="H88" s="3">
        <v>10.668746725715122</v>
      </c>
      <c r="I88" s="3">
        <v>45.081436730619835</v>
      </c>
      <c r="J88" s="19">
        <v>-44.005340985738705</v>
      </c>
      <c r="K88" s="21">
        <f t="shared" si="7"/>
        <v>1.7499999999999998E-2</v>
      </c>
      <c r="L88" s="21">
        <f t="shared" si="6"/>
        <v>-13.905764746872681</v>
      </c>
      <c r="O88" s="13">
        <f>C75</f>
        <v>-1.2471823730236891</v>
      </c>
      <c r="P88" s="27">
        <f>D75</f>
        <v>1.0410111722829032</v>
      </c>
      <c r="Q88" s="21">
        <v>2</v>
      </c>
      <c r="R88" s="29">
        <v>3.2009183170603981</v>
      </c>
      <c r="S88" s="28">
        <v>24.661517048124281</v>
      </c>
    </row>
    <row r="89" spans="1:19" ht="18.75">
      <c r="A89" s="6">
        <v>16</v>
      </c>
      <c r="B89" s="9">
        <v>3.3946421118951564</v>
      </c>
      <c r="C89" s="10">
        <v>1.381465669525789</v>
      </c>
      <c r="D89" s="10">
        <v>0.15855060668598345</v>
      </c>
      <c r="E89" s="9">
        <v>42.262831578634362</v>
      </c>
      <c r="G89" s="6">
        <v>16</v>
      </c>
      <c r="H89" s="3">
        <v>11.430800063266203</v>
      </c>
      <c r="I89" s="3">
        <v>-48.737053176108006</v>
      </c>
      <c r="J89" s="19">
        <v>44.999962528062582</v>
      </c>
      <c r="K89" s="21">
        <f>K88+25/20000</f>
        <v>1.8749999999999999E-2</v>
      </c>
      <c r="L89" s="21">
        <f t="shared" si="6"/>
        <v>-8.2697520706331851E-15</v>
      </c>
      <c r="O89" s="13">
        <f>C76</f>
        <v>0.46933155526476034</v>
      </c>
      <c r="P89" s="27">
        <f>D76</f>
        <v>0.50476517516921149</v>
      </c>
      <c r="Q89" s="21">
        <v>3</v>
      </c>
      <c r="R89" s="29">
        <v>3.201543317060398</v>
      </c>
      <c r="S89" s="28">
        <v>30.588445479523674</v>
      </c>
    </row>
    <row r="90" spans="1:19" ht="18.75">
      <c r="A90" s="6">
        <v>17</v>
      </c>
      <c r="B90" s="9">
        <v>3.622586316960966</v>
      </c>
      <c r="C90" s="10">
        <v>2.7883816636945067</v>
      </c>
      <c r="D90" s="10">
        <v>0.33276767772782057</v>
      </c>
      <c r="E90" s="9">
        <v>45.657473690529521</v>
      </c>
      <c r="G90" s="6">
        <v>17</v>
      </c>
      <c r="H90" s="3">
        <v>12.192853400817283</v>
      </c>
      <c r="I90" s="3">
        <v>50.264369746082053</v>
      </c>
      <c r="J90" s="19">
        <v>-44.029479321427893</v>
      </c>
      <c r="K90" s="21">
        <f t="shared" si="7"/>
        <v>0.02</v>
      </c>
      <c r="L90" s="21">
        <f t="shared" si="6"/>
        <v>13.905764746872626</v>
      </c>
      <c r="Q90" s="21">
        <v>4</v>
      </c>
      <c r="R90" s="29">
        <v>3.2021683170603978</v>
      </c>
      <c r="S90" s="28">
        <v>35.762184865986931</v>
      </c>
    </row>
    <row r="91" spans="1:19" ht="18.75">
      <c r="A91" s="6">
        <v>18</v>
      </c>
      <c r="B91" s="9">
        <v>2.2872482944633576</v>
      </c>
      <c r="C91" s="10">
        <v>-1.2305410827953729</v>
      </c>
      <c r="D91" s="10">
        <v>0.29976737501322764</v>
      </c>
      <c r="E91" s="9">
        <v>49.280060007490491</v>
      </c>
      <c r="G91" s="6">
        <v>18</v>
      </c>
      <c r="H91" s="3">
        <v>12.954906738368363</v>
      </c>
      <c r="I91" s="3">
        <v>-49.596690006229444</v>
      </c>
      <c r="J91" s="19">
        <v>41.136271426861427</v>
      </c>
      <c r="K91" s="21">
        <f>K90+25/20000</f>
        <v>2.1250000000000002E-2</v>
      </c>
      <c r="L91" s="21">
        <f t="shared" si="6"/>
        <v>26.45033635316128</v>
      </c>
      <c r="Q91" s="21">
        <v>5</v>
      </c>
      <c r="R91" s="29">
        <v>3.2027933170603977</v>
      </c>
      <c r="S91" s="28">
        <v>40.055340573162766</v>
      </c>
    </row>
    <row r="92" spans="1:19" ht="18.75">
      <c r="A92" s="6">
        <v>19</v>
      </c>
      <c r="B92" s="9">
        <v>1.4267347981013998</v>
      </c>
      <c r="C92" s="10">
        <v>2.2609992308465223</v>
      </c>
      <c r="D92" s="10">
        <v>0.57499701300947381</v>
      </c>
      <c r="E92" s="9">
        <v>51.567308301953851</v>
      </c>
      <c r="G92" s="6">
        <v>19</v>
      </c>
      <c r="H92" s="3">
        <v>13.716960075919443</v>
      </c>
      <c r="I92" s="3">
        <v>-9.1224842326247657</v>
      </c>
      <c r="J92" s="19">
        <v>-36.446682428978207</v>
      </c>
      <c r="K92" s="21">
        <f>K91+25/20000</f>
        <v>2.2500000000000003E-2</v>
      </c>
      <c r="L92" s="21">
        <f t="shared" si="6"/>
        <v>36.405764746872649</v>
      </c>
      <c r="Q92" s="21">
        <v>6</v>
      </c>
      <c r="R92" s="29">
        <v>3.2034183170603976</v>
      </c>
      <c r="S92" s="28">
        <v>43.362200859373587</v>
      </c>
    </row>
    <row r="93" spans="1:19" ht="18.75">
      <c r="A93" s="6">
        <v>20</v>
      </c>
      <c r="B93" s="9">
        <v>3.7170738554356664</v>
      </c>
      <c r="C93" s="10">
        <v>-1.3309608482916604</v>
      </c>
      <c r="D93" s="10">
        <v>7.3175789027850255E-2</v>
      </c>
      <c r="E93" s="9">
        <v>52.994043100055251</v>
      </c>
      <c r="G93" s="6">
        <v>20</v>
      </c>
      <c r="H93" s="3">
        <v>14.479013413470524</v>
      </c>
      <c r="I93" s="3">
        <v>-6.1697457466427386</v>
      </c>
      <c r="J93" s="19">
        <v>30.165502134095448</v>
      </c>
      <c r="K93" s="21">
        <f t="shared" ref="K93" si="8">K92+25/20000</f>
        <v>2.3750000000000004E-2</v>
      </c>
      <c r="L93" s="21">
        <f t="shared" si="6"/>
        <v>42.797543233281935</v>
      </c>
      <c r="Q93" s="21">
        <v>7</v>
      </c>
      <c r="R93" s="29">
        <v>3.2040433170603975</v>
      </c>
      <c r="S93" s="28">
        <v>45.601339849531605</v>
      </c>
    </row>
    <row r="94" spans="1:19" ht="18.75">
      <c r="A94" s="6">
        <v>21</v>
      </c>
      <c r="B94" s="9">
        <v>4.4702724400820735</v>
      </c>
      <c r="C94" s="10">
        <v>1.4318548676789504</v>
      </c>
      <c r="D94" s="10">
        <v>1.08723385704804</v>
      </c>
      <c r="E94" s="9">
        <v>56.711116955490915</v>
      </c>
      <c r="G94" s="6">
        <v>21</v>
      </c>
      <c r="H94" s="3">
        <v>15.241066751021604</v>
      </c>
      <c r="I94" s="3">
        <v>21.19254890896492</v>
      </c>
      <c r="J94" s="19">
        <v>-22.567023597876066</v>
      </c>
      <c r="K94" s="21">
        <f>K93+25/20000</f>
        <v>2.5000000000000005E-2</v>
      </c>
      <c r="L94" s="21">
        <f t="shared" si="6"/>
        <v>45</v>
      </c>
      <c r="Q94" s="21">
        <v>8</v>
      </c>
      <c r="R94" s="29">
        <v>3.2046683170603973</v>
      </c>
      <c r="S94" s="28">
        <v>46.717622510426118</v>
      </c>
    </row>
    <row r="95" spans="1:19" ht="18.75">
      <c r="A95" s="6">
        <v>22</v>
      </c>
      <c r="B95" s="9">
        <v>2.9832844647112058</v>
      </c>
      <c r="C95" s="10">
        <v>-2.1909301039682916E-2</v>
      </c>
      <c r="D95" s="10">
        <v>0.71567865950021803</v>
      </c>
      <c r="E95" s="9">
        <v>61.181389395572992</v>
      </c>
      <c r="G95" s="6">
        <v>22</v>
      </c>
      <c r="H95" s="3">
        <v>16.003120088572683</v>
      </c>
      <c r="I95" s="3">
        <v>-35.289894000599588</v>
      </c>
      <c r="J95" s="19">
        <v>13.983065013417395</v>
      </c>
      <c r="K95" s="22">
        <f>K94*35</f>
        <v>0.87500000000000022</v>
      </c>
      <c r="L95" s="23"/>
      <c r="Q95" s="21">
        <v>9</v>
      </c>
      <c r="R95" s="29">
        <v>3.2052933170603972</v>
      </c>
      <c r="S95" s="28">
        <v>46.683562258214131</v>
      </c>
    </row>
    <row r="96" spans="1:19" ht="18.75">
      <c r="A96" s="6">
        <v>23</v>
      </c>
      <c r="B96" s="9">
        <v>4.7955176513379385</v>
      </c>
      <c r="C96" s="10">
        <v>-1.8052723593807425</v>
      </c>
      <c r="D96" s="10">
        <v>1.2977984337253634</v>
      </c>
      <c r="E96" s="9">
        <v>64.164673860284196</v>
      </c>
      <c r="G96" s="6">
        <v>23</v>
      </c>
      <c r="H96" s="3">
        <v>16.765173426123763</v>
      </c>
      <c r="I96" s="3">
        <v>17.874558886886764</v>
      </c>
      <c r="J96" s="19">
        <v>-4.7884795324378562</v>
      </c>
      <c r="Q96" s="21">
        <v>10</v>
      </c>
      <c r="R96" s="29">
        <v>3.2059183170603971</v>
      </c>
      <c r="S96" s="28">
        <v>45.49999776934461</v>
      </c>
    </row>
    <row r="97" spans="1:19" ht="18.75">
      <c r="A97" s="6">
        <v>24</v>
      </c>
      <c r="B97" s="9">
        <v>1.7545911861009706</v>
      </c>
      <c r="C97" s="10">
        <v>1.1795993148890833</v>
      </c>
      <c r="D97" s="10">
        <v>0.46172078265718453</v>
      </c>
      <c r="E97" s="9">
        <v>68.960191511622128</v>
      </c>
      <c r="G97" s="6">
        <v>24</v>
      </c>
      <c r="H97" s="3">
        <v>17.527226763674843</v>
      </c>
      <c r="I97" s="3">
        <v>-10.745441923010324</v>
      </c>
      <c r="J97" s="19">
        <v>-4.6152142086567087</v>
      </c>
      <c r="Q97" s="21">
        <v>11</v>
      </c>
      <c r="R97" s="29">
        <v>3.206543317060397</v>
      </c>
      <c r="S97" s="28">
        <v>43.196072329560913</v>
      </c>
    </row>
    <row r="98" spans="1:19" ht="18.75">
      <c r="A98" s="6">
        <v>25</v>
      </c>
      <c r="B98" s="9">
        <v>3.3701406265563989</v>
      </c>
      <c r="C98" s="10">
        <v>-1.430656071070846E-3</v>
      </c>
      <c r="D98" s="10">
        <v>0.48804570444110384</v>
      </c>
      <c r="E98" s="9">
        <v>70.714782697723095</v>
      </c>
      <c r="G98" s="6">
        <v>25</v>
      </c>
      <c r="H98" s="3">
        <v>18.289280101225923</v>
      </c>
      <c r="I98" s="3">
        <v>3.1470819250002875</v>
      </c>
      <c r="J98" s="19">
        <v>13.817366018394406</v>
      </c>
      <c r="Q98" s="21">
        <v>12</v>
      </c>
      <c r="R98" s="29">
        <v>3.2071683170603968</v>
      </c>
      <c r="S98" s="28">
        <v>39.828516229477323</v>
      </c>
    </row>
    <row r="99" spans="1:19" ht="18.75">
      <c r="A99" s="6">
        <v>26</v>
      </c>
      <c r="B99" s="9">
        <v>2.5014066463615059</v>
      </c>
      <c r="C99" s="10">
        <v>1.2567481856180569</v>
      </c>
      <c r="D99" s="10">
        <v>0.76015930427373801</v>
      </c>
      <c r="E99" s="9">
        <v>74.084923324279487</v>
      </c>
      <c r="G99" s="6">
        <v>26</v>
      </c>
      <c r="H99" s="3">
        <v>19.051333438777004</v>
      </c>
      <c r="I99" s="3">
        <v>4.5887080904752748</v>
      </c>
      <c r="J99" s="19">
        <v>-22.416126846108224</v>
      </c>
      <c r="Q99" s="21">
        <v>13</v>
      </c>
      <c r="R99" s="29">
        <v>3.2077933170603967</v>
      </c>
      <c r="S99" s="28">
        <v>35.48024987655711</v>
      </c>
    </row>
    <row r="100" spans="1:19" ht="18.75">
      <c r="A100" s="6">
        <v>27</v>
      </c>
      <c r="B100" s="9">
        <v>2.4590165842405263</v>
      </c>
      <c r="C100" s="10">
        <v>2.4536405791731131</v>
      </c>
      <c r="D100" s="10">
        <v>0.6358264411873038</v>
      </c>
      <c r="E100" s="9">
        <v>76.586329970640989</v>
      </c>
      <c r="G100" s="6">
        <v>27</v>
      </c>
      <c r="H100" s="3">
        <v>19.813386776328084</v>
      </c>
      <c r="I100" s="3">
        <v>-9.4145509667955434</v>
      </c>
      <c r="J100" s="19">
        <v>30.035997140500498</v>
      </c>
      <c r="Q100" s="21">
        <v>14</v>
      </c>
      <c r="R100" s="29">
        <v>3.2084183170603966</v>
      </c>
      <c r="S100" s="28">
        <v>30.258342019477812</v>
      </c>
    </row>
    <row r="101" spans="1:19" ht="18.75">
      <c r="A101" s="6">
        <v>28</v>
      </c>
      <c r="B101" s="9">
        <v>2.5199015649608381</v>
      </c>
      <c r="C101" s="10">
        <v>1.9358276240947125</v>
      </c>
      <c r="D101" s="10">
        <v>0.38114647882172009</v>
      </c>
      <c r="E101" s="9">
        <v>79.045346554881519</v>
      </c>
      <c r="G101" s="6">
        <v>28</v>
      </c>
      <c r="H101" s="3">
        <v>20.575440113879164</v>
      </c>
      <c r="I101" s="3">
        <v>3.5782211310429668</v>
      </c>
      <c r="J101" s="19">
        <v>-36.344224551108248</v>
      </c>
      <c r="Q101" s="21">
        <v>15</v>
      </c>
      <c r="R101" s="29">
        <v>3.2090433170603965</v>
      </c>
      <c r="S101" s="28">
        <v>24.291373360199277</v>
      </c>
    </row>
    <row r="102" spans="1:19" ht="18.75">
      <c r="A102" s="6">
        <v>29</v>
      </c>
      <c r="B102" s="9">
        <v>4.1969624766241012</v>
      </c>
      <c r="C102" s="10">
        <v>1.0604632656166038</v>
      </c>
      <c r="D102" s="10">
        <v>0.87030224656559474</v>
      </c>
      <c r="E102" s="9">
        <v>81.565248119842352</v>
      </c>
      <c r="G102" s="6">
        <v>29</v>
      </c>
      <c r="H102" s="3">
        <v>21.337493451430245</v>
      </c>
      <c r="I102" s="3">
        <v>-57.807772892045755</v>
      </c>
      <c r="J102" s="19">
        <v>41.06533490093932</v>
      </c>
      <c r="Q102" s="21">
        <v>16</v>
      </c>
      <c r="R102" s="29">
        <v>3.2096683170603963</v>
      </c>
      <c r="S102" s="28">
        <v>17.726270470351487</v>
      </c>
    </row>
    <row r="103" spans="1:19" ht="18.75">
      <c r="A103" s="6">
        <v>30</v>
      </c>
      <c r="B103" s="9">
        <v>4.2103256651354224</v>
      </c>
      <c r="C103" s="10">
        <v>-0.2865459509353796</v>
      </c>
      <c r="D103" s="10">
        <v>1.169866281788974</v>
      </c>
      <c r="E103" s="9">
        <v>85.762210596466446</v>
      </c>
      <c r="G103" s="6">
        <v>30</v>
      </c>
      <c r="H103" s="3">
        <v>22.099546788981325</v>
      </c>
      <c r="I103" s="3">
        <v>48.520018511706553</v>
      </c>
      <c r="J103" s="19">
        <v>-43.993161876787909</v>
      </c>
      <c r="Q103" s="21">
        <v>17</v>
      </c>
      <c r="R103" s="29">
        <v>3.2102933170603962</v>
      </c>
      <c r="S103" s="28">
        <v>10.724687971400311</v>
      </c>
    </row>
    <row r="104" spans="1:19" ht="18.75">
      <c r="A104" s="6">
        <v>31</v>
      </c>
      <c r="B104" s="9">
        <v>2.195640458266368</v>
      </c>
      <c r="C104" s="10">
        <v>2.9739204871204175</v>
      </c>
      <c r="D104" s="10">
        <v>2.272135727682369</v>
      </c>
      <c r="E104" s="9">
        <v>89.972536261601874</v>
      </c>
      <c r="G104" s="6">
        <v>31</v>
      </c>
      <c r="H104" s="3">
        <v>22.861600126532405</v>
      </c>
      <c r="I104" s="3">
        <v>-23.38229215422211</v>
      </c>
      <c r="J104" s="19">
        <v>44.999850112312735</v>
      </c>
      <c r="Q104" s="21">
        <v>18</v>
      </c>
      <c r="R104" s="29">
        <v>3.2109183170603961</v>
      </c>
      <c r="S104" s="28">
        <v>3.4590280613945432</v>
      </c>
    </row>
    <row r="105" spans="1:19" ht="18.75">
      <c r="A105" s="6">
        <v>32</v>
      </c>
      <c r="B105" s="9">
        <v>3.5883756332712426</v>
      </c>
      <c r="C105" s="10">
        <v>-3.0739731446762804</v>
      </c>
      <c r="D105" s="10">
        <v>0.59240257630142679</v>
      </c>
      <c r="E105" s="9">
        <v>92.168176719868242</v>
      </c>
      <c r="G105" s="6">
        <v>32</v>
      </c>
      <c r="H105" s="3">
        <v>23.623653464083485</v>
      </c>
      <c r="I105" s="3">
        <v>35.104735250164232</v>
      </c>
      <c r="J105" s="19">
        <v>-44.041438507965829</v>
      </c>
      <c r="Q105" s="21">
        <v>19</v>
      </c>
      <c r="R105" s="29">
        <v>3.211543317060396</v>
      </c>
      <c r="S105" s="28">
        <v>-3.8918045993387174</v>
      </c>
    </row>
    <row r="106" spans="1:19" ht="18.75">
      <c r="A106" s="6">
        <v>33</v>
      </c>
      <c r="B106" s="9">
        <v>2.0927045029809239</v>
      </c>
      <c r="C106" s="10">
        <v>1.052636954334857</v>
      </c>
      <c r="D106" s="10">
        <v>1.437952067184576</v>
      </c>
      <c r="E106" s="9">
        <v>95.756552353139483</v>
      </c>
      <c r="G106" s="6">
        <v>33</v>
      </c>
      <c r="H106" s="3">
        <v>24.385706801634566</v>
      </c>
      <c r="I106" s="3">
        <v>-45.294188581770179</v>
      </c>
      <c r="J106" s="19">
        <v>41.15977996960207</v>
      </c>
      <c r="Q106" s="21">
        <v>20</v>
      </c>
      <c r="R106" s="29">
        <v>3.2121683170603959</v>
      </c>
      <c r="S106" s="28">
        <v>-11.146808114677315</v>
      </c>
    </row>
    <row r="107" spans="1:19" ht="18.75">
      <c r="A107" s="6">
        <v>34</v>
      </c>
      <c r="B107" s="9">
        <v>1.8826788238738423</v>
      </c>
      <c r="C107" s="10">
        <v>0.77816366940044857</v>
      </c>
      <c r="D107" s="10">
        <v>0.92172664838546625</v>
      </c>
      <c r="E107" s="9">
        <v>97.849256856120405</v>
      </c>
      <c r="G107" s="6">
        <v>34</v>
      </c>
      <c r="H107" s="3">
        <v>25.147760139185646</v>
      </c>
      <c r="I107" s="3">
        <v>52.343847731429477</v>
      </c>
      <c r="J107" s="19">
        <v>-36.480713732644894</v>
      </c>
      <c r="Q107" s="21">
        <v>21</v>
      </c>
      <c r="R107" s="29">
        <v>3.2127933170603957</v>
      </c>
      <c r="S107" s="28">
        <v>-18.127340220092503</v>
      </c>
    </row>
    <row r="108" spans="1:19" ht="18.75">
      <c r="A108" s="6">
        <v>35</v>
      </c>
      <c r="B108" s="9">
        <v>3.626878722170094</v>
      </c>
      <c r="C108" s="10">
        <v>-3.0464204795105756</v>
      </c>
      <c r="D108" s="10">
        <v>0.19028102123691193</v>
      </c>
      <c r="E108" s="9">
        <v>99.731935679994251</v>
      </c>
      <c r="G108" s="6">
        <v>35</v>
      </c>
      <c r="H108" s="3">
        <v>25.909813476736726</v>
      </c>
      <c r="I108" s="3">
        <v>-70.132280161952352</v>
      </c>
      <c r="J108" s="19">
        <v>30.208570084640712</v>
      </c>
      <c r="Q108" s="21">
        <v>22</v>
      </c>
      <c r="R108" s="29">
        <v>3.2134183170603956</v>
      </c>
      <c r="S108" s="28">
        <v>-24.661517048101217</v>
      </c>
    </row>
    <row r="109" spans="1:19" ht="18.75">
      <c r="A109" s="6">
        <v>36</v>
      </c>
      <c r="B109" s="9">
        <v>2.8265409607688792</v>
      </c>
      <c r="C109" s="10">
        <v>-2.8290159641670076</v>
      </c>
      <c r="D109" s="10">
        <v>0.33461042628477333</v>
      </c>
      <c r="E109" s="9">
        <v>103.35881440216434</v>
      </c>
      <c r="G109" s="6">
        <v>36</v>
      </c>
      <c r="H109" s="3">
        <v>26.671866814287807</v>
      </c>
      <c r="I109" s="3">
        <v>84.858103891065738</v>
      </c>
      <c r="J109" s="19">
        <v>-22.617247459641703</v>
      </c>
      <c r="Q109" s="21">
        <v>23</v>
      </c>
      <c r="R109" s="29">
        <v>3.2140433170603955</v>
      </c>
      <c r="S109" s="28">
        <v>-30.588445479503122</v>
      </c>
    </row>
    <row r="110" spans="1:19" ht="18.75">
      <c r="A110" s="6">
        <v>37</v>
      </c>
      <c r="B110" s="9">
        <v>1.3882982984429795</v>
      </c>
      <c r="C110" s="10">
        <v>-0.10554286606644014</v>
      </c>
      <c r="D110" s="10">
        <v>2.3111877759165149</v>
      </c>
      <c r="E110" s="9">
        <v>106.18535536293322</v>
      </c>
      <c r="G110" s="6">
        <v>37</v>
      </c>
      <c r="H110" s="3">
        <v>27.433920151838887</v>
      </c>
      <c r="I110" s="3">
        <v>-95.878256469009585</v>
      </c>
      <c r="J110" s="19">
        <v>14.038251559057278</v>
      </c>
      <c r="Q110" s="21">
        <v>24</v>
      </c>
      <c r="R110" s="29">
        <v>3.2146683170603954</v>
      </c>
      <c r="S110" s="28">
        <v>-35.762184865969409</v>
      </c>
    </row>
    <row r="111" spans="1:19" ht="18.75">
      <c r="A111" s="6">
        <v>38</v>
      </c>
      <c r="B111" s="9">
        <v>1.2084505414868589</v>
      </c>
      <c r="C111" s="10">
        <v>-2.5173246544262109</v>
      </c>
      <c r="D111" s="10">
        <v>0.68534846948120842</v>
      </c>
      <c r="E111" s="9">
        <v>107.5736536613762</v>
      </c>
      <c r="G111" s="6">
        <v>38</v>
      </c>
      <c r="H111" s="3">
        <v>28.195973489389967</v>
      </c>
      <c r="I111" s="3">
        <v>102.71149851360305</v>
      </c>
      <c r="J111" s="19">
        <v>-4.8462188189738136</v>
      </c>
      <c r="Q111" s="21">
        <v>25</v>
      </c>
      <c r="R111" s="29">
        <v>3.2152933170603952</v>
      </c>
      <c r="S111" s="28">
        <v>-40.055340573145926</v>
      </c>
    </row>
    <row r="112" spans="1:19" ht="18.75">
      <c r="A112" s="6">
        <v>39</v>
      </c>
      <c r="B112" s="9">
        <v>4.9573655414713258</v>
      </c>
      <c r="C112" s="10">
        <v>-0.24802764296256408</v>
      </c>
      <c r="D112" s="10">
        <v>1.1842906127769417</v>
      </c>
      <c r="E112" s="9">
        <v>108.78210420286305</v>
      </c>
      <c r="G112" s="6">
        <v>39</v>
      </c>
      <c r="H112" s="3">
        <v>28.958026826941047</v>
      </c>
      <c r="I112" s="3">
        <v>-105.05942896763992</v>
      </c>
      <c r="J112" s="19">
        <v>-4.5574435999059135</v>
      </c>
      <c r="Q112" s="21">
        <v>26</v>
      </c>
      <c r="R112" s="29">
        <v>3.2159183170603951</v>
      </c>
      <c r="S112" s="28">
        <v>-43.362200859361302</v>
      </c>
    </row>
    <row r="113" spans="1:19" ht="18.75">
      <c r="A113" s="6">
        <v>40</v>
      </c>
      <c r="B113" s="9">
        <v>2.76554900818366</v>
      </c>
      <c r="C113" s="10">
        <v>2.2710776264214694E-2</v>
      </c>
      <c r="D113" s="10">
        <v>0.57221425541735194</v>
      </c>
      <c r="E113" s="9">
        <v>113.73946974433437</v>
      </c>
      <c r="G113" s="6">
        <v>40</v>
      </c>
      <c r="H113" s="3">
        <v>29.720080164492128</v>
      </c>
      <c r="I113" s="3">
        <v>-23.025651372965456</v>
      </c>
      <c r="J113" s="19">
        <v>13.762086873920778</v>
      </c>
      <c r="Q113" s="21">
        <v>27</v>
      </c>
      <c r="R113" s="29">
        <v>3.216543317060395</v>
      </c>
      <c r="S113" s="28">
        <v>-45.601339849525395</v>
      </c>
    </row>
    <row r="114" spans="1:19" ht="18.75">
      <c r="A114" s="6">
        <v>41</v>
      </c>
      <c r="B114" s="9">
        <v>1.6081036281720209</v>
      </c>
      <c r="C114" s="10">
        <v>-1.1130532012182619</v>
      </c>
      <c r="D114" s="10">
        <v>0.71002070032553599</v>
      </c>
      <c r="E114" s="9">
        <v>116.50501875251803</v>
      </c>
      <c r="G114" s="6">
        <v>41</v>
      </c>
      <c r="H114" s="3">
        <v>30.482133502043208</v>
      </c>
      <c r="I114" s="3">
        <v>20.530025533080288</v>
      </c>
      <c r="J114" s="19">
        <v>-22.365753152573543</v>
      </c>
      <c r="Q114" s="21">
        <v>28</v>
      </c>
      <c r="R114" s="29">
        <v>3.2171683170603949</v>
      </c>
      <c r="S114" s="28">
        <v>-46.717622510424114</v>
      </c>
    </row>
    <row r="115" spans="1:19" ht="18.75">
      <c r="A115" s="6">
        <v>42</v>
      </c>
      <c r="B115" s="9">
        <v>3.7916084784520212</v>
      </c>
      <c r="C115" s="10">
        <v>-0.67122740768474554</v>
      </c>
      <c r="D115" s="10">
        <v>1.2239899742942928</v>
      </c>
      <c r="E115" s="9">
        <v>118.11312238069004</v>
      </c>
      <c r="G115" s="6">
        <v>42</v>
      </c>
      <c r="H115" s="3">
        <v>31.244186839594288</v>
      </c>
      <c r="I115" s="3">
        <v>-29.975988178145688</v>
      </c>
      <c r="J115" s="19">
        <v>29.992728668278477</v>
      </c>
      <c r="Q115" s="21">
        <v>29</v>
      </c>
      <c r="R115" s="29">
        <v>3.2177933170603947</v>
      </c>
      <c r="S115" s="28">
        <v>-46.683562258216391</v>
      </c>
    </row>
    <row r="116" spans="1:19" ht="18.75">
      <c r="A116" s="6">
        <v>43</v>
      </c>
      <c r="B116" s="9">
        <v>2.0264598343741724</v>
      </c>
      <c r="C116" s="10">
        <v>-0.6652632309029114</v>
      </c>
      <c r="D116" s="10">
        <v>0.88263282803541676</v>
      </c>
      <c r="E116" s="9">
        <v>121.90473085914206</v>
      </c>
      <c r="G116" s="6">
        <v>43</v>
      </c>
      <c r="H116" s="3">
        <v>32.006240177145365</v>
      </c>
      <c r="I116" s="3">
        <v>38.112928472682988</v>
      </c>
      <c r="J116" s="19">
        <v>-36.309950792468548</v>
      </c>
      <c r="Q116" s="21">
        <v>30</v>
      </c>
      <c r="R116" s="29">
        <v>3.2184183170603946</v>
      </c>
      <c r="S116" s="28">
        <v>-45.499997769352333</v>
      </c>
    </row>
    <row r="117" spans="1:19" ht="18.75">
      <c r="A117" s="6">
        <v>44</v>
      </c>
      <c r="B117" s="9">
        <v>1.5672877107609366</v>
      </c>
      <c r="C117" s="10">
        <v>2.0896072108692989</v>
      </c>
      <c r="D117" s="10">
        <v>1.2644473195132044</v>
      </c>
      <c r="E117" s="9">
        <v>123.93119069351624</v>
      </c>
      <c r="G117" s="6">
        <v>44</v>
      </c>
      <c r="H117" s="3">
        <v>32.768293514696445</v>
      </c>
      <c r="I117" s="3">
        <v>-44.585514120404468</v>
      </c>
      <c r="J117" s="19">
        <v>41.041552557672588</v>
      </c>
      <c r="Q117" s="21">
        <v>31</v>
      </c>
      <c r="R117" s="29">
        <v>3.2190433170603945</v>
      </c>
      <c r="S117" s="28">
        <v>-43.196072329571408</v>
      </c>
    </row>
    <row r="118" spans="1:19" ht="18.75">
      <c r="A118" s="6">
        <v>45</v>
      </c>
      <c r="B118" s="9">
        <v>1.0092993908688026</v>
      </c>
      <c r="C118" s="10">
        <v>0.2273195692972716</v>
      </c>
      <c r="D118" s="10">
        <v>2.1365898621556871</v>
      </c>
      <c r="E118" s="9">
        <v>125.49847840427718</v>
      </c>
      <c r="G118" s="6">
        <v>45</v>
      </c>
      <c r="H118" s="3">
        <v>33.530346852247526</v>
      </c>
      <c r="I118" s="3">
        <v>49.111093579440173</v>
      </c>
      <c r="J118" s="19">
        <v>-43.980909500774388</v>
      </c>
      <c r="Q118" s="21">
        <v>32</v>
      </c>
      <c r="R118" s="29">
        <v>3.2196683170603944</v>
      </c>
      <c r="S118" s="28">
        <v>-39.828516229491605</v>
      </c>
    </row>
    <row r="119" spans="1:19" ht="18.75">
      <c r="A119" s="6">
        <v>46</v>
      </c>
      <c r="B119" s="9">
        <v>2.3874426737366079</v>
      </c>
      <c r="C119" s="10">
        <v>-0.82174936361521977</v>
      </c>
      <c r="D119" s="10">
        <v>1.1435303145706601</v>
      </c>
      <c r="E119" s="9">
        <v>126.50777779514598</v>
      </c>
      <c r="G119" s="6">
        <v>46</v>
      </c>
      <c r="H119" s="3">
        <v>34.292400189798606</v>
      </c>
      <c r="I119" s="3">
        <v>6.3507019257153061</v>
      </c>
      <c r="J119" s="19">
        <v>44.999662752937752</v>
      </c>
      <c r="Q119" s="21">
        <v>33</v>
      </c>
      <c r="R119" s="29">
        <v>3.2202933170603942</v>
      </c>
      <c r="S119" s="28">
        <v>-35.480249876574824</v>
      </c>
    </row>
    <row r="120" spans="1:19" ht="18.75">
      <c r="A120" s="6">
        <v>47</v>
      </c>
      <c r="B120" s="9">
        <v>1.9763866041484093</v>
      </c>
      <c r="C120" s="10">
        <v>1.3987727787411393</v>
      </c>
      <c r="D120" s="10">
        <v>0.30836239059499504</v>
      </c>
      <c r="E120" s="9">
        <v>128.8952204688826</v>
      </c>
      <c r="G120" s="6">
        <v>47</v>
      </c>
      <c r="H120" s="3">
        <v>35.054453527349686</v>
      </c>
      <c r="I120" s="3">
        <v>17.332403860169439</v>
      </c>
      <c r="J120" s="19">
        <v>-44.053324347031698</v>
      </c>
      <c r="Q120" s="21">
        <v>34</v>
      </c>
      <c r="R120" s="29">
        <v>3.2209183170603941</v>
      </c>
      <c r="S120" s="28">
        <v>-30.258342019502589</v>
      </c>
    </row>
    <row r="121" spans="1:19" ht="18.75">
      <c r="A121" s="6">
        <v>48</v>
      </c>
      <c r="B121" s="9">
        <v>4.9619441485037754</v>
      </c>
      <c r="C121" s="10">
        <v>2.1131753707994498</v>
      </c>
      <c r="D121" s="10">
        <v>1.2128166971673284</v>
      </c>
      <c r="E121" s="9">
        <v>130.87160707303102</v>
      </c>
      <c r="G121" s="6">
        <v>48</v>
      </c>
      <c r="H121" s="3">
        <v>35.816506864900767</v>
      </c>
      <c r="I121" s="3">
        <v>-8.5156120314308374</v>
      </c>
      <c r="J121" s="19">
        <v>41.183219964036716</v>
      </c>
      <c r="Q121" s="21">
        <v>35</v>
      </c>
      <c r="R121" s="29">
        <v>3.221543317060394</v>
      </c>
      <c r="S121" s="28">
        <v>-24.291373360227034</v>
      </c>
    </row>
    <row r="122" spans="1:19" ht="18.75">
      <c r="A122" s="6">
        <v>49</v>
      </c>
      <c r="B122" s="9">
        <v>3.7740693218113908</v>
      </c>
      <c r="C122" s="10">
        <v>-1.6941865450948916</v>
      </c>
      <c r="D122" s="10">
        <v>0.72465506161167448</v>
      </c>
      <c r="E122" s="9">
        <v>135.83355122153478</v>
      </c>
      <c r="G122" s="6">
        <v>49</v>
      </c>
      <c r="H122" s="3">
        <v>36.578560202451847</v>
      </c>
      <c r="I122" s="3">
        <v>-0.67304832126082104</v>
      </c>
      <c r="J122" s="19">
        <v>-36.514684280609757</v>
      </c>
      <c r="Q122" s="21">
        <v>36</v>
      </c>
      <c r="R122" s="29">
        <v>3.2221683170603939</v>
      </c>
      <c r="S122" s="28">
        <v>-17.726270470376605</v>
      </c>
    </row>
    <row r="123" spans="1:19" ht="18.75">
      <c r="A123" s="6">
        <v>50</v>
      </c>
      <c r="B123" s="9">
        <v>4.4471173228967134</v>
      </c>
      <c r="C123" s="10">
        <v>0.2592913455648338</v>
      </c>
      <c r="D123" s="10">
        <v>1.6597272983880071</v>
      </c>
      <c r="E123" s="9">
        <v>139.60762054334617</v>
      </c>
      <c r="G123" s="6">
        <v>50</v>
      </c>
      <c r="H123" s="3">
        <v>37.340613540002927</v>
      </c>
      <c r="I123" s="3">
        <v>9.8323173060915963</v>
      </c>
      <c r="J123" s="19">
        <v>30.251587725230927</v>
      </c>
      <c r="Q123" s="21">
        <v>37</v>
      </c>
      <c r="R123" s="29">
        <v>3.2227933170603937</v>
      </c>
      <c r="S123" s="28">
        <v>-10.724687971426723</v>
      </c>
    </row>
    <row r="124" spans="1:19" ht="18.75">
      <c r="E124" s="9">
        <v>144.05473786624287</v>
      </c>
      <c r="G124" s="6">
        <v>51</v>
      </c>
      <c r="H124" s="3">
        <v>38.102666877554007</v>
      </c>
      <c r="I124" s="3">
        <v>-18.56221852379548</v>
      </c>
      <c r="J124" s="19">
        <v>-22.667433654186052</v>
      </c>
      <c r="Q124" s="21">
        <v>38</v>
      </c>
      <c r="R124" s="29">
        <v>3.2234183170603936</v>
      </c>
      <c r="S124" s="28">
        <v>-3.4590280614216029</v>
      </c>
    </row>
    <row r="125" spans="1:19" ht="18.75">
      <c r="D125" s="3" t="s">
        <v>25</v>
      </c>
      <c r="E125" s="8">
        <f>E124/200</f>
        <v>0.72027368933121438</v>
      </c>
      <c r="G125" s="6">
        <v>52</v>
      </c>
      <c r="H125" s="3">
        <v>38.864720215105088</v>
      </c>
      <c r="I125" s="3">
        <v>26.48152564934718</v>
      </c>
      <c r="J125" s="19">
        <v>14.093414725081212</v>
      </c>
      <c r="Q125" s="21">
        <v>39</v>
      </c>
      <c r="R125" s="29">
        <v>3.2240433170603935</v>
      </c>
      <c r="S125" s="28">
        <v>3.8918045993063703</v>
      </c>
    </row>
    <row r="126" spans="1:19" ht="18.75">
      <c r="G126" s="6">
        <v>53</v>
      </c>
      <c r="H126" s="3">
        <v>39.626773552656168</v>
      </c>
      <c r="I126" s="3">
        <v>32.323486538749691</v>
      </c>
      <c r="J126" s="19">
        <v>-4.9039500344820457</v>
      </c>
      <c r="Q126" s="21">
        <v>40</v>
      </c>
      <c r="R126" s="29">
        <v>3.2246683170603934</v>
      </c>
      <c r="S126" s="28">
        <v>11.14680811464579</v>
      </c>
    </row>
    <row r="127" spans="1:19" ht="18.75">
      <c r="G127" s="6">
        <v>54</v>
      </c>
      <c r="H127" s="3">
        <v>40.388826890207248</v>
      </c>
      <c r="I127" s="3">
        <v>-43.50981249308763</v>
      </c>
      <c r="J127" s="19">
        <v>-4.4996654011406632</v>
      </c>
      <c r="Q127" s="21">
        <v>41</v>
      </c>
      <c r="R127" s="29">
        <v>3.2252933170603932</v>
      </c>
      <c r="S127" s="28">
        <v>18.127340220067481</v>
      </c>
    </row>
    <row r="128" spans="1:19" ht="18.75">
      <c r="G128" s="6">
        <v>55</v>
      </c>
      <c r="H128" s="3">
        <v>41.150880227758329</v>
      </c>
      <c r="I128" s="3">
        <v>52.7961071062185</v>
      </c>
      <c r="J128" s="19">
        <v>13.706784809839085</v>
      </c>
      <c r="Q128" s="21">
        <v>42</v>
      </c>
      <c r="R128" s="29">
        <v>3.2259183170603931</v>
      </c>
      <c r="S128" s="28">
        <v>17.371056930400197</v>
      </c>
    </row>
    <row r="129" spans="7:19" ht="18.75">
      <c r="G129" s="6">
        <v>56</v>
      </c>
      <c r="H129" s="3">
        <v>41.912933565309409</v>
      </c>
      <c r="I129" s="3">
        <v>-59.776846892803562</v>
      </c>
      <c r="J129" s="19">
        <v>-22.315342210714267</v>
      </c>
      <c r="Q129" s="21">
        <v>43</v>
      </c>
      <c r="R129" s="29">
        <v>3.226543317060393</v>
      </c>
      <c r="S129" s="28">
        <v>14.867725943134767</v>
      </c>
    </row>
    <row r="130" spans="7:19" ht="18.75">
      <c r="G130" s="6">
        <v>57</v>
      </c>
      <c r="H130" s="3">
        <v>42.674986902860489</v>
      </c>
      <c r="I130" s="3">
        <v>-12.110893665635997</v>
      </c>
      <c r="J130" s="19">
        <v>29.949410245613564</v>
      </c>
      <c r="Q130" s="21">
        <v>44</v>
      </c>
      <c r="R130" s="29">
        <v>3.2271683170603929</v>
      </c>
      <c r="S130" s="28">
        <v>11.998302199994278</v>
      </c>
    </row>
    <row r="131" spans="7:19" ht="18.75">
      <c r="G131" s="6">
        <v>58</v>
      </c>
      <c r="H131" s="3">
        <v>43.437040240411569</v>
      </c>
      <c r="I131" s="3">
        <v>13.759776252386038</v>
      </c>
      <c r="J131" s="19">
        <v>-36.275616562506727</v>
      </c>
      <c r="Q131" s="21">
        <v>45</v>
      </c>
      <c r="R131" s="29">
        <v>3.2277933170603927</v>
      </c>
      <c r="S131" s="28">
        <v>8.8334404366079369</v>
      </c>
    </row>
    <row r="132" spans="7:19" ht="18.75">
      <c r="G132" s="6">
        <v>59</v>
      </c>
      <c r="H132" s="3">
        <v>44.19909357796265</v>
      </c>
      <c r="I132" s="3">
        <v>-14.807782746376915</v>
      </c>
      <c r="J132" s="19">
        <v>41.017701862989561</v>
      </c>
      <c r="Q132" s="21">
        <v>46</v>
      </c>
      <c r="R132" s="29">
        <v>3.2284183170603926</v>
      </c>
      <c r="S132" s="28">
        <v>5.4510700531643028</v>
      </c>
    </row>
    <row r="133" spans="7:19" ht="18.75">
      <c r="G133" s="6">
        <v>60</v>
      </c>
      <c r="H133" s="3">
        <v>44.96114691551373</v>
      </c>
      <c r="I133" s="3">
        <v>15.209147719759736</v>
      </c>
      <c r="J133" s="19">
        <v>-43.968583878090499</v>
      </c>
      <c r="Q133" s="21">
        <v>47</v>
      </c>
      <c r="R133" s="29">
        <v>3.2290433170603925</v>
      </c>
      <c r="S133" s="28">
        <v>1.9344762339474728</v>
      </c>
    </row>
    <row r="134" spans="7:19" ht="18.75">
      <c r="G134" s="6">
        <v>61</v>
      </c>
      <c r="H134" s="3">
        <v>45.72320025306481</v>
      </c>
      <c r="I134" s="3">
        <v>-14.946343953155855</v>
      </c>
      <c r="J134" s="19">
        <v>44.999400450249425</v>
      </c>
      <c r="Q134" s="21">
        <v>48</v>
      </c>
      <c r="R134" s="29">
        <v>3.2296683170603924</v>
      </c>
      <c r="S134" s="28">
        <v>-1.6297508103051019</v>
      </c>
    </row>
    <row r="135" spans="7:19" ht="18.75">
      <c r="G135" s="6">
        <v>62</v>
      </c>
      <c r="H135" s="3">
        <v>46.485253590615891</v>
      </c>
      <c r="I135" s="3">
        <v>39.161160931471827</v>
      </c>
      <c r="J135" s="19">
        <v>-44.065136818843115</v>
      </c>
      <c r="Q135" s="21">
        <v>49</v>
      </c>
      <c r="R135" s="29">
        <v>3.2302933170603922</v>
      </c>
      <c r="S135" s="28">
        <v>-5.1538479807777033</v>
      </c>
    </row>
    <row r="136" spans="7:19" ht="18.75">
      <c r="G136" s="6">
        <v>63</v>
      </c>
      <c r="H136" s="3">
        <v>47.247306928166971</v>
      </c>
      <c r="I136" s="3">
        <v>-38.576484209665601</v>
      </c>
      <c r="J136" s="19">
        <v>41.20659137115269</v>
      </c>
      <c r="Q136" s="21">
        <v>50</v>
      </c>
      <c r="R136" s="29">
        <v>3.2309183170603921</v>
      </c>
      <c r="S136" s="28">
        <v>-8.5510403093227705</v>
      </c>
    </row>
    <row r="137" spans="7:19" ht="18.75">
      <c r="G137" s="6">
        <v>64</v>
      </c>
      <c r="H137" s="3">
        <v>48.009360265718051</v>
      </c>
      <c r="I137" s="3">
        <v>36.307209811333216</v>
      </c>
      <c r="J137" s="19">
        <v>-36.548594016333453</v>
      </c>
      <c r="Q137" s="21">
        <v>51</v>
      </c>
      <c r="R137" s="29">
        <v>3.231543317060392</v>
      </c>
      <c r="S137" s="28">
        <v>-11.737677646176595</v>
      </c>
    </row>
    <row r="138" spans="7:19" ht="18.75">
      <c r="G138" s="6">
        <v>65</v>
      </c>
      <c r="H138" s="3">
        <v>48.771413603269131</v>
      </c>
      <c r="I138" s="3">
        <v>-32.452434750034875</v>
      </c>
      <c r="J138" s="19">
        <v>30.294554984269134</v>
      </c>
      <c r="Q138" s="21">
        <v>52</v>
      </c>
      <c r="R138" s="29">
        <v>3.2321683170603919</v>
      </c>
      <c r="S138" s="28">
        <v>-14.635294404260883</v>
      </c>
    </row>
    <row r="139" spans="7:19" ht="18.75">
      <c r="G139" s="6">
        <v>66</v>
      </c>
      <c r="H139" s="3">
        <v>49.533466940820212</v>
      </c>
      <c r="I139" s="3">
        <v>27.180493316591409</v>
      </c>
      <c r="J139" s="19">
        <v>-22.717582097981069</v>
      </c>
      <c r="Q139" s="21">
        <v>53</v>
      </c>
      <c r="R139" s="29">
        <v>3.2327933170603917</v>
      </c>
      <c r="S139" s="28">
        <v>-17.172541642357114</v>
      </c>
    </row>
    <row r="140" spans="7:19" ht="18.75">
      <c r="G140" s="6">
        <v>67</v>
      </c>
      <c r="H140" s="3">
        <v>50.295520278371292</v>
      </c>
      <c r="I140" s="3">
        <v>-20.721606083756186</v>
      </c>
      <c r="J140" s="19">
        <v>14.148554419697142</v>
      </c>
      <c r="Q140" s="21">
        <v>54</v>
      </c>
      <c r="R140" s="29">
        <v>3.2334183170603916</v>
      </c>
      <c r="S140" s="28">
        <v>-19.286943912820352</v>
      </c>
    </row>
    <row r="141" spans="7:19" ht="18.75">
      <c r="G141" s="6">
        <v>68</v>
      </c>
      <c r="H141" s="3">
        <v>51.057573615922372</v>
      </c>
      <c r="I141" s="3">
        <v>44.508885374191145</v>
      </c>
      <c r="J141" s="19">
        <v>-4.9616730828972377</v>
      </c>
      <c r="Q141" s="21">
        <v>55</v>
      </c>
      <c r="R141" s="29">
        <v>3.2340433170603915</v>
      </c>
      <c r="S141" s="28">
        <v>-20.926437614452976</v>
      </c>
    </row>
    <row r="142" spans="7:19" ht="18.75">
      <c r="G142" s="6">
        <v>69</v>
      </c>
      <c r="H142" s="3">
        <v>51.819626953473453</v>
      </c>
      <c r="I142" s="3">
        <v>-48.298217154588649</v>
      </c>
      <c r="J142" s="19">
        <v>-4.4418797085044552</v>
      </c>
      <c r="Q142" s="21">
        <v>56</v>
      </c>
      <c r="R142" s="29">
        <v>3.2346683170603914</v>
      </c>
      <c r="S142" s="28">
        <v>-22.050652971153152</v>
      </c>
    </row>
    <row r="143" spans="7:19" ht="18.75">
      <c r="G143" s="6">
        <v>70</v>
      </c>
      <c r="H143" s="3">
        <v>52.581680291024533</v>
      </c>
      <c r="I143" s="3">
        <v>49.978412603205292</v>
      </c>
      <c r="J143" s="19">
        <v>13.65145991817252</v>
      </c>
      <c r="Q143" s="21">
        <v>57</v>
      </c>
      <c r="R143" s="29">
        <v>3.2352933170603912</v>
      </c>
      <c r="S143" s="28">
        <v>-22.631908069781847</v>
      </c>
    </row>
    <row r="144" spans="7:19" ht="18.75">
      <c r="G144" s="6">
        <v>71</v>
      </c>
      <c r="H144" s="3">
        <v>53.343733628575613</v>
      </c>
      <c r="I144" s="3">
        <v>-49.476099213270736</v>
      </c>
      <c r="J144" s="19">
        <v>-22.264894104414701</v>
      </c>
      <c r="Q144" s="21">
        <v>58</v>
      </c>
      <c r="R144" s="29">
        <v>3.2359183170603911</v>
      </c>
      <c r="S144" s="28">
        <v>-22.655890480736591</v>
      </c>
    </row>
    <row r="145" spans="7:19" ht="18.75">
      <c r="G145" s="6">
        <v>72</v>
      </c>
      <c r="H145" s="3">
        <v>54.105786966126693</v>
      </c>
      <c r="I145" s="3">
        <v>46.81321252367372</v>
      </c>
      <c r="J145" s="19">
        <v>29.90604194458804</v>
      </c>
      <c r="Q145" s="21">
        <v>59</v>
      </c>
      <c r="R145" s="29">
        <v>3.236543317060391</v>
      </c>
      <c r="S145" s="28">
        <v>-22.122009677466</v>
      </c>
    </row>
    <row r="146" spans="7:19" ht="18.75">
      <c r="G146" s="6">
        <v>73</v>
      </c>
      <c r="H146" s="3">
        <v>54.867840303677774</v>
      </c>
      <c r="I146" s="3">
        <v>-42.106038215239032</v>
      </c>
      <c r="J146" s="19">
        <v>-36.241221918427819</v>
      </c>
      <c r="Q146" s="21">
        <v>60</v>
      </c>
      <c r="R146" s="29">
        <v>3.2371683170603909</v>
      </c>
      <c r="S146" s="28">
        <v>-21.043411577195389</v>
      </c>
    </row>
    <row r="147" spans="7:19" ht="18.75">
      <c r="G147" s="6">
        <v>74</v>
      </c>
      <c r="H147" s="3">
        <v>55.629893641228854</v>
      </c>
      <c r="I147" s="3">
        <v>43.208108177590972</v>
      </c>
      <c r="J147" s="19">
        <v>40.993782856628378</v>
      </c>
      <c r="Q147" s="21">
        <v>61</v>
      </c>
      <c r="R147" s="29">
        <v>3.2377933170603908</v>
      </c>
      <c r="S147" s="28">
        <v>-19.446654844816628</v>
      </c>
    </row>
    <row r="148" spans="7:19" ht="18.75">
      <c r="G148" s="6">
        <v>75</v>
      </c>
      <c r="H148" s="3">
        <v>56.391946978779934</v>
      </c>
      <c r="I148" s="3">
        <v>-32.919345504292799</v>
      </c>
      <c r="J148" s="19">
        <v>-43.956185029272177</v>
      </c>
      <c r="Q148" s="21">
        <v>62</v>
      </c>
      <c r="R148" s="29">
        <v>3.2384183170603906</v>
      </c>
      <c r="S148" s="28">
        <v>-17.37105693041034</v>
      </c>
    </row>
    <row r="149" spans="7:19" ht="18.75">
      <c r="G149" s="6">
        <v>76</v>
      </c>
      <c r="H149" s="3">
        <v>57.154000316331015</v>
      </c>
      <c r="I149" s="3">
        <v>21.193026918747996</v>
      </c>
      <c r="J149" s="19">
        <v>44.999063204684717</v>
      </c>
      <c r="Q149" s="21">
        <v>63</v>
      </c>
      <c r="R149" s="29">
        <v>3.2390433170603905</v>
      </c>
      <c r="S149" s="28">
        <v>-14.867725943144713</v>
      </c>
    </row>
    <row r="150" spans="7:19" ht="18.75">
      <c r="G150" s="6">
        <v>77</v>
      </c>
      <c r="H150" s="3">
        <v>57.916053653882095</v>
      </c>
      <c r="I150" s="3">
        <v>-8.5412293882625825</v>
      </c>
      <c r="J150" s="19">
        <v>-44.076875903718964</v>
      </c>
      <c r="Q150" s="21">
        <v>64</v>
      </c>
      <c r="R150" s="29">
        <v>3.2396683170603904</v>
      </c>
      <c r="S150" s="28">
        <v>-11.998302200005449</v>
      </c>
    </row>
    <row r="151" spans="7:19" ht="18.75">
      <c r="G151" s="6">
        <v>78</v>
      </c>
      <c r="H151" s="3">
        <v>58.678106991433175</v>
      </c>
      <c r="I151" s="3">
        <v>-4.4835553513200006</v>
      </c>
      <c r="J151" s="19">
        <v>41.22989415201026</v>
      </c>
      <c r="Q151" s="21">
        <v>65</v>
      </c>
      <c r="R151" s="29">
        <v>3.2402933170603903</v>
      </c>
      <c r="S151" s="28">
        <v>-8.8334404366200587</v>
      </c>
    </row>
    <row r="152" spans="7:19" ht="18.75">
      <c r="G152" s="6">
        <v>79</v>
      </c>
      <c r="H152" s="3">
        <v>59.440160328984256</v>
      </c>
      <c r="I152" s="3">
        <v>17.312547574239861</v>
      </c>
      <c r="J152" s="19">
        <v>-36.582442883318109</v>
      </c>
      <c r="Q152" s="21">
        <v>66</v>
      </c>
      <c r="R152" s="29">
        <v>3.2409183170603901</v>
      </c>
      <c r="S152" s="28">
        <v>-5.4510700531795813</v>
      </c>
    </row>
    <row r="153" spans="7:19" ht="18.75">
      <c r="G153" s="6">
        <v>80</v>
      </c>
      <c r="H153" s="3">
        <v>60.202213666535336</v>
      </c>
      <c r="I153" s="3">
        <v>26.646201452807588</v>
      </c>
      <c r="J153" s="19">
        <v>30.337471790166475</v>
      </c>
      <c r="Q153" s="21">
        <v>67</v>
      </c>
      <c r="R153" s="29">
        <v>3.24154331706039</v>
      </c>
      <c r="S153" s="28">
        <v>-1.9344762339631543</v>
      </c>
    </row>
    <row r="154" spans="7:19" ht="18.75">
      <c r="G154" s="6">
        <v>81</v>
      </c>
      <c r="H154" s="3">
        <v>60.964267004086416</v>
      </c>
      <c r="I154" s="3">
        <v>-25.615771743668304</v>
      </c>
      <c r="J154" s="19">
        <v>-22.767692707473184</v>
      </c>
      <c r="Q154" s="21">
        <v>68</v>
      </c>
      <c r="R154" s="29">
        <v>3.2421683170603899</v>
      </c>
      <c r="S154" s="28">
        <v>1.6297508102919795</v>
      </c>
    </row>
    <row r="155" spans="7:19" ht="18.75">
      <c r="G155" s="6">
        <v>82</v>
      </c>
      <c r="H155" s="3">
        <v>61.726320341637496</v>
      </c>
      <c r="I155" s="3">
        <v>23.466726109675083</v>
      </c>
      <c r="J155" s="19">
        <v>14.203670551035469</v>
      </c>
      <c r="Q155" s="21">
        <v>69</v>
      </c>
      <c r="R155" s="29">
        <v>3.2427933170603898</v>
      </c>
      <c r="S155" s="28">
        <v>5.1538479807648905</v>
      </c>
    </row>
    <row r="156" spans="7:19" ht="18.75">
      <c r="G156" s="6">
        <v>83</v>
      </c>
      <c r="H156" s="3">
        <v>62.488373679188577</v>
      </c>
      <c r="I156" s="3">
        <v>-20.292911290776992</v>
      </c>
      <c r="J156" s="19">
        <v>-5.0193878680456123</v>
      </c>
      <c r="Q156" s="21">
        <v>70</v>
      </c>
      <c r="R156" s="29">
        <v>3.2434183170603896</v>
      </c>
      <c r="S156" s="28">
        <v>8.5510403093105811</v>
      </c>
    </row>
    <row r="157" spans="7:19" ht="18.75">
      <c r="G157" s="6">
        <v>84</v>
      </c>
      <c r="H157" s="3">
        <v>63.250427016739657</v>
      </c>
      <c r="I157" s="3">
        <v>16.232924704006152</v>
      </c>
      <c r="J157" s="19">
        <v>-4.384086618275421</v>
      </c>
      <c r="Q157" s="21">
        <v>71</v>
      </c>
      <c r="R157" s="29">
        <v>3.2440433170603895</v>
      </c>
      <c r="S157" s="28">
        <v>11.737677646163119</v>
      </c>
    </row>
    <row r="158" spans="7:19" ht="18.75">
      <c r="G158" s="6">
        <v>85</v>
      </c>
      <c r="H158" s="3">
        <v>64.01248035429073</v>
      </c>
      <c r="I158" s="3">
        <v>-22.668672113898715</v>
      </c>
      <c r="J158" s="19">
        <v>13.596112291177223</v>
      </c>
      <c r="Q158" s="21">
        <v>72</v>
      </c>
      <c r="R158" s="29">
        <v>3.2446683170603894</v>
      </c>
      <c r="S158" s="28">
        <v>14.63529440425082</v>
      </c>
    </row>
    <row r="159" spans="7:19" ht="18.75">
      <c r="G159" s="6">
        <v>86</v>
      </c>
      <c r="H159" s="3">
        <v>64.77453369184181</v>
      </c>
      <c r="I159" s="3">
        <v>23.950650986248714</v>
      </c>
      <c r="J159" s="19">
        <v>-22.214408917798806</v>
      </c>
      <c r="Q159" s="21">
        <v>73</v>
      </c>
      <c r="R159" s="29">
        <v>3.2452933170603893</v>
      </c>
      <c r="S159" s="28">
        <v>17.172541642348502</v>
      </c>
    </row>
    <row r="160" spans="7:19" ht="18.75">
      <c r="G160" s="6">
        <v>87</v>
      </c>
      <c r="H160" s="3">
        <v>65.536587029392891</v>
      </c>
      <c r="I160" s="3">
        <v>-24.186728143363712</v>
      </c>
      <c r="J160" s="19">
        <v>29.862623837520061</v>
      </c>
      <c r="Q160" s="21">
        <v>74</v>
      </c>
      <c r="R160" s="29">
        <v>3.2459183170603891</v>
      </c>
      <c r="S160" s="28">
        <v>19.286943912813403</v>
      </c>
    </row>
    <row r="161" spans="7:19" ht="18.75">
      <c r="G161" s="6">
        <v>88</v>
      </c>
      <c r="H161" s="3">
        <v>66.298640366943971</v>
      </c>
      <c r="I161" s="3">
        <v>23.366594324594477</v>
      </c>
      <c r="J161" s="19">
        <v>-36.206766917610537</v>
      </c>
      <c r="Q161" s="21">
        <v>75</v>
      </c>
      <c r="R161" s="29">
        <v>3.246543317060389</v>
      </c>
      <c r="S161" s="28">
        <v>20.926437614446854</v>
      </c>
    </row>
    <row r="162" spans="7:19" ht="18.75">
      <c r="G162" s="6">
        <v>89</v>
      </c>
      <c r="H162" s="3">
        <v>67.060693704495051</v>
      </c>
      <c r="I162" s="3">
        <v>-21.52606397894839</v>
      </c>
      <c r="J162" s="19">
        <v>40.969795578458083</v>
      </c>
      <c r="Q162" s="21">
        <v>76</v>
      </c>
      <c r="R162" s="29">
        <v>3.2471683170603889</v>
      </c>
      <c r="S162" s="28">
        <v>22.050652971149376</v>
      </c>
    </row>
    <row r="163" spans="7:19" ht="18.75">
      <c r="G163" s="6">
        <v>90</v>
      </c>
      <c r="H163" s="3">
        <v>67.822747042046132</v>
      </c>
      <c r="I163" s="3">
        <v>18.745511282687712</v>
      </c>
      <c r="J163" s="19">
        <v>-43.943712975003983</v>
      </c>
      <c r="Q163" s="21">
        <v>77</v>
      </c>
      <c r="R163" s="29">
        <v>3.2477933170603888</v>
      </c>
      <c r="S163" s="28">
        <v>22.631908069780728</v>
      </c>
    </row>
    <row r="164" spans="7:19" ht="18.75">
      <c r="G164" s="6">
        <v>91</v>
      </c>
      <c r="H164" s="3">
        <v>68.584800379597212</v>
      </c>
      <c r="I164" s="3">
        <v>3.2907027299395759</v>
      </c>
      <c r="J164" s="19">
        <v>44.998651016805908</v>
      </c>
      <c r="Q164" s="21">
        <v>78</v>
      </c>
      <c r="R164" s="29">
        <v>3.2484183170603886</v>
      </c>
      <c r="S164" s="28">
        <v>22.655890480737536</v>
      </c>
    </row>
    <row r="165" spans="7:19" ht="18.75">
      <c r="G165" s="6">
        <v>92</v>
      </c>
      <c r="H165" s="3">
        <v>69.346853717148292</v>
      </c>
      <c r="I165" s="3">
        <v>-10.237200582321613</v>
      </c>
      <c r="J165" s="19">
        <v>-44.088541582075955</v>
      </c>
      <c r="Q165" s="21">
        <v>79</v>
      </c>
      <c r="R165" s="29">
        <v>3.2490433170603885</v>
      </c>
      <c r="S165" s="28">
        <v>22.122009677468981</v>
      </c>
    </row>
    <row r="166" spans="7:19" ht="18.75">
      <c r="G166" s="6">
        <v>93</v>
      </c>
      <c r="H166" s="3">
        <v>70.108907054699372</v>
      </c>
      <c r="I166" s="3">
        <v>-15.628595826359014</v>
      </c>
      <c r="J166" s="19">
        <v>41.253128267767813</v>
      </c>
      <c r="Q166" s="21">
        <v>80</v>
      </c>
      <c r="R166" s="29">
        <v>3.2496683170603884</v>
      </c>
      <c r="S166" s="28">
        <v>21.043411577201319</v>
      </c>
    </row>
    <row r="167" spans="7:19" ht="18.75">
      <c r="G167" s="6">
        <v>94</v>
      </c>
      <c r="H167" s="3">
        <v>70.870960392250453</v>
      </c>
      <c r="I167" s="3">
        <v>14.423045213402617</v>
      </c>
      <c r="J167" s="19">
        <v>-36.616230825095982</v>
      </c>
      <c r="Q167" s="21">
        <v>81</v>
      </c>
      <c r="R167" s="29">
        <v>3.2502933170603883</v>
      </c>
      <c r="S167" s="28">
        <v>19.446654844823428</v>
      </c>
    </row>
    <row r="168" spans="7:19" ht="18.75">
      <c r="G168" s="6">
        <v>95</v>
      </c>
      <c r="H168" s="3">
        <v>71.633013729801533</v>
      </c>
      <c r="I168" s="3">
        <v>-12.587654195035773</v>
      </c>
      <c r="J168" s="19">
        <v>30.380338071388095</v>
      </c>
      <c r="Q168" s="21"/>
      <c r="R168" s="29"/>
      <c r="S168" s="28"/>
    </row>
    <row r="169" spans="7:19" ht="18.75">
      <c r="G169" s="6">
        <v>96</v>
      </c>
      <c r="H169" s="3">
        <v>72.395067067352613</v>
      </c>
      <c r="I169" s="3">
        <v>-6.8159303603030548</v>
      </c>
      <c r="J169" s="19">
        <v>-22.817765399066111</v>
      </c>
      <c r="Q169" s="21"/>
      <c r="R169" s="29"/>
      <c r="S169" s="28"/>
    </row>
    <row r="170" spans="7:19" ht="18.75">
      <c r="G170" s="6">
        <v>97</v>
      </c>
      <c r="H170" s="3">
        <v>73.157120404903694</v>
      </c>
      <c r="I170" s="3">
        <v>12.312782725898979</v>
      </c>
      <c r="J170" s="19">
        <v>14.25876302722707</v>
      </c>
      <c r="Q170" s="21"/>
      <c r="R170" s="29"/>
      <c r="S170" s="28"/>
    </row>
    <row r="171" spans="7:19" ht="18.75">
      <c r="G171" s="6">
        <v>98</v>
      </c>
      <c r="H171" s="3">
        <v>73.919173742454774</v>
      </c>
      <c r="I171" s="3">
        <v>25.291702956322197</v>
      </c>
      <c r="J171" s="19">
        <v>-5.0770942936451799</v>
      </c>
    </row>
    <row r="172" spans="7:19" ht="18.75">
      <c r="G172" s="6">
        <v>99</v>
      </c>
      <c r="H172" s="3">
        <v>74.681227080005854</v>
      </c>
      <c r="I172" s="3">
        <v>-20.310569728513236</v>
      </c>
      <c r="J172" s="19">
        <v>-4.3262862267847728</v>
      </c>
    </row>
    <row r="173" spans="7:19" ht="18.75">
      <c r="G173" s="6">
        <v>100</v>
      </c>
      <c r="H173" s="3">
        <v>75.443280417556934</v>
      </c>
      <c r="I173" s="3">
        <v>14.442493605877532</v>
      </c>
      <c r="J173" s="19">
        <v>13.540742020952244</v>
      </c>
    </row>
    <row r="174" spans="7:19" ht="18.75">
      <c r="G174" s="6">
        <v>101</v>
      </c>
      <c r="H174" s="3">
        <v>76.205333755108015</v>
      </c>
      <c r="I174" s="3">
        <v>-18.382917489519254</v>
      </c>
      <c r="J174" s="19">
        <v>-22.163886734803274</v>
      </c>
    </row>
    <row r="175" spans="7:19" ht="18.75">
      <c r="G175" s="6">
        <v>102</v>
      </c>
      <c r="H175" s="3">
        <v>76.967387092659095</v>
      </c>
      <c r="I175" s="3">
        <v>1.31599777727141</v>
      </c>
      <c r="J175" s="19">
        <v>29.819155996657894</v>
      </c>
    </row>
    <row r="176" spans="7:19" ht="18.75">
      <c r="G176" s="6">
        <v>103</v>
      </c>
      <c r="H176" s="3">
        <v>77.729440430210175</v>
      </c>
      <c r="I176" s="3">
        <v>15.808390282132274</v>
      </c>
      <c r="J176" s="19">
        <v>-36.172251617193957</v>
      </c>
    </row>
    <row r="177" spans="7:10" ht="18.75">
      <c r="G177" s="6">
        <v>104</v>
      </c>
      <c r="H177" s="3">
        <v>78.491493767761256</v>
      </c>
      <c r="I177" s="3">
        <v>-32.242441259932676</v>
      </c>
      <c r="J177" s="19">
        <v>40.945740068393889</v>
      </c>
    </row>
    <row r="178" spans="7:10" ht="18.75">
      <c r="G178" s="6">
        <v>105</v>
      </c>
      <c r="H178" s="3">
        <v>79.253547105312336</v>
      </c>
      <c r="I178" s="3">
        <v>15.193818431533831</v>
      </c>
      <c r="J178" s="19">
        <v>-43.931167735969048</v>
      </c>
    </row>
    <row r="179" spans="7:10" ht="18.75">
      <c r="G179" s="6">
        <v>106</v>
      </c>
      <c r="H179" s="3">
        <v>80.015600442863416</v>
      </c>
      <c r="I179" s="3">
        <v>-18.789337617355876</v>
      </c>
      <c r="J179" s="19">
        <v>44.998163887299036</v>
      </c>
    </row>
    <row r="180" spans="7:10" ht="18.75">
      <c r="G180" s="6">
        <v>107</v>
      </c>
      <c r="H180" s="3">
        <v>80.777653780414497</v>
      </c>
      <c r="I180" s="3">
        <v>21.56434464028267</v>
      </c>
      <c r="J180" s="19">
        <v>-44.100133834567899</v>
      </c>
    </row>
    <row r="181" spans="7:10" ht="18.75">
      <c r="G181" s="6">
        <v>108</v>
      </c>
      <c r="H181" s="3">
        <v>81.539707117965577</v>
      </c>
      <c r="I181" s="3">
        <v>-23.397657633295616</v>
      </c>
      <c r="J181" s="19">
        <v>41.276293679763704</v>
      </c>
    </row>
    <row r="182" spans="7:10" ht="18.75">
      <c r="G182" s="6">
        <v>109</v>
      </c>
      <c r="H182" s="3">
        <v>82.301760455516657</v>
      </c>
      <c r="I182" s="3">
        <v>24.209217594802332</v>
      </c>
      <c r="J182" s="19">
        <v>-36.649957785633973</v>
      </c>
    </row>
    <row r="183" spans="7:10" ht="18.75">
      <c r="G183" s="6">
        <v>110</v>
      </c>
      <c r="H183" s="3">
        <v>83.063813793067737</v>
      </c>
      <c r="I183" s="3">
        <v>-23.963584487887456</v>
      </c>
      <c r="J183" s="19">
        <v>30.423153756604176</v>
      </c>
    </row>
    <row r="184" spans="7:10" ht="18.75">
      <c r="G184" s="6">
        <v>111</v>
      </c>
      <c r="H184" s="3">
        <v>83.825867130618818</v>
      </c>
      <c r="I184" s="3">
        <v>22.671484872266966</v>
      </c>
      <c r="J184" s="19">
        <v>-22.867800089720628</v>
      </c>
    </row>
    <row r="185" spans="7:10" ht="18.75">
      <c r="G185" s="6">
        <v>112</v>
      </c>
      <c r="H185" s="3">
        <v>84.587920468169898</v>
      </c>
      <c r="I185" s="3">
        <v>-33.378226997727815</v>
      </c>
      <c r="J185" s="19">
        <v>14.31383175659758</v>
      </c>
    </row>
    <row r="186" spans="7:10" ht="18.75">
      <c r="G186" s="6">
        <v>113</v>
      </c>
      <c r="H186" s="3">
        <v>85.349973805720978</v>
      </c>
      <c r="I186" s="3">
        <v>23.450300946406237</v>
      </c>
      <c r="J186" s="19">
        <v>-5.1347922639972108</v>
      </c>
    </row>
    <row r="187" spans="7:10" ht="18.75">
      <c r="G187" s="6">
        <v>114</v>
      </c>
      <c r="H187" s="3">
        <v>86.112027143272059</v>
      </c>
      <c r="I187" s="3">
        <v>-12.498322980961463</v>
      </c>
      <c r="J187" s="19">
        <v>-4.2684786302129503</v>
      </c>
    </row>
    <row r="188" spans="7:10" ht="18.75">
      <c r="G188" s="6">
        <v>115</v>
      </c>
      <c r="H188" s="3">
        <v>86.874080480823139</v>
      </c>
      <c r="I188" s="3">
        <v>1.0005553646933121</v>
      </c>
      <c r="J188" s="19">
        <v>13.485349199556122</v>
      </c>
    </row>
    <row r="189" spans="7:10" ht="18.75">
      <c r="G189" s="6">
        <v>116</v>
      </c>
      <c r="H189" s="3">
        <v>87.636133818374219</v>
      </c>
      <c r="I189" s="3">
        <v>9.5061633943682313</v>
      </c>
      <c r="J189" s="19">
        <v>-22.113327639711152</v>
      </c>
    </row>
    <row r="190" spans="7:10" ht="18.75">
      <c r="G190" s="6">
        <v>117</v>
      </c>
      <c r="H190" s="3">
        <v>88.398187155925299</v>
      </c>
      <c r="I190" s="3">
        <v>-1.6231320710975008</v>
      </c>
      <c r="J190" s="19">
        <v>29.775638494270972</v>
      </c>
    </row>
    <row r="191" spans="7:10" ht="18.75">
      <c r="G191" s="6">
        <v>118</v>
      </c>
      <c r="H191" s="3">
        <v>89.16024049347638</v>
      </c>
      <c r="I191" s="3">
        <v>-6.3307798566895741</v>
      </c>
      <c r="J191" s="19">
        <v>-36.137676074903659</v>
      </c>
    </row>
    <row r="192" spans="7:10" ht="18.75">
      <c r="G192" s="6">
        <v>119</v>
      </c>
      <c r="H192" s="3">
        <v>89.92229383102746</v>
      </c>
      <c r="I192" s="3">
        <v>14.008232763888445</v>
      </c>
      <c r="J192" s="19">
        <v>40.921616366430214</v>
      </c>
    </row>
    <row r="193" spans="7:10" ht="18.75">
      <c r="G193" s="6">
        <v>120</v>
      </c>
      <c r="H193" s="3">
        <v>90.68434716857854</v>
      </c>
      <c r="I193" s="3">
        <v>-21.073959723404858</v>
      </c>
      <c r="J193" s="19">
        <v>-43.918549333148725</v>
      </c>
    </row>
    <row r="194" spans="7:10" ht="18.75">
      <c r="G194" s="6">
        <v>121</v>
      </c>
      <c r="H194" s="3">
        <v>91.446400506129621</v>
      </c>
      <c r="I194" s="3">
        <v>-74.539687520172336</v>
      </c>
      <c r="J194" s="19">
        <v>44.997601816973699</v>
      </c>
    </row>
    <row r="195" spans="7:10" ht="18.75">
      <c r="G195" s="6">
        <v>122</v>
      </c>
      <c r="H195" s="3">
        <v>92.208453843680701</v>
      </c>
      <c r="I195" s="3">
        <v>57.319494987010856</v>
      </c>
      <c r="J195" s="19">
        <v>-44.111652641806977</v>
      </c>
    </row>
    <row r="196" spans="7:10" ht="18.75">
      <c r="G196" s="6">
        <v>123</v>
      </c>
      <c r="H196" s="3">
        <v>92.970507181231781</v>
      </c>
      <c r="I196" s="3">
        <v>-37.596215663001374</v>
      </c>
      <c r="J196" s="19">
        <v>41.299390349482813</v>
      </c>
    </row>
    <row r="197" spans="7:10" ht="18.75">
      <c r="G197" s="6">
        <v>124</v>
      </c>
      <c r="H197" s="3">
        <v>93.732560518782861</v>
      </c>
      <c r="I197" s="3">
        <v>16.231146039455727</v>
      </c>
      <c r="J197" s="19">
        <v>-36.683623708524735</v>
      </c>
    </row>
    <row r="198" spans="7:10" ht="18.75">
      <c r="G198" s="6">
        <v>125</v>
      </c>
      <c r="H198" s="3">
        <v>94.494613856333942</v>
      </c>
      <c r="I198" s="3">
        <v>5.8427219997896778</v>
      </c>
      <c r="J198" s="19">
        <v>30.465918774629131</v>
      </c>
    </row>
    <row r="199" spans="7:10" ht="18.75">
      <c r="G199" s="6">
        <v>126</v>
      </c>
      <c r="H199" s="3">
        <v>95.256667193885022</v>
      </c>
      <c r="I199" s="3">
        <v>-27.66144403253427</v>
      </c>
      <c r="J199" s="19">
        <v>-22.917796695755285</v>
      </c>
    </row>
    <row r="200" spans="7:10" ht="18.75">
      <c r="G200" s="6">
        <v>127</v>
      </c>
      <c r="H200" s="3">
        <v>96.018720531436102</v>
      </c>
      <c r="I200" s="3">
        <v>48.272217613903308</v>
      </c>
      <c r="J200" s="19">
        <v>14.368876647589596</v>
      </c>
    </row>
    <row r="201" spans="7:10" ht="18.75">
      <c r="G201" s="6">
        <v>128</v>
      </c>
      <c r="H201" s="3">
        <v>96.780773868987183</v>
      </c>
      <c r="I201" s="3">
        <v>67.563521682250581</v>
      </c>
      <c r="J201" s="19">
        <v>-5.1924816826037343</v>
      </c>
    </row>
    <row r="202" spans="7:10" ht="18.75">
      <c r="G202" s="6">
        <v>129</v>
      </c>
      <c r="H202" s="3">
        <v>97.542827206538263</v>
      </c>
      <c r="I202" s="3">
        <v>-68.813443861802256</v>
      </c>
      <c r="J202" s="19">
        <v>-4.2106639246708593</v>
      </c>
    </row>
    <row r="203" spans="7:10" ht="18.75">
      <c r="G203" s="6">
        <v>130</v>
      </c>
      <c r="H203" s="3">
        <v>98.304880544089343</v>
      </c>
      <c r="I203" s="3">
        <v>67.058349642931645</v>
      </c>
      <c r="J203" s="19">
        <v>13.429933919553445</v>
      </c>
    </row>
    <row r="204" spans="7:10" ht="18.75">
      <c r="G204" s="6">
        <v>131</v>
      </c>
      <c r="H204" s="3">
        <v>99.066933881640423</v>
      </c>
      <c r="I204" s="3">
        <v>46.858570302116966</v>
      </c>
      <c r="J204" s="19">
        <v>-22.062731716510672</v>
      </c>
    </row>
    <row r="205" spans="7:10" ht="18.75">
      <c r="G205" s="6">
        <v>132</v>
      </c>
      <c r="H205" s="3">
        <v>99.828987219191504</v>
      </c>
      <c r="I205" s="3">
        <v>-47.495918215709594</v>
      </c>
      <c r="J205" s="19">
        <v>29.732071403079555</v>
      </c>
    </row>
    <row r="206" spans="7:10" ht="18.75">
      <c r="G206" s="6">
        <v>133</v>
      </c>
      <c r="H206" s="3">
        <v>100.59104055674258</v>
      </c>
      <c r="I206" s="3">
        <v>-2.4298101151324336</v>
      </c>
      <c r="J206" s="19">
        <v>-36.103040348127486</v>
      </c>
    </row>
    <row r="207" spans="7:10" ht="18.75">
      <c r="G207" s="6">
        <v>134</v>
      </c>
      <c r="H207" s="3">
        <v>101.35309389429366</v>
      </c>
      <c r="I207" s="3">
        <v>5.6423691986100106</v>
      </c>
      <c r="J207" s="19">
        <v>40.897424512879134</v>
      </c>
    </row>
    <row r="208" spans="7:10" ht="18.75">
      <c r="G208" s="6">
        <v>135</v>
      </c>
      <c r="H208" s="3">
        <v>102.11514723184474</v>
      </c>
      <c r="I208" s="3">
        <v>-8.6085314878006596</v>
      </c>
      <c r="J208" s="19">
        <v>-43.905857787486802</v>
      </c>
    </row>
    <row r="209" spans="7:10" ht="18.75">
      <c r="G209" s="6">
        <v>136</v>
      </c>
      <c r="H209" s="3">
        <v>102.87720056939582</v>
      </c>
      <c r="I209" s="3">
        <v>11.198767550485092</v>
      </c>
      <c r="J209" s="19">
        <v>44.996964806769142</v>
      </c>
    </row>
    <row r="210" spans="7:10" ht="18.75">
      <c r="G210" s="6">
        <v>137</v>
      </c>
      <c r="H210" s="3">
        <v>103.63925390694691</v>
      </c>
      <c r="I210" s="3">
        <v>-13.299964288213975</v>
      </c>
      <c r="J210" s="19">
        <v>-44.123097984674502</v>
      </c>
    </row>
    <row r="211" spans="7:10" ht="18.75">
      <c r="G211" s="6">
        <v>138</v>
      </c>
      <c r="H211" s="3">
        <v>104.40130724449799</v>
      </c>
      <c r="I211" s="3">
        <v>63.004035968010953</v>
      </c>
      <c r="J211" s="19">
        <v>41.322418238329277</v>
      </c>
    </row>
    <row r="212" spans="7:10" ht="18.75">
      <c r="G212" s="6">
        <v>139</v>
      </c>
      <c r="H212" s="3">
        <v>105.16336058204907</v>
      </c>
      <c r="I212" s="3">
        <v>-48.633716217036728</v>
      </c>
      <c r="J212" s="19">
        <v>-36.717228537890186</v>
      </c>
    </row>
    <row r="213" spans="7:10" ht="18.75">
      <c r="G213" s="6">
        <v>140</v>
      </c>
      <c r="H213" s="3">
        <v>105.92541391960015</v>
      </c>
      <c r="I213" s="3">
        <v>-35.357541895966691</v>
      </c>
      <c r="J213" s="19">
        <v>30.508633054000153</v>
      </c>
    </row>
    <row r="214" spans="7:10" ht="18.75">
      <c r="G214" s="6">
        <v>141</v>
      </c>
      <c r="H214" s="3">
        <v>106.68746725715123</v>
      </c>
      <c r="I214" s="3">
        <v>32.533743326615351</v>
      </c>
      <c r="J214" s="19">
        <v>-22.967755134186643</v>
      </c>
    </row>
    <row r="215" spans="7:10" ht="18.75">
      <c r="G215" s="6">
        <v>142</v>
      </c>
      <c r="H215" s="3">
        <v>107.44952059470231</v>
      </c>
      <c r="I215" s="3">
        <v>-28.289227718324589</v>
      </c>
      <c r="J215" s="19">
        <v>14.423897608219942</v>
      </c>
    </row>
    <row r="216" spans="7:10" ht="18.75">
      <c r="G216" s="6">
        <v>143</v>
      </c>
      <c r="H216" s="3">
        <v>108.21157393225339</v>
      </c>
      <c r="I216" s="3">
        <v>22.809348954003731</v>
      </c>
      <c r="J216" s="19">
        <v>-5.2501624537129254</v>
      </c>
    </row>
    <row r="217" spans="7:10" ht="18.75">
      <c r="G217" s="6">
        <v>144</v>
      </c>
      <c r="H217" s="3">
        <v>108.97362726980447</v>
      </c>
      <c r="I217" s="3">
        <v>37.384891896513892</v>
      </c>
      <c r="J217" s="19">
        <v>-4.1528422067701944</v>
      </c>
    </row>
    <row r="218" spans="7:10" ht="18.75">
      <c r="G218" s="6">
        <v>145</v>
      </c>
      <c r="H218" s="3">
        <v>109.73568060735555</v>
      </c>
      <c r="I218" s="3">
        <v>-38.697844945235737</v>
      </c>
      <c r="J218" s="19">
        <v>13.374496272921469</v>
      </c>
    </row>
    <row r="219" spans="7:10" ht="18.75">
      <c r="G219" s="6">
        <v>146</v>
      </c>
      <c r="H219" s="3">
        <v>110.49773394490663</v>
      </c>
      <c r="I219" s="3">
        <v>38.320900611741735</v>
      </c>
      <c r="J219" s="19">
        <v>-22.012099049750528</v>
      </c>
    </row>
    <row r="220" spans="7:10" ht="18.75">
      <c r="G220" s="6">
        <v>147</v>
      </c>
      <c r="H220" s="3">
        <v>111.25978728245771</v>
      </c>
      <c r="I220" s="3">
        <v>37.11948311374136</v>
      </c>
      <c r="J220" s="19">
        <v>29.688454795395486</v>
      </c>
    </row>
    <row r="221" spans="7:10" ht="18.75">
      <c r="G221" s="6">
        <v>148</v>
      </c>
      <c r="H221" s="3">
        <v>112.02184062000879</v>
      </c>
      <c r="I221" s="3">
        <v>-21.064429275112662</v>
      </c>
      <c r="J221" s="19">
        <v>-36.068344494743727</v>
      </c>
    </row>
    <row r="222" spans="7:10" ht="18.75">
      <c r="G222" s="6">
        <v>149</v>
      </c>
      <c r="H222" s="3">
        <v>112.78389395755987</v>
      </c>
      <c r="I222" s="3">
        <v>1.7694927942127934</v>
      </c>
      <c r="J222" s="19">
        <v>40.873164547893857</v>
      </c>
    </row>
    <row r="223" spans="7:10" ht="18.75">
      <c r="G223" s="6">
        <v>150</v>
      </c>
      <c r="H223" s="3">
        <v>113.54594729511095</v>
      </c>
      <c r="I223" s="3">
        <v>-6.988086795574536</v>
      </c>
      <c r="J223" s="19">
        <v>-43.89309312019158</v>
      </c>
    </row>
    <row r="224" spans="7:10" ht="18.75">
      <c r="G224" s="6">
        <v>151</v>
      </c>
      <c r="H224" s="3">
        <v>114.30800063266203</v>
      </c>
      <c r="I224" s="3">
        <v>40.508223448079079</v>
      </c>
      <c r="J224" s="19">
        <v>44.996252857742661</v>
      </c>
    </row>
    <row r="225" spans="7:10" ht="18.75">
      <c r="G225" s="6">
        <v>152</v>
      </c>
      <c r="H225" s="3">
        <v>115.07005397021311</v>
      </c>
      <c r="I225" s="3">
        <v>-48.555366714243746</v>
      </c>
      <c r="J225" s="19">
        <v>-44.134469844044645</v>
      </c>
    </row>
    <row r="226" spans="7:10" ht="18.75">
      <c r="G226" s="6">
        <v>153</v>
      </c>
      <c r="H226" s="3">
        <v>115.83210730776419</v>
      </c>
      <c r="I226" s="3">
        <v>54.48214417647101</v>
      </c>
      <c r="J226" s="19">
        <v>41.345377308081829</v>
      </c>
    </row>
    <row r="227" spans="7:10" ht="18.75">
      <c r="G227" s="6">
        <v>154</v>
      </c>
      <c r="H227" s="3">
        <v>116.59416064531527</v>
      </c>
      <c r="I227" s="3">
        <v>-58.0297392075082</v>
      </c>
      <c r="J227" s="19">
        <v>-36.750772217574728</v>
      </c>
    </row>
    <row r="228" spans="7:10" ht="18.75">
      <c r="G228" s="6">
        <v>155</v>
      </c>
      <c r="H228" s="3">
        <v>117.35621398286635</v>
      </c>
      <c r="I228" s="3">
        <v>59.043231770612323</v>
      </c>
      <c r="J228" s="19">
        <v>30.551296523820884</v>
      </c>
    </row>
    <row r="229" spans="7:10" ht="18.75">
      <c r="G229" s="6">
        <v>156</v>
      </c>
      <c r="H229" s="3">
        <v>118.11826732041743</v>
      </c>
      <c r="I229" s="3">
        <v>-57.478363627879233</v>
      </c>
      <c r="J229" s="19">
        <v>-23.017675321531282</v>
      </c>
    </row>
    <row r="230" spans="7:10" ht="18.75">
      <c r="G230" s="6">
        <v>157</v>
      </c>
      <c r="H230" s="3">
        <v>118.88032065796851</v>
      </c>
      <c r="I230" s="3">
        <v>6.1781107687331049</v>
      </c>
      <c r="J230" s="19">
        <v>14.478894547165856</v>
      </c>
    </row>
    <row r="231" spans="7:10" ht="18.75">
      <c r="G231" s="6">
        <v>158</v>
      </c>
      <c r="H231" s="3">
        <v>119.64237399551959</v>
      </c>
      <c r="I231" s="3">
        <v>-5.7589975212601194</v>
      </c>
      <c r="J231" s="19">
        <v>-5.3078344809369025</v>
      </c>
    </row>
    <row r="232" spans="7:10" ht="18.75">
      <c r="G232" s="6">
        <v>159</v>
      </c>
      <c r="H232" s="3">
        <v>120.40442733307067</v>
      </c>
      <c r="I232" s="3">
        <v>5.0883944337502314</v>
      </c>
      <c r="J232" s="19">
        <v>-4.0950135724823689</v>
      </c>
    </row>
    <row r="233" spans="7:10" ht="18.75">
      <c r="G233" s="6">
        <v>160</v>
      </c>
      <c r="H233" s="3">
        <v>121.16648067062175</v>
      </c>
      <c r="I233" s="3">
        <v>-4.1955860930536639</v>
      </c>
      <c r="J233" s="19">
        <v>13.319036352299682</v>
      </c>
    </row>
    <row r="234" spans="7:10" ht="18.75">
      <c r="G234" s="6">
        <v>161</v>
      </c>
      <c r="H234" s="3">
        <v>121.92853400817283</v>
      </c>
      <c r="I234" s="3">
        <v>3.1195605741155772</v>
      </c>
      <c r="J234" s="19">
        <v>-21.961429723469887</v>
      </c>
    </row>
    <row r="235" spans="7:10" ht="18.75">
      <c r="G235" s="6">
        <v>162</v>
      </c>
      <c r="H235" s="3">
        <v>122.69058734572391</v>
      </c>
      <c r="I235" s="3">
        <v>-62.949407948991535</v>
      </c>
      <c r="J235" s="19">
        <v>29.644788744104623</v>
      </c>
    </row>
    <row r="236" spans="7:10" ht="18.75">
      <c r="G236" s="6">
        <v>163</v>
      </c>
      <c r="H236" s="3">
        <v>123.45264068327499</v>
      </c>
      <c r="I236" s="3">
        <v>70.519080524267821</v>
      </c>
      <c r="J236" s="19">
        <v>-36.033588572339902</v>
      </c>
    </row>
    <row r="237" spans="7:10" ht="18.75">
      <c r="G237" s="6">
        <v>164</v>
      </c>
      <c r="H237" s="3">
        <v>124.21469402082607</v>
      </c>
      <c r="I237" s="3">
        <v>-75.009253201308312</v>
      </c>
      <c r="J237" s="19">
        <v>40.848836512014167</v>
      </c>
    </row>
    <row r="238" spans="7:10" ht="18.75">
      <c r="G238" s="6">
        <v>165</v>
      </c>
      <c r="H238" s="3">
        <v>124.97674735837715</v>
      </c>
      <c r="I238" s="3">
        <v>76.223844491097566</v>
      </c>
      <c r="J238" s="19">
        <v>-43.880255352449623</v>
      </c>
    </row>
    <row r="239" spans="7:10" ht="18.75">
      <c r="G239" s="6">
        <v>166</v>
      </c>
      <c r="H239" s="3">
        <v>125.73880069592823</v>
      </c>
      <c r="I239" s="3">
        <v>-74.109814369251851</v>
      </c>
      <c r="J239" s="19">
        <v>44.995465971083966</v>
      </c>
    </row>
    <row r="240" spans="7:10" ht="18.75">
      <c r="G240" s="6">
        <v>167</v>
      </c>
      <c r="H240" s="3">
        <v>126.50085403347931</v>
      </c>
      <c r="I240" s="3">
        <v>51.839338472495179</v>
      </c>
      <c r="J240" s="19">
        <v>-44.1457682010426</v>
      </c>
    </row>
    <row r="241" spans="7:10" ht="18.75">
      <c r="G241" s="6">
        <v>168</v>
      </c>
      <c r="H241" s="3">
        <v>127.26290737103039</v>
      </c>
      <c r="I241" s="3">
        <v>-46.441229004910511</v>
      </c>
      <c r="J241" s="19">
        <v>41.368267520374552</v>
      </c>
    </row>
    <row r="242" spans="7:10" ht="18.75">
      <c r="G242" s="6">
        <v>169</v>
      </c>
      <c r="H242" s="3">
        <v>128.02496070858146</v>
      </c>
      <c r="I242" s="3">
        <v>39.015076078185402</v>
      </c>
      <c r="J242" s="19">
        <v>-36.784254691808876</v>
      </c>
    </row>
    <row r="243" spans="7:10" ht="18.75">
      <c r="G243" s="6">
        <v>170</v>
      </c>
      <c r="H243" s="3">
        <v>128.78701404613253</v>
      </c>
      <c r="I243" s="3">
        <v>14.487282458958509</v>
      </c>
      <c r="J243" s="19">
        <v>30.593909112558102</v>
      </c>
    </row>
    <row r="244" spans="7:10" ht="18.75">
      <c r="G244" s="6">
        <v>171</v>
      </c>
      <c r="H244" s="3">
        <v>129.54906738368359</v>
      </c>
      <c r="I244" s="3">
        <v>6.9765760711037279</v>
      </c>
      <c r="J244" s="19">
        <v>-23.067557174510913</v>
      </c>
    </row>
    <row r="245" spans="7:10" ht="18.75">
      <c r="G245" s="6">
        <v>172</v>
      </c>
      <c r="H245" s="3">
        <v>130.31112072123466</v>
      </c>
      <c r="I245" s="3">
        <v>-28.135774286297902</v>
      </c>
      <c r="J245" s="19">
        <v>14.533867371904547</v>
      </c>
    </row>
    <row r="246" spans="7:10" ht="18.75">
      <c r="G246" s="6">
        <v>173</v>
      </c>
      <c r="H246" s="3">
        <v>131.07317405878572</v>
      </c>
      <c r="I246" s="3">
        <v>48.066310507962143</v>
      </c>
      <c r="J246" s="19">
        <v>-5.3654976677400006</v>
      </c>
    </row>
    <row r="247" spans="7:10" ht="18.75">
      <c r="G247" s="6">
        <v>174</v>
      </c>
      <c r="H247" s="3">
        <v>131.83522739633679</v>
      </c>
      <c r="I247" s="3">
        <v>-65.897837536227257</v>
      </c>
      <c r="J247" s="19">
        <v>-4.0371781194206466</v>
      </c>
    </row>
    <row r="248" spans="7:10" ht="18.75">
      <c r="G248" s="6">
        <v>175</v>
      </c>
      <c r="H248" s="3">
        <v>132.59728073388786</v>
      </c>
      <c r="I248" s="3">
        <v>-62.326037406241618</v>
      </c>
      <c r="J248" s="19">
        <v>13.263554250990921</v>
      </c>
    </row>
    <row r="249" spans="7:10" ht="18.75">
      <c r="G249" s="6">
        <v>176</v>
      </c>
      <c r="H249" s="3">
        <v>133.35933407143892</v>
      </c>
      <c r="I249" s="3">
        <v>55.784507390658206</v>
      </c>
      <c r="J249" s="19">
        <v>-21.910723823341041</v>
      </c>
    </row>
    <row r="250" spans="7:10" ht="18.75">
      <c r="G250" s="6">
        <v>177</v>
      </c>
      <c r="H250" s="3">
        <v>134.12138740898999</v>
      </c>
      <c r="I250" s="3">
        <v>-46.8069220042022</v>
      </c>
      <c r="J250" s="19">
        <v>29.601073322792804</v>
      </c>
    </row>
    <row r="251" spans="7:10" ht="18.75">
      <c r="G251" s="6">
        <v>178</v>
      </c>
      <c r="H251" s="3">
        <v>134.88344074654105</v>
      </c>
      <c r="I251" s="3">
        <v>35.785323699690814</v>
      </c>
      <c r="J251" s="19">
        <v>-35.998772639977489</v>
      </c>
    </row>
    <row r="252" spans="7:10" ht="18.75">
      <c r="G252" s="6">
        <v>179</v>
      </c>
      <c r="H252" s="3">
        <v>135.64549408409212</v>
      </c>
      <c r="I252" s="3">
        <v>-23.201014992807842</v>
      </c>
      <c r="J252" s="19">
        <v>40.824440446445713</v>
      </c>
    </row>
    <row r="253" spans="7:10" ht="18.75">
      <c r="G253" s="6">
        <v>180</v>
      </c>
      <c r="H253" s="3">
        <v>136.40754742164319</v>
      </c>
      <c r="I253" s="3">
        <v>9.6035404483931366</v>
      </c>
      <c r="J253" s="19">
        <v>-43.86734450611506</v>
      </c>
    </row>
    <row r="254" spans="7:10" ht="18.75">
      <c r="G254" s="6">
        <v>181</v>
      </c>
      <c r="H254" s="3">
        <v>137.16960075919425</v>
      </c>
      <c r="I254" s="3">
        <v>-76.111292633445558</v>
      </c>
      <c r="J254" s="19">
        <v>44.994604148132069</v>
      </c>
    </row>
    <row r="255" spans="7:10" ht="18.75">
      <c r="G255" s="6">
        <v>182</v>
      </c>
      <c r="H255" s="3">
        <v>137.93165409674532</v>
      </c>
      <c r="I255" s="3">
        <v>70.504163206380781</v>
      </c>
      <c r="J255" s="19">
        <v>-44.156993036346606</v>
      </c>
    </row>
    <row r="256" spans="7:10" ht="18.75">
      <c r="G256" s="6">
        <v>183</v>
      </c>
      <c r="H256" s="3">
        <v>138.69370743429639</v>
      </c>
      <c r="I256" s="3">
        <v>-61.818185305631069</v>
      </c>
      <c r="J256" s="19">
        <v>41.391088836186917</v>
      </c>
    </row>
    <row r="257" spans="7:10" ht="18.75">
      <c r="G257" s="6">
        <v>184</v>
      </c>
      <c r="H257" s="3">
        <v>139.45576077184745</v>
      </c>
      <c r="I257" s="3">
        <v>65.387285282758128</v>
      </c>
      <c r="J257" s="19">
        <v>-36.817675903512473</v>
      </c>
    </row>
    <row r="258" spans="7:10" ht="18.75">
      <c r="G258" s="6">
        <v>185</v>
      </c>
      <c r="H258" s="3">
        <v>140.21781410939852</v>
      </c>
      <c r="I258" s="3">
        <v>-64.961586967891407</v>
      </c>
      <c r="J258" s="19">
        <v>30.636470748166062</v>
      </c>
    </row>
    <row r="259" spans="7:10" ht="18.75">
      <c r="G259" s="6">
        <v>186</v>
      </c>
      <c r="H259" s="3">
        <v>140.97986744694958</v>
      </c>
      <c r="I259" s="3">
        <v>61.699079111738726</v>
      </c>
      <c r="J259" s="19">
        <v>-23.117400608506962</v>
      </c>
    </row>
    <row r="260" spans="7:10" ht="18.75">
      <c r="G260" s="6">
        <v>187</v>
      </c>
      <c r="H260" s="3">
        <v>141.74192078450065</v>
      </c>
      <c r="I260" s="3">
        <v>-55.742232270313885</v>
      </c>
      <c r="J260" s="19">
        <v>14.588815989955023</v>
      </c>
    </row>
    <row r="261" spans="7:10" ht="18.75">
      <c r="G261" s="6">
        <v>188</v>
      </c>
      <c r="H261" s="3">
        <v>142.50397412205172</v>
      </c>
      <c r="I261" s="3">
        <v>47.351176172059638</v>
      </c>
      <c r="J261" s="19">
        <v>-5.4231519171140343</v>
      </c>
    </row>
    <row r="262" spans="7:10" ht="18.75">
      <c r="G262" s="6">
        <v>189</v>
      </c>
      <c r="H262" s="3">
        <v>143.26602745960278</v>
      </c>
      <c r="I262" s="3">
        <v>-36.892340103486617</v>
      </c>
      <c r="J262" s="19">
        <v>-3.9793359440687825</v>
      </c>
    </row>
    <row r="263" spans="7:10" ht="18.75">
      <c r="G263" s="6">
        <v>190</v>
      </c>
      <c r="H263" s="3">
        <v>144.02808079715385</v>
      </c>
      <c r="I263" s="3">
        <v>18.512227719734838</v>
      </c>
      <c r="J263" s="19">
        <v>13.208050061397465</v>
      </c>
    </row>
    <row r="264" spans="7:10" ht="18.75">
      <c r="G264" s="6">
        <v>191</v>
      </c>
      <c r="H264" s="3">
        <v>144.79013413470491</v>
      </c>
      <c r="I264" s="3">
        <v>-7.5538439721640698</v>
      </c>
      <c r="J264" s="19">
        <v>-21.859981433956154</v>
      </c>
    </row>
    <row r="265" spans="7:10" ht="18.75">
      <c r="G265" s="6">
        <v>192</v>
      </c>
      <c r="H265" s="3">
        <v>145.55218747225598</v>
      </c>
      <c r="I265" s="3">
        <v>-3.7344088199964633</v>
      </c>
      <c r="J265" s="19">
        <v>29.557308604020992</v>
      </c>
    </row>
    <row r="266" spans="7:10" ht="18.75">
      <c r="G266" s="6">
        <v>193</v>
      </c>
      <c r="H266" s="3">
        <v>146.31424080980705</v>
      </c>
      <c r="I266" s="3">
        <v>14.859583598814018</v>
      </c>
      <c r="J266" s="19">
        <v>-35.963896754956373</v>
      </c>
    </row>
    <row r="267" spans="7:10" ht="18.75">
      <c r="G267" s="6">
        <v>194</v>
      </c>
      <c r="H267" s="3">
        <v>147.07629414735811</v>
      </c>
      <c r="I267" s="3">
        <v>27.548191787128822</v>
      </c>
      <c r="J267" s="19">
        <v>40.799976391272025</v>
      </c>
    </row>
    <row r="268" spans="7:10" ht="18.75">
      <c r="G268" s="6">
        <v>195</v>
      </c>
      <c r="H268" s="3">
        <v>147.83834748490918</v>
      </c>
      <c r="I268" s="3">
        <v>-35.458482288623813</v>
      </c>
      <c r="J268" s="19">
        <v>-43.854360602366945</v>
      </c>
    </row>
    <row r="269" spans="7:10" ht="18.75">
      <c r="G269" s="6">
        <v>196</v>
      </c>
      <c r="H269" s="3">
        <v>148.60040082246024</v>
      </c>
      <c r="I269" s="3">
        <v>41.820335235687637</v>
      </c>
      <c r="J269" s="19">
        <v>44.99366739030242</v>
      </c>
    </row>
    <row r="270" spans="7:10" ht="18.75">
      <c r="G270" s="6">
        <v>197</v>
      </c>
      <c r="H270" s="3">
        <v>149.36245416001131</v>
      </c>
      <c r="I270" s="3">
        <v>-12.518521141347497</v>
      </c>
      <c r="J270" s="19">
        <v>-44.168144331741921</v>
      </c>
    </row>
    <row r="271" spans="7:10" ht="18.75">
      <c r="G271" s="6">
        <v>198</v>
      </c>
      <c r="H271" s="3">
        <v>150.12450749756238</v>
      </c>
      <c r="I271" s="3">
        <v>9.8501506662029978</v>
      </c>
      <c r="J271" s="19">
        <v>41.413841218545265</v>
      </c>
    </row>
    <row r="272" spans="7:10" ht="18.75">
      <c r="G272" s="6">
        <v>199</v>
      </c>
      <c r="H272" s="3">
        <v>150.88656083511344</v>
      </c>
      <c r="I272" s="3">
        <v>-6.7516336584711976</v>
      </c>
      <c r="J272" s="19">
        <v>-36.851035798347823</v>
      </c>
    </row>
    <row r="273" spans="7:10" ht="18.75">
      <c r="G273" s="6">
        <v>200</v>
      </c>
      <c r="H273" s="3">
        <v>151.64861417266451</v>
      </c>
      <c r="I273" s="3">
        <v>16.359759220964381</v>
      </c>
      <c r="J273" s="19">
        <v>30.67898136120418</v>
      </c>
    </row>
    <row r="298" spans="1:14" ht="18.75">
      <c r="A298" s="1" t="s">
        <v>47</v>
      </c>
    </row>
    <row r="299" spans="1:14">
      <c r="A299" s="45">
        <v>1</v>
      </c>
      <c r="B299" s="45">
        <v>2</v>
      </c>
      <c r="C299" s="45">
        <v>3</v>
      </c>
      <c r="D299" s="45">
        <v>4</v>
      </c>
      <c r="E299" s="45">
        <v>5</v>
      </c>
      <c r="F299" s="45">
        <v>6</v>
      </c>
      <c r="G299" s="45">
        <v>7</v>
      </c>
      <c r="H299" s="45">
        <v>8</v>
      </c>
      <c r="I299" s="45">
        <v>9</v>
      </c>
      <c r="J299" s="45">
        <v>10</v>
      </c>
      <c r="K299" s="45">
        <v>11</v>
      </c>
      <c r="L299" s="45">
        <v>12</v>
      </c>
      <c r="M299" s="45">
        <v>13</v>
      </c>
      <c r="N299" s="45">
        <v>14</v>
      </c>
    </row>
    <row r="300" spans="1:14" s="43" customFormat="1">
      <c r="A300" s="44" t="s">
        <v>21</v>
      </c>
      <c r="B300" s="44" t="s">
        <v>41</v>
      </c>
      <c r="C300" s="44" t="s">
        <v>45</v>
      </c>
      <c r="D300" s="44" t="s">
        <v>46</v>
      </c>
      <c r="E300" s="44"/>
      <c r="F300" s="44" t="s">
        <v>26</v>
      </c>
      <c r="G300" s="44" t="s">
        <v>21</v>
      </c>
      <c r="H300" s="44" t="s">
        <v>48</v>
      </c>
      <c r="I300" s="44" t="s">
        <v>49</v>
      </c>
      <c r="J300" s="44" t="s">
        <v>50</v>
      </c>
      <c r="K300" s="44" t="s">
        <v>51</v>
      </c>
    </row>
    <row r="301" spans="1:14">
      <c r="A301" s="21">
        <v>1</v>
      </c>
      <c r="B301" s="29">
        <v>2.2721216678619385</v>
      </c>
      <c r="C301" s="29">
        <v>1.0635325581454005</v>
      </c>
      <c r="D301" s="29">
        <v>1.6294171629194483</v>
      </c>
      <c r="E301" s="29">
        <v>0</v>
      </c>
      <c r="F301" s="29">
        <v>0.76285415887832642</v>
      </c>
      <c r="G301" s="21">
        <v>1</v>
      </c>
      <c r="H301" s="29">
        <v>0</v>
      </c>
      <c r="I301" s="29">
        <v>2.2721216678619385</v>
      </c>
      <c r="J301" s="29">
        <v>-2.8039260041043672</v>
      </c>
      <c r="K301" s="29">
        <v>45</v>
      </c>
    </row>
    <row r="302" spans="1:14">
      <c r="A302" s="21">
        <v>2</v>
      </c>
      <c r="B302" s="29">
        <v>1.8183236122131348</v>
      </c>
      <c r="C302" s="29">
        <v>0.55052361242328685</v>
      </c>
      <c r="D302" s="29">
        <v>-1.5546397190873344</v>
      </c>
      <c r="E302" s="29">
        <v>2.2721216678619385</v>
      </c>
      <c r="G302" s="21">
        <v>2</v>
      </c>
      <c r="H302" s="29">
        <v>0.76285415887832642</v>
      </c>
      <c r="I302" s="29">
        <v>2.2721216678619385</v>
      </c>
      <c r="J302" s="29">
        <v>2.4126805050452496</v>
      </c>
      <c r="K302" s="29">
        <v>-44.998491843138368</v>
      </c>
    </row>
    <row r="303" spans="1:14">
      <c r="A303" s="21">
        <v>3</v>
      </c>
      <c r="B303" s="29">
        <v>4.5100193023681641</v>
      </c>
      <c r="C303" s="29">
        <v>1.4745546321876244</v>
      </c>
      <c r="D303" s="29">
        <v>-1.3976190338140979</v>
      </c>
      <c r="E303" s="29">
        <v>4.0904455184936523</v>
      </c>
      <c r="G303" s="21">
        <v>3</v>
      </c>
      <c r="H303" s="29">
        <v>1.5257083177566528</v>
      </c>
      <c r="I303" s="29">
        <v>2.2721216678619385</v>
      </c>
      <c r="J303" s="29">
        <v>-2.0212732859553095</v>
      </c>
      <c r="K303" s="29">
        <v>44.993967473644005</v>
      </c>
    </row>
    <row r="304" spans="1:14">
      <c r="A304" s="21">
        <v>4</v>
      </c>
      <c r="B304" s="29">
        <v>1.4603404998779297</v>
      </c>
      <c r="C304" s="29">
        <v>0.83471954341222332</v>
      </c>
      <c r="D304" s="29">
        <v>-2.1080629860620785</v>
      </c>
      <c r="E304" s="29">
        <v>8.6004648208618164</v>
      </c>
      <c r="G304" s="21">
        <v>4</v>
      </c>
      <c r="H304" s="29">
        <v>2.288562536239624</v>
      </c>
      <c r="I304" s="29">
        <v>4.0904455184936523</v>
      </c>
      <c r="J304" s="29">
        <v>0.20784517083264809</v>
      </c>
      <c r="K304" s="29">
        <v>-44.986443736883402</v>
      </c>
    </row>
    <row r="305" spans="1:11">
      <c r="A305" s="21">
        <v>5</v>
      </c>
      <c r="B305" s="29">
        <v>1.8610489368438721</v>
      </c>
      <c r="C305" s="29">
        <v>0.28557603455405051</v>
      </c>
      <c r="D305" s="29">
        <v>-2.3500121281692938</v>
      </c>
      <c r="E305" s="29">
        <v>10.060805320739746</v>
      </c>
      <c r="G305" s="21">
        <v>5</v>
      </c>
      <c r="H305" s="29">
        <v>3.0514166355133057</v>
      </c>
      <c r="I305" s="29">
        <v>4.0904455184936523</v>
      </c>
      <c r="J305" s="29">
        <v>-0.41102476582272707</v>
      </c>
      <c r="K305" s="29">
        <v>44.975871511970432</v>
      </c>
    </row>
    <row r="306" spans="1:11">
      <c r="A306" s="21">
        <v>6</v>
      </c>
      <c r="B306" s="29">
        <v>3.3564352989196777</v>
      </c>
      <c r="C306" s="29">
        <v>1.539383724221314</v>
      </c>
      <c r="D306" s="29">
        <v>1.2278800898600519</v>
      </c>
      <c r="E306" s="29">
        <v>11.921854019165039</v>
      </c>
      <c r="G306" s="21">
        <v>6</v>
      </c>
      <c r="H306" s="29">
        <v>3.8142707347869873</v>
      </c>
      <c r="I306" s="29">
        <v>4.0904455184936523</v>
      </c>
      <c r="J306" s="29">
        <v>0.61417670929315993</v>
      </c>
      <c r="K306" s="29">
        <v>-44.9622735540649</v>
      </c>
    </row>
    <row r="307" spans="1:11">
      <c r="A307" s="21">
        <v>7</v>
      </c>
      <c r="B307" s="29">
        <v>2.7317359447479248</v>
      </c>
      <c r="C307" s="29">
        <v>0.28977769963553679</v>
      </c>
      <c r="D307" s="29">
        <v>1.2253128441811076</v>
      </c>
      <c r="E307" s="29">
        <v>15.278289794921875</v>
      </c>
      <c r="G307" s="21">
        <v>7</v>
      </c>
      <c r="H307" s="29">
        <v>4.577125072479248</v>
      </c>
      <c r="I307" s="29">
        <v>8.6004648208618164</v>
      </c>
      <c r="J307" s="29">
        <v>8.2124952091295853</v>
      </c>
      <c r="K307" s="29">
        <v>44.945783115190032</v>
      </c>
    </row>
    <row r="308" spans="1:11">
      <c r="A308" s="21">
        <v>8</v>
      </c>
      <c r="B308" s="29">
        <v>3.1000833511352539</v>
      </c>
      <c r="C308" s="29">
        <v>1.3086514168213224</v>
      </c>
      <c r="D308" s="29">
        <v>-0.28307076282777688</v>
      </c>
      <c r="E308" s="29">
        <v>18.010025024414062</v>
      </c>
      <c r="G308" s="21">
        <v>8</v>
      </c>
      <c r="H308" s="29">
        <v>5.3399791717529297</v>
      </c>
      <c r="I308" s="29">
        <v>8.6004648208618164</v>
      </c>
      <c r="J308" s="29">
        <v>-7.6721574554222833</v>
      </c>
      <c r="K308" s="29">
        <v>-44.926158713249329</v>
      </c>
    </row>
    <row r="309" spans="1:11">
      <c r="A309" s="21">
        <v>9</v>
      </c>
      <c r="B309" s="29">
        <v>2.7155554294586182</v>
      </c>
      <c r="C309" s="29">
        <v>0.32579991359538152</v>
      </c>
      <c r="D309" s="29">
        <v>0.59209561173027314</v>
      </c>
      <c r="E309" s="29">
        <v>21.110107421875</v>
      </c>
      <c r="G309" s="21">
        <v>9</v>
      </c>
      <c r="H309" s="29">
        <v>6.1028332710266113</v>
      </c>
      <c r="I309" s="29">
        <v>8.6004648208618164</v>
      </c>
      <c r="J309" s="29">
        <v>7.1313035605079138</v>
      </c>
      <c r="K309" s="29">
        <v>44.903511922723276</v>
      </c>
    </row>
    <row r="310" spans="1:11">
      <c r="A310" s="21">
        <v>10</v>
      </c>
      <c r="B310" s="29">
        <v>2.1601262092590332</v>
      </c>
      <c r="C310" s="29">
        <v>0.15237466198009134</v>
      </c>
      <c r="D310" s="29">
        <v>-1.6344336845634249</v>
      </c>
      <c r="E310" s="29">
        <v>23.825662612915039</v>
      </c>
      <c r="G310" s="21">
        <v>10</v>
      </c>
      <c r="H310" s="29">
        <v>6.865687370300293</v>
      </c>
      <c r="I310" s="29">
        <v>8.6004648208618164</v>
      </c>
      <c r="J310" s="29">
        <v>-6.5899699101366069</v>
      </c>
      <c r="K310" s="29">
        <v>-44.877844267166502</v>
      </c>
    </row>
    <row r="311" spans="1:11">
      <c r="A311" s="21">
        <v>11</v>
      </c>
      <c r="B311" s="29">
        <v>2.2190320491790771</v>
      </c>
      <c r="C311" s="29">
        <v>1.5659806805118537</v>
      </c>
      <c r="D311" s="29">
        <v>-1.79658886119455</v>
      </c>
      <c r="E311" s="29">
        <v>25.985788345336914</v>
      </c>
      <c r="G311" s="21">
        <v>11</v>
      </c>
      <c r="H311" s="29">
        <v>7.6285414695739746</v>
      </c>
      <c r="I311" s="29">
        <v>8.6004648208618164</v>
      </c>
      <c r="J311" s="29">
        <v>6.0481929222738398</v>
      </c>
      <c r="K311" s="29">
        <v>44.84915747335841</v>
      </c>
    </row>
    <row r="312" spans="1:11">
      <c r="A312" s="21">
        <v>12</v>
      </c>
      <c r="B312" s="29">
        <v>2.0054054260253906</v>
      </c>
      <c r="C312" s="29">
        <v>1.0805041960119688</v>
      </c>
      <c r="D312" s="29">
        <v>2.1802731842152481</v>
      </c>
      <c r="E312" s="29">
        <v>28.20482063293457</v>
      </c>
      <c r="G312" s="21">
        <v>12</v>
      </c>
      <c r="H312" s="29">
        <v>8.3913955688476563</v>
      </c>
      <c r="I312" s="29">
        <v>8.6004648208618164</v>
      </c>
      <c r="J312" s="29">
        <v>-5.5060090447855217</v>
      </c>
      <c r="K312" s="29">
        <v>-44.817453471192671</v>
      </c>
    </row>
    <row r="313" spans="1:11">
      <c r="A313" s="21">
        <v>13</v>
      </c>
      <c r="B313" s="29">
        <v>4.8356409072875977</v>
      </c>
      <c r="C313" s="29">
        <v>1.1440213566335204</v>
      </c>
      <c r="D313" s="29">
        <v>-2.1106302317410228</v>
      </c>
      <c r="E313" s="29">
        <v>30.210226058959961</v>
      </c>
      <c r="G313" s="21">
        <v>13</v>
      </c>
      <c r="H313" s="29">
        <v>9.1542501449584961</v>
      </c>
      <c r="I313" s="29">
        <v>10.060805320739746</v>
      </c>
      <c r="J313" s="29">
        <v>-22.294845623435158</v>
      </c>
      <c r="K313" s="29">
        <v>44.783263103897823</v>
      </c>
    </row>
    <row r="314" spans="1:11">
      <c r="A314" s="21">
        <v>14</v>
      </c>
      <c r="B314" s="29">
        <v>2.2293963432312012</v>
      </c>
      <c r="C314" s="29">
        <v>1.3053585873273887</v>
      </c>
      <c r="D314" s="29">
        <v>2.4247895720014077</v>
      </c>
      <c r="E314" s="29">
        <v>35.045867919921875</v>
      </c>
      <c r="G314" s="21">
        <v>14</v>
      </c>
      <c r="H314" s="29">
        <v>9.9171047210693359</v>
      </c>
      <c r="I314" s="29">
        <v>10.060805320739746</v>
      </c>
      <c r="J314" s="29">
        <v>22.538446788498948</v>
      </c>
      <c r="K314" s="29">
        <v>-44.74614731361283</v>
      </c>
    </row>
    <row r="315" spans="1:11">
      <c r="A315" s="21">
        <v>15</v>
      </c>
      <c r="B315" s="29">
        <v>2.971907377243042</v>
      </c>
      <c r="C315" s="29">
        <v>0.51161264609454016</v>
      </c>
      <c r="D315" s="29">
        <v>2.1030464644181017</v>
      </c>
      <c r="E315" s="29">
        <v>37.275264739990234</v>
      </c>
      <c r="G315" s="21">
        <v>15</v>
      </c>
      <c r="H315" s="29">
        <v>10.679959297180176</v>
      </c>
      <c r="I315" s="29">
        <v>11.921854019165039</v>
      </c>
      <c r="J315" s="29">
        <v>-10.014872344707312</v>
      </c>
      <c r="K315" s="29">
        <v>44.706108524886339</v>
      </c>
    </row>
    <row r="316" spans="1:11">
      <c r="A316" s="21">
        <v>16</v>
      </c>
      <c r="B316" s="29">
        <v>2.1763067245483398</v>
      </c>
      <c r="C316" s="29">
        <v>4.9228088641026096E-2</v>
      </c>
      <c r="D316" s="29">
        <v>-1.0012164521125904</v>
      </c>
      <c r="E316" s="29">
        <v>40.247173309326172</v>
      </c>
      <c r="G316" s="21">
        <v>16</v>
      </c>
      <c r="H316" s="29">
        <v>11.442813873291016</v>
      </c>
      <c r="I316" s="29">
        <v>11.921854019165039</v>
      </c>
      <c r="J316" s="29">
        <v>10.079630543908461</v>
      </c>
      <c r="K316" s="29">
        <v>-44.663149353215182</v>
      </c>
    </row>
    <row r="317" spans="1:11">
      <c r="A317" s="21">
        <v>17</v>
      </c>
      <c r="B317" s="29">
        <v>4.2213058471679687</v>
      </c>
      <c r="C317" s="29">
        <v>1.3204299999522653</v>
      </c>
      <c r="D317" s="29">
        <v>2.1081809557759907</v>
      </c>
      <c r="E317" s="29">
        <v>42.423480987548828</v>
      </c>
      <c r="G317" s="21">
        <v>17</v>
      </c>
      <c r="H317" s="29">
        <v>12.205668449401855</v>
      </c>
      <c r="I317" s="29">
        <v>15.278289794921875</v>
      </c>
      <c r="J317" s="29">
        <v>31.584216847443312</v>
      </c>
      <c r="K317" s="29">
        <v>44.617272604868013</v>
      </c>
    </row>
    <row r="318" spans="1:11">
      <c r="A318" s="21">
        <v>18</v>
      </c>
      <c r="B318" s="29">
        <v>2.5019288063049316</v>
      </c>
      <c r="C318" s="29">
        <v>1.4939408713437143</v>
      </c>
      <c r="D318" s="29">
        <v>-1.7142276500395153</v>
      </c>
      <c r="E318" s="29">
        <v>46.644786834716797</v>
      </c>
      <c r="G318" s="21">
        <v>18</v>
      </c>
      <c r="H318" s="29">
        <v>12.968523025512695</v>
      </c>
      <c r="I318" s="29">
        <v>15.278289794921875</v>
      </c>
      <c r="J318" s="29">
        <v>-32.081480407386827</v>
      </c>
      <c r="K318" s="29">
        <v>-44.568481276693525</v>
      </c>
    </row>
    <row r="319" spans="1:11">
      <c r="A319" s="21">
        <v>19</v>
      </c>
      <c r="B319" s="29">
        <v>4.9903621673583984</v>
      </c>
      <c r="C319" s="29">
        <v>0.2813197200047145</v>
      </c>
      <c r="D319" s="29">
        <v>0.35784820665989064</v>
      </c>
      <c r="E319" s="29">
        <v>49.146717071533203</v>
      </c>
      <c r="G319" s="21">
        <v>19</v>
      </c>
      <c r="H319" s="29">
        <v>13.731377601623535</v>
      </c>
      <c r="I319" s="29">
        <v>15.278289794921875</v>
      </c>
      <c r="J319" s="29">
        <v>32.576648275878874</v>
      </c>
      <c r="K319" s="29">
        <v>44.516778555943148</v>
      </c>
    </row>
    <row r="320" spans="1:11">
      <c r="A320" s="21">
        <v>20</v>
      </c>
      <c r="B320" s="29">
        <v>3.6127872467041016</v>
      </c>
      <c r="C320" s="29">
        <v>1.9474181929658962</v>
      </c>
      <c r="D320" s="29">
        <v>2.7388309425478807</v>
      </c>
      <c r="E320" s="29">
        <v>54.137077331542969</v>
      </c>
      <c r="G320" s="21">
        <v>20</v>
      </c>
      <c r="H320" s="29">
        <v>14.494232177734375</v>
      </c>
      <c r="I320" s="29">
        <v>15.278289794921875</v>
      </c>
      <c r="J320" s="29">
        <v>-33.069688106617008</v>
      </c>
      <c r="K320" s="29">
        <v>-44.462167820040868</v>
      </c>
    </row>
    <row r="321" spans="1:11">
      <c r="A321" s="21">
        <v>21</v>
      </c>
      <c r="B321" s="29">
        <v>3.8102333545684814</v>
      </c>
      <c r="C321" s="29">
        <v>0.56230513842483698</v>
      </c>
      <c r="D321" s="29">
        <v>-1.8712483353127516</v>
      </c>
      <c r="E321" s="29">
        <v>57.749862670898437</v>
      </c>
      <c r="G321" s="21">
        <v>21</v>
      </c>
      <c r="H321" s="29">
        <v>15.257086753845215</v>
      </c>
      <c r="I321" s="29">
        <v>15.278289794921875</v>
      </c>
      <c r="J321" s="29">
        <v>33.560567692199605</v>
      </c>
      <c r="K321" s="29">
        <v>44.404652636385904</v>
      </c>
    </row>
    <row r="322" spans="1:11">
      <c r="A322" s="21">
        <v>22</v>
      </c>
      <c r="B322" s="29">
        <v>4.0400404930114746</v>
      </c>
      <c r="C322" s="29">
        <v>0.88443707007890926</v>
      </c>
      <c r="D322" s="29">
        <v>1.0682921589078711</v>
      </c>
      <c r="E322" s="29">
        <v>61.560096740722656</v>
      </c>
      <c r="G322" s="21">
        <v>22</v>
      </c>
      <c r="H322" s="29">
        <v>16.019941329956055</v>
      </c>
      <c r="I322" s="29">
        <v>18.010025024414062</v>
      </c>
      <c r="J322" s="29">
        <v>-6.4386551828963725</v>
      </c>
      <c r="K322" s="29">
        <v>-44.344236762095065</v>
      </c>
    </row>
    <row r="323" spans="1:11">
      <c r="A323" s="21">
        <v>23</v>
      </c>
      <c r="B323" s="29">
        <v>3.2120788097381592</v>
      </c>
      <c r="C323" s="29">
        <v>0.68429487518548515</v>
      </c>
      <c r="D323" s="29">
        <v>2.980780084655096</v>
      </c>
      <c r="E323" s="29">
        <v>65.600135803222656</v>
      </c>
      <c r="G323" s="21">
        <v>23</v>
      </c>
      <c r="H323" s="29">
        <v>16.782794952392578</v>
      </c>
      <c r="I323" s="29">
        <v>18.010025024414062</v>
      </c>
      <c r="J323" s="29">
        <v>6.5327978294989473</v>
      </c>
      <c r="K323" s="29">
        <v>44.279003380677864</v>
      </c>
    </row>
    <row r="324" spans="1:11">
      <c r="A324" s="21">
        <v>24</v>
      </c>
      <c r="B324" s="29">
        <v>2.3148469924926758</v>
      </c>
      <c r="C324" s="29">
        <v>0.85834910013799848</v>
      </c>
      <c r="D324" s="29">
        <v>0.83404475383748866</v>
      </c>
      <c r="E324" s="29">
        <v>68.812217712402344</v>
      </c>
      <c r="G324" s="21">
        <v>24</v>
      </c>
      <c r="H324" s="29">
        <v>17.545648574829102</v>
      </c>
      <c r="I324" s="29">
        <v>18.010025024414062</v>
      </c>
      <c r="J324" s="29">
        <v>-6.6264880547984495</v>
      </c>
      <c r="K324" s="29">
        <v>-44.210703508462437</v>
      </c>
    </row>
    <row r="325" spans="1:11">
      <c r="A325" s="21">
        <v>25</v>
      </c>
      <c r="B325" s="29">
        <v>4.6647396087646484</v>
      </c>
      <c r="C325" s="29">
        <v>0.58803407530538976</v>
      </c>
      <c r="D325" s="29">
        <v>1.0708594045868154</v>
      </c>
      <c r="E325" s="29">
        <v>71.127067565917969</v>
      </c>
      <c r="G325" s="21">
        <v>25</v>
      </c>
      <c r="H325" s="29">
        <v>18.308502197265625</v>
      </c>
      <c r="I325" s="29">
        <v>21.110107421875</v>
      </c>
      <c r="J325" s="29">
        <v>52.262676196931189</v>
      </c>
      <c r="K325" s="29">
        <v>44.139341875480341</v>
      </c>
    </row>
    <row r="326" spans="1:11">
      <c r="A326" s="21">
        <v>26</v>
      </c>
      <c r="B326" s="29">
        <v>2.8437314033508301</v>
      </c>
      <c r="C326" s="29">
        <v>1.1315839505440211</v>
      </c>
      <c r="D326" s="29">
        <v>-1.7940216155156057</v>
      </c>
      <c r="E326" s="29">
        <v>75.79180908203125</v>
      </c>
      <c r="G326" s="21">
        <v>26</v>
      </c>
      <c r="H326" s="29">
        <v>19.071355819702148</v>
      </c>
      <c r="I326" s="29">
        <v>21.110107421875</v>
      </c>
      <c r="J326" s="29">
        <v>-52.03501479087253</v>
      </c>
      <c r="K326" s="29">
        <v>-44.064923423798334</v>
      </c>
    </row>
    <row r="327" spans="1:11">
      <c r="A327" s="21">
        <v>27</v>
      </c>
      <c r="B327" s="29">
        <v>2.6993749141693115</v>
      </c>
      <c r="C327" s="29">
        <v>0.35876312609211586</v>
      </c>
      <c r="D327" s="29">
        <v>-4.1121620720561324E-2</v>
      </c>
      <c r="E327" s="29">
        <v>78.635543823242188</v>
      </c>
      <c r="G327" s="21">
        <v>27</v>
      </c>
      <c r="H327" s="29">
        <v>19.834209442138672</v>
      </c>
      <c r="I327" s="29">
        <v>21.110107421875</v>
      </c>
      <c r="J327" s="29">
        <v>51.803749760484543</v>
      </c>
      <c r="K327" s="29">
        <v>43.987453307179599</v>
      </c>
    </row>
    <row r="328" spans="1:11">
      <c r="A328" s="21">
        <v>28</v>
      </c>
      <c r="B328" s="29">
        <v>1.2201690673828125</v>
      </c>
      <c r="C328" s="29">
        <v>0.67342720228873443</v>
      </c>
      <c r="D328" s="29">
        <v>-2.9857966062990728</v>
      </c>
      <c r="E328" s="29">
        <v>81.334915161132813</v>
      </c>
      <c r="G328" s="21">
        <v>28</v>
      </c>
      <c r="H328" s="29">
        <v>20.597063064575195</v>
      </c>
      <c r="I328" s="29">
        <v>21.110107421875</v>
      </c>
      <c r="J328" s="29">
        <v>-51.568897121757502</v>
      </c>
      <c r="K328" s="29">
        <v>-43.906936890726804</v>
      </c>
    </row>
    <row r="329" spans="1:11">
      <c r="A329" s="21">
        <v>29</v>
      </c>
      <c r="B329" s="29">
        <v>2.7848255634307861</v>
      </c>
      <c r="C329" s="29">
        <v>1.4296386757695978</v>
      </c>
      <c r="D329" s="29">
        <v>-1.6318664388844806</v>
      </c>
      <c r="E329" s="29">
        <v>82.555084228515625</v>
      </c>
      <c r="G329" s="21">
        <v>29</v>
      </c>
      <c r="H329" s="29">
        <v>21.359916687011719</v>
      </c>
      <c r="I329" s="29">
        <v>23.825662612915039</v>
      </c>
      <c r="J329" s="29">
        <v>13.70606604327121</v>
      </c>
      <c r="K329" s="29">
        <v>43.823379750510568</v>
      </c>
    </row>
    <row r="330" spans="1:11">
      <c r="A330" s="21">
        <v>30</v>
      </c>
      <c r="B330" s="29">
        <v>2.913001537322998</v>
      </c>
      <c r="C330" s="29">
        <v>0.74273514830088372</v>
      </c>
      <c r="D330" s="29">
        <v>2.2652016410492268</v>
      </c>
      <c r="E330" s="29">
        <v>85.339912414550781</v>
      </c>
      <c r="G330" s="21">
        <v>30</v>
      </c>
      <c r="H330" s="29">
        <v>22.122770309448242</v>
      </c>
      <c r="I330" s="29">
        <v>23.825662612915039</v>
      </c>
      <c r="J330" s="29">
        <v>-13.748903731708227</v>
      </c>
      <c r="K330" s="29">
        <v>-43.736787673183308</v>
      </c>
    </row>
    <row r="331" spans="1:11">
      <c r="A331" s="21">
        <v>31</v>
      </c>
      <c r="B331" s="29">
        <v>2.3899333477020264</v>
      </c>
      <c r="C331" s="29">
        <v>0.615731528215124</v>
      </c>
      <c r="D331" s="29">
        <v>1.3051068096571981</v>
      </c>
      <c r="E331" s="29">
        <v>88.252914428710938</v>
      </c>
      <c r="G331" s="21">
        <v>31</v>
      </c>
      <c r="H331" s="29">
        <v>22.885623931884766</v>
      </c>
      <c r="I331" s="29">
        <v>23.825662612915039</v>
      </c>
      <c r="J331" s="29">
        <v>13.790789255834568</v>
      </c>
      <c r="K331" s="29">
        <v>43.647166655578438</v>
      </c>
    </row>
    <row r="332" spans="1:11">
      <c r="A332" s="21">
        <v>32</v>
      </c>
      <c r="B332" s="29">
        <v>1.3910703659057617</v>
      </c>
      <c r="C332" s="29">
        <v>1.2446870338405285</v>
      </c>
      <c r="D332" s="29">
        <v>0.11589906455267511</v>
      </c>
      <c r="E332" s="29">
        <v>90.642845153808594</v>
      </c>
      <c r="G332" s="21">
        <v>32</v>
      </c>
      <c r="H332" s="29">
        <v>23.648477554321289</v>
      </c>
      <c r="I332" s="29">
        <v>23.825662612915039</v>
      </c>
      <c r="J332" s="29">
        <v>-13.831719714917064</v>
      </c>
      <c r="K332" s="29">
        <v>-43.554522904295141</v>
      </c>
    </row>
    <row r="333" spans="1:11">
      <c r="A333" s="21">
        <v>33</v>
      </c>
      <c r="B333" s="29">
        <v>1.1081736087799072</v>
      </c>
      <c r="C333" s="29">
        <v>1.2938029143233247</v>
      </c>
      <c r="D333" s="29">
        <v>3.3537853397640364E-2</v>
      </c>
      <c r="E333" s="29">
        <v>92.033912658691406</v>
      </c>
      <c r="G333" s="21">
        <v>33</v>
      </c>
      <c r="H333" s="29">
        <v>24.411331176757813</v>
      </c>
      <c r="I333" s="29">
        <v>25.985788345336914</v>
      </c>
      <c r="J333" s="29">
        <v>-2.1966380845013349</v>
      </c>
      <c r="K333" s="29">
        <v>43.458862835268484</v>
      </c>
    </row>
    <row r="334" spans="1:11">
      <c r="A334" s="21">
        <v>34</v>
      </c>
      <c r="B334" s="29">
        <v>3.1855340003967285</v>
      </c>
      <c r="C334" s="29">
        <v>0.8606968457806693</v>
      </c>
      <c r="D334" s="29">
        <v>-1.8738155809916961</v>
      </c>
      <c r="E334" s="29">
        <v>93.14208984375</v>
      </c>
      <c r="G334" s="21">
        <v>34</v>
      </c>
      <c r="H334" s="29">
        <v>25.174184799194336</v>
      </c>
      <c r="I334" s="29">
        <v>25.985788345336914</v>
      </c>
      <c r="J334" s="29">
        <v>2.2506162467476134</v>
      </c>
      <c r="K334" s="29">
        <v>-43.3601930733251</v>
      </c>
    </row>
    <row r="335" spans="1:11">
      <c r="A335" s="21">
        <v>35</v>
      </c>
      <c r="B335" s="29">
        <v>4.4083881378173828</v>
      </c>
      <c r="C335" s="29">
        <v>0.42459212874758268</v>
      </c>
      <c r="D335" s="29">
        <v>-0.44009144810101331</v>
      </c>
      <c r="E335" s="29">
        <v>96.327621459960938</v>
      </c>
      <c r="G335" s="21">
        <v>35</v>
      </c>
      <c r="H335" s="29">
        <v>25.937038421630859</v>
      </c>
      <c r="I335" s="29">
        <v>25.985788345336914</v>
      </c>
      <c r="J335" s="29">
        <v>-2.3044385451876583</v>
      </c>
      <c r="K335" s="29">
        <v>43.258520451724401</v>
      </c>
    </row>
    <row r="336" spans="1:11">
      <c r="A336" s="21">
        <v>36</v>
      </c>
      <c r="B336" s="29">
        <v>2.8275508880615234</v>
      </c>
      <c r="C336" s="29">
        <v>1.1566016950411224</v>
      </c>
      <c r="D336" s="29">
        <v>-2.4272388479664402</v>
      </c>
      <c r="E336" s="29">
        <v>100.73600769042969</v>
      </c>
      <c r="G336" s="21">
        <v>36</v>
      </c>
      <c r="H336" s="29">
        <v>26.699892044067383</v>
      </c>
      <c r="I336" s="29">
        <v>28.20482063293457</v>
      </c>
      <c r="J336" s="29">
        <v>34.599680212964081</v>
      </c>
      <c r="K336" s="29">
        <v>-43.153852011685352</v>
      </c>
    </row>
    <row r="337" spans="1:11">
      <c r="A337" s="21">
        <v>37</v>
      </c>
      <c r="B337" s="29">
        <v>1.7594177722930908</v>
      </c>
      <c r="C337" s="29">
        <v>0.77698510696121836</v>
      </c>
      <c r="D337" s="29">
        <v>-1.3924845424562093</v>
      </c>
      <c r="E337" s="29">
        <v>103.56356048583984</v>
      </c>
      <c r="G337" s="21">
        <v>37</v>
      </c>
      <c r="H337" s="29">
        <v>27.462745666503906</v>
      </c>
      <c r="I337" s="29">
        <v>28.20482063293457</v>
      </c>
      <c r="J337" s="29">
        <v>-35.10936039513799</v>
      </c>
      <c r="K337" s="29">
        <v>43.04619500189883</v>
      </c>
    </row>
    <row r="338" spans="1:11">
      <c r="A338" s="21">
        <v>38</v>
      </c>
      <c r="B338" s="29">
        <v>4.7236456871032715</v>
      </c>
      <c r="C338" s="29">
        <v>0.30823746006280212</v>
      </c>
      <c r="D338" s="29">
        <v>0.90870422795569039</v>
      </c>
      <c r="E338" s="29">
        <v>105.32297515869141</v>
      </c>
      <c r="G338" s="21">
        <v>38</v>
      </c>
      <c r="H338" s="29">
        <v>28.22559928894043</v>
      </c>
      <c r="I338" s="29">
        <v>30.210226058959961</v>
      </c>
      <c r="J338" s="29">
        <v>14.619569551988738</v>
      </c>
      <c r="K338" s="29">
        <v>-42.935556878025636</v>
      </c>
    </row>
    <row r="339" spans="1:11">
      <c r="A339" s="21">
        <v>39</v>
      </c>
      <c r="B339" s="29">
        <v>2.6301047801971436</v>
      </c>
      <c r="C339" s="29">
        <v>0.77932195364360346</v>
      </c>
      <c r="D339" s="29">
        <v>2.1828404298941924</v>
      </c>
      <c r="E339" s="29">
        <v>110.04662322998047</v>
      </c>
      <c r="G339" s="21">
        <v>39</v>
      </c>
      <c r="H339" s="29">
        <v>28.988452911376953</v>
      </c>
      <c r="I339" s="29">
        <v>30.210226058959961</v>
      </c>
      <c r="J339" s="29">
        <v>-14.233157598698519</v>
      </c>
      <c r="K339" s="29">
        <v>42.82194530218014</v>
      </c>
    </row>
    <row r="340" spans="1:11">
      <c r="A340" s="21">
        <v>40</v>
      </c>
      <c r="B340" s="29">
        <v>4.4672937393188477</v>
      </c>
      <c r="C340" s="29">
        <v>2.0820849570303608</v>
      </c>
      <c r="D340" s="29">
        <v>-0.60224662473213841</v>
      </c>
      <c r="E340" s="29">
        <v>112.67672729492187</v>
      </c>
      <c r="G340" s="21">
        <v>40</v>
      </c>
      <c r="H340" s="29">
        <v>29.751306533813477</v>
      </c>
      <c r="I340" s="29">
        <v>30.210226058959961</v>
      </c>
      <c r="J340" s="29">
        <v>13.845759944660218</v>
      </c>
      <c r="K340" s="29">
        <v>-42.705368142399671</v>
      </c>
    </row>
    <row r="341" spans="1:11">
      <c r="A341" s="21">
        <v>41</v>
      </c>
      <c r="B341" s="29">
        <v>2.6139242649078369</v>
      </c>
      <c r="C341" s="29">
        <v>0.80054111321469168</v>
      </c>
      <c r="D341" s="29">
        <v>1.5496231974433579</v>
      </c>
      <c r="E341" s="29">
        <v>117.14402008056641</v>
      </c>
      <c r="G341" s="21">
        <v>41</v>
      </c>
      <c r="H341" s="29">
        <v>30.51416015625</v>
      </c>
      <c r="I341" s="29">
        <v>35.045867919921875</v>
      </c>
      <c r="J341" s="29">
        <v>-39.311097760234901</v>
      </c>
      <c r="K341" s="29">
        <v>42.585833472099615</v>
      </c>
    </row>
    <row r="342" spans="1:11">
      <c r="A342" s="21">
        <v>42</v>
      </c>
      <c r="B342" s="29">
        <v>3.527336597442627</v>
      </c>
      <c r="C342" s="29">
        <v>0.60195194070168856</v>
      </c>
      <c r="D342" s="29">
        <v>-1.9536095464677865</v>
      </c>
      <c r="E342" s="29">
        <v>119.75794219970703</v>
      </c>
      <c r="G342" s="21">
        <v>42</v>
      </c>
      <c r="H342" s="29">
        <v>31.277013778686523</v>
      </c>
      <c r="I342" s="29">
        <v>35.045867919921875</v>
      </c>
      <c r="J342" s="29">
        <v>39.586357403913553</v>
      </c>
      <c r="K342" s="29">
        <v>-42.463349569514314</v>
      </c>
    </row>
    <row r="343" spans="1:11">
      <c r="A343" s="21">
        <v>43</v>
      </c>
      <c r="B343" s="29">
        <v>2.1174008846282959</v>
      </c>
      <c r="C343" s="29">
        <v>0.48374683883668512</v>
      </c>
      <c r="D343" s="29">
        <v>-0.83906127548146525</v>
      </c>
      <c r="E343" s="29">
        <v>123.2852783203125</v>
      </c>
      <c r="G343" s="21">
        <v>43</v>
      </c>
      <c r="H343" s="29">
        <v>32.039867401123047</v>
      </c>
      <c r="I343" s="29">
        <v>35.045867919921875</v>
      </c>
      <c r="J343" s="29">
        <v>-39.858875540527706</v>
      </c>
      <c r="K343" s="29">
        <v>42.337924917123757</v>
      </c>
    </row>
    <row r="344" spans="1:11">
      <c r="A344" s="21">
        <v>44</v>
      </c>
      <c r="B344" s="29">
        <v>4.4349327087402344</v>
      </c>
      <c r="C344" s="29">
        <v>2.8638275390885322</v>
      </c>
      <c r="D344" s="29">
        <v>-1.8686810896338073</v>
      </c>
      <c r="E344" s="29">
        <v>125.40267944335938</v>
      </c>
      <c r="G344" s="21">
        <v>44</v>
      </c>
      <c r="H344" s="29">
        <v>32.802722930908203</v>
      </c>
      <c r="I344" s="29">
        <v>35.045867919921875</v>
      </c>
      <c r="J344" s="29">
        <v>40.113177475931302</v>
      </c>
      <c r="K344" s="29">
        <v>-42.217037603714878</v>
      </c>
    </row>
    <row r="345" spans="1:11">
      <c r="A345" s="21">
        <v>45</v>
      </c>
      <c r="B345" s="29">
        <v>4.7340097427368164</v>
      </c>
      <c r="C345" s="29">
        <v>1.9894887684430149</v>
      </c>
      <c r="D345" s="29">
        <v>-1.1531026460279381</v>
      </c>
      <c r="E345" s="29">
        <v>129.83761596679687</v>
      </c>
      <c r="G345" s="21">
        <v>45</v>
      </c>
      <c r="H345" s="29">
        <v>33.565578460693359</v>
      </c>
      <c r="I345" s="29">
        <v>35.045867919921875</v>
      </c>
      <c r="J345" s="29">
        <v>-40.365012090259853</v>
      </c>
      <c r="K345" s="29">
        <v>42.093553562885958</v>
      </c>
    </row>
    <row r="346" spans="1:11">
      <c r="A346" s="21">
        <v>46</v>
      </c>
      <c r="B346" s="29">
        <v>3.5966067314147949</v>
      </c>
      <c r="C346" s="29">
        <v>2.0663406090202043</v>
      </c>
      <c r="D346" s="29">
        <v>2.1056137100970465</v>
      </c>
      <c r="E346" s="29">
        <v>134.57162475585937</v>
      </c>
      <c r="G346" s="21">
        <v>46</v>
      </c>
      <c r="H346" s="29">
        <v>34.328433990478516</v>
      </c>
      <c r="I346" s="29">
        <v>35.045867919921875</v>
      </c>
      <c r="J346" s="29">
        <v>40.61436389333295</v>
      </c>
      <c r="K346" s="29">
        <v>-41.967480390045402</v>
      </c>
    </row>
    <row r="347" spans="1:11">
      <c r="A347" s="21">
        <v>47</v>
      </c>
      <c r="B347" s="29">
        <v>2.8702762126922607</v>
      </c>
      <c r="C347" s="29">
        <v>0.94088992978411212</v>
      </c>
      <c r="D347" s="29">
        <v>3.0605740501311867</v>
      </c>
      <c r="E347" s="29">
        <v>138.16822814941406</v>
      </c>
      <c r="G347" s="21">
        <v>47</v>
      </c>
      <c r="H347" s="29">
        <v>35.091289520263672</v>
      </c>
      <c r="I347" s="29">
        <v>37.275264739990234</v>
      </c>
      <c r="J347" s="29">
        <v>-26.965598024583766</v>
      </c>
      <c r="K347" s="29">
        <v>41.838825839768475</v>
      </c>
    </row>
    <row r="348" spans="1:11">
      <c r="A348" s="21">
        <v>48</v>
      </c>
      <c r="B348" s="29">
        <v>4.6058340072631836</v>
      </c>
      <c r="C348" s="29">
        <v>0.8111490950094068</v>
      </c>
      <c r="D348" s="29">
        <v>1.2330145812179407</v>
      </c>
      <c r="E348" s="29">
        <v>141.03849792480469</v>
      </c>
      <c r="G348" s="21">
        <v>48</v>
      </c>
      <c r="H348" s="29">
        <v>35.854145050048828</v>
      </c>
      <c r="I348" s="29">
        <v>37.275264739990234</v>
      </c>
      <c r="J348" s="29">
        <v>26.555489299818618</v>
      </c>
      <c r="K348" s="29">
        <v>-41.707597825495803</v>
      </c>
    </row>
    <row r="349" spans="1:11">
      <c r="A349" s="21">
        <v>49</v>
      </c>
      <c r="B349" s="29">
        <v>3.0573580265045166</v>
      </c>
      <c r="C349" s="29">
        <v>1.6696507393071653</v>
      </c>
      <c r="D349" s="29">
        <v>0.51230164625418273</v>
      </c>
      <c r="E349" s="29">
        <v>145.64433288574219</v>
      </c>
      <c r="G349" s="21">
        <v>49</v>
      </c>
      <c r="H349" s="29">
        <v>36.617000579833984</v>
      </c>
      <c r="I349" s="29">
        <v>37.275264739990234</v>
      </c>
      <c r="J349" s="29">
        <v>-26.143747173679721</v>
      </c>
      <c r="K349" s="29">
        <v>41.57380441893023</v>
      </c>
    </row>
    <row r="350" spans="1:11">
      <c r="A350" s="21">
        <v>50</v>
      </c>
      <c r="B350" s="29">
        <v>3.8691391944885254</v>
      </c>
      <c r="C350" s="29">
        <v>0.26576194466862701</v>
      </c>
      <c r="D350" s="29">
        <v>-2.0334035119438769</v>
      </c>
      <c r="E350" s="29">
        <v>148.70169067382812</v>
      </c>
      <c r="G350" s="21">
        <v>50</v>
      </c>
      <c r="H350" s="29">
        <v>37.379856109619141</v>
      </c>
      <c r="I350" s="29">
        <v>40.247173309326172</v>
      </c>
      <c r="J350" s="29">
        <v>3.022477036339398</v>
      </c>
      <c r="K350" s="29">
        <v>-41.437453849569316</v>
      </c>
    </row>
    <row r="351" spans="1:11">
      <c r="A351" s="21"/>
      <c r="B351" s="29"/>
      <c r="C351" s="29"/>
      <c r="D351" s="29"/>
      <c r="E351" s="29">
        <v>152.57083129882812</v>
      </c>
      <c r="G351" s="21">
        <v>51</v>
      </c>
      <c r="H351" s="29">
        <v>38.142711639404297</v>
      </c>
      <c r="I351" s="29">
        <v>40.247173309326172</v>
      </c>
      <c r="J351" s="29">
        <v>-2.8433875863768643</v>
      </c>
      <c r="K351" s="29">
        <v>41.298554504231618</v>
      </c>
    </row>
    <row r="352" spans="1:11">
      <c r="G352" s="21">
        <v>52</v>
      </c>
      <c r="H352" s="29">
        <v>38.905567169189453</v>
      </c>
      <c r="I352" s="29">
        <v>40.247173309326172</v>
      </c>
      <c r="J352" s="29">
        <v>2.6641232424690635</v>
      </c>
      <c r="K352" s="29">
        <v>-41.157114926411396</v>
      </c>
    </row>
    <row r="353" spans="7:11">
      <c r="G353" s="21">
        <v>53</v>
      </c>
      <c r="H353" s="29">
        <v>39.668422698974609</v>
      </c>
      <c r="I353" s="29">
        <v>40.247173309326172</v>
      </c>
      <c r="J353" s="29">
        <v>-2.4846950310265714</v>
      </c>
      <c r="K353" s="29">
        <v>41.013143815946414</v>
      </c>
    </row>
    <row r="354" spans="7:11">
      <c r="G354" s="21">
        <v>54</v>
      </c>
      <c r="H354" s="29">
        <v>40.431278228759766</v>
      </c>
      <c r="I354" s="29">
        <v>42.423480987548828</v>
      </c>
      <c r="J354" s="29">
        <v>-0.30390735501222016</v>
      </c>
      <c r="K354" s="29">
        <v>-40.86665002835452</v>
      </c>
    </row>
    <row r="355" spans="7:11">
      <c r="G355" s="21">
        <v>55</v>
      </c>
      <c r="H355" s="29">
        <v>41.194133758544922</v>
      </c>
      <c r="I355" s="29">
        <v>42.423480987548828</v>
      </c>
      <c r="J355" s="29">
        <v>0.28668861032127746</v>
      </c>
      <c r="K355" s="29">
        <v>40.717642574320891</v>
      </c>
    </row>
    <row r="356" spans="7:11">
      <c r="G356" s="21">
        <v>56</v>
      </c>
      <c r="H356" s="29">
        <v>41.956989288330078</v>
      </c>
      <c r="I356" s="29">
        <v>42.423480987548828</v>
      </c>
      <c r="J356" s="29">
        <v>-0.26945223170695126</v>
      </c>
      <c r="K356" s="29">
        <v>-40.566130619179233</v>
      </c>
    </row>
    <row r="357" spans="7:11">
      <c r="G357" s="21">
        <v>57</v>
      </c>
      <c r="H357" s="29">
        <v>42.719844818115234</v>
      </c>
      <c r="I357" s="29">
        <v>46.644786834716797</v>
      </c>
      <c r="J357" s="29">
        <v>-4.8609041717214208</v>
      </c>
      <c r="K357" s="29">
        <v>40.412123482206873</v>
      </c>
    </row>
    <row r="358" spans="7:11">
      <c r="G358" s="21">
        <v>58</v>
      </c>
      <c r="H358" s="29">
        <v>43.482700347900391</v>
      </c>
      <c r="I358" s="29">
        <v>46.644786834716797</v>
      </c>
      <c r="J358" s="29">
        <v>4.3963081144878284</v>
      </c>
      <c r="K358" s="29">
        <v>-40.255630636262389</v>
      </c>
    </row>
    <row r="359" spans="7:11">
      <c r="G359" s="21">
        <v>59</v>
      </c>
      <c r="H359" s="29">
        <v>44.245555877685547</v>
      </c>
      <c r="I359" s="29">
        <v>46.644786834716797</v>
      </c>
      <c r="J359" s="29">
        <v>-3.9314416447744449</v>
      </c>
      <c r="K359" s="29">
        <v>40.096661707062943</v>
      </c>
    </row>
    <row r="360" spans="7:11">
      <c r="G360" s="21">
        <v>60</v>
      </c>
      <c r="H360" s="29">
        <v>45.008411407470703</v>
      </c>
      <c r="I360" s="29">
        <v>46.644786834716797</v>
      </c>
      <c r="J360" s="29">
        <v>3.4663333560491489</v>
      </c>
      <c r="K360" s="29">
        <v>-39.935226472627122</v>
      </c>
    </row>
    <row r="361" spans="7:11">
      <c r="G361" s="21">
        <v>61</v>
      </c>
      <c r="H361" s="29">
        <v>45.771266937255859</v>
      </c>
      <c r="I361" s="29">
        <v>46.644786834716797</v>
      </c>
      <c r="J361" s="29">
        <v>-3.0010118567618034</v>
      </c>
      <c r="K361" s="29">
        <v>39.771334862711718</v>
      </c>
    </row>
    <row r="362" spans="7:11">
      <c r="G362" s="21">
        <v>62</v>
      </c>
      <c r="H362" s="29">
        <v>46.534122467041016</v>
      </c>
      <c r="I362" s="29">
        <v>46.644786834716797</v>
      </c>
      <c r="J362" s="29">
        <v>2.5355057681528517</v>
      </c>
      <c r="K362" s="29">
        <v>-39.604996958048403</v>
      </c>
    </row>
    <row r="363" spans="7:11">
      <c r="G363" s="21">
        <v>63</v>
      </c>
      <c r="H363" s="29">
        <v>47.296977996826172</v>
      </c>
      <c r="I363" s="29">
        <v>49.146717071533203</v>
      </c>
      <c r="J363" s="29">
        <v>-40.469298092705053</v>
      </c>
      <c r="K363" s="29">
        <v>39.436222989951723</v>
      </c>
    </row>
    <row r="364" spans="7:11">
      <c r="G364" s="21">
        <v>64</v>
      </c>
      <c r="H364" s="29">
        <v>48.059833526611328</v>
      </c>
      <c r="I364" s="29">
        <v>49.146717071533203</v>
      </c>
      <c r="J364" s="29">
        <v>40.889065208895005</v>
      </c>
      <c r="K364" s="29">
        <v>-39.265023339538295</v>
      </c>
    </row>
    <row r="365" spans="7:11">
      <c r="G365" s="21">
        <v>65</v>
      </c>
      <c r="H365" s="29">
        <v>48.822689056396484</v>
      </c>
      <c r="I365" s="29">
        <v>49.146717071533203</v>
      </c>
      <c r="J365" s="29">
        <v>-41.306317279908065</v>
      </c>
      <c r="K365" s="29">
        <v>39.091408537126014</v>
      </c>
    </row>
    <row r="366" spans="7:11">
      <c r="G366" s="21">
        <v>66</v>
      </c>
      <c r="H366" s="29">
        <v>49.585544586181641</v>
      </c>
      <c r="I366" s="29">
        <v>54.137077331542969</v>
      </c>
      <c r="J366" s="29">
        <v>-12.480685076061233</v>
      </c>
      <c r="K366" s="29">
        <v>-38.915389261627446</v>
      </c>
    </row>
    <row r="367" spans="7:11">
      <c r="G367" s="21">
        <v>67</v>
      </c>
      <c r="H367" s="29">
        <v>50.348400115966797</v>
      </c>
      <c r="I367" s="29">
        <v>54.137077331542969</v>
      </c>
      <c r="J367" s="29">
        <v>12.463678050436126</v>
      </c>
      <c r="K367" s="29">
        <v>38.736976339729111</v>
      </c>
    </row>
    <row r="368" spans="7:11">
      <c r="G368" s="21">
        <v>68</v>
      </c>
      <c r="H368" s="29">
        <v>51.111255645751953</v>
      </c>
      <c r="I368" s="29">
        <v>54.137077331542969</v>
      </c>
      <c r="J368" s="29">
        <v>-12.445904396539943</v>
      </c>
      <c r="K368" s="29">
        <v>-38.556180745470513</v>
      </c>
    </row>
    <row r="369" spans="7:11">
      <c r="G369" s="21">
        <v>69</v>
      </c>
      <c r="H369" s="29">
        <v>51.874111175537109</v>
      </c>
      <c r="I369" s="29">
        <v>54.137077331542969</v>
      </c>
      <c r="J369" s="29">
        <v>12.427365207612212</v>
      </c>
      <c r="K369" s="29">
        <v>38.373013599406363</v>
      </c>
    </row>
    <row r="370" spans="7:11">
      <c r="G370" s="21">
        <v>70</v>
      </c>
      <c r="H370" s="29">
        <v>52.636966705322266</v>
      </c>
      <c r="I370" s="29">
        <v>54.137077331542969</v>
      </c>
      <c r="J370" s="29">
        <v>-12.408061623979759</v>
      </c>
      <c r="K370" s="29">
        <v>-38.187486167963165</v>
      </c>
    </row>
    <row r="371" spans="7:11">
      <c r="G371" s="21">
        <v>71</v>
      </c>
      <c r="H371" s="29">
        <v>53.399822235107422</v>
      </c>
      <c r="I371" s="29">
        <v>54.137077331542969</v>
      </c>
      <c r="J371" s="29">
        <v>12.387994832991291</v>
      </c>
      <c r="K371" s="29">
        <v>37.999609862790017</v>
      </c>
    </row>
    <row r="372" spans="7:11">
      <c r="G372" s="21">
        <v>72</v>
      </c>
      <c r="H372" s="29">
        <v>54.162677764892578</v>
      </c>
      <c r="I372" s="29">
        <v>57.749862670898437</v>
      </c>
      <c r="J372" s="29">
        <v>49.112733747310429</v>
      </c>
      <c r="K372" s="29">
        <v>-37.809396239881885</v>
      </c>
    </row>
    <row r="373" spans="7:11">
      <c r="G373" s="21">
        <v>73</v>
      </c>
      <c r="H373" s="29">
        <v>54.925533294677734</v>
      </c>
      <c r="I373" s="29">
        <v>57.749862670898437</v>
      </c>
      <c r="J373" s="29">
        <v>-48.542012140745861</v>
      </c>
      <c r="K373" s="29">
        <v>37.616856999130249</v>
      </c>
    </row>
    <row r="374" spans="7:11">
      <c r="G374" s="21">
        <v>74</v>
      </c>
      <c r="H374" s="29">
        <v>55.688388824462891</v>
      </c>
      <c r="I374" s="29">
        <v>57.749862670898437</v>
      </c>
      <c r="J374" s="29">
        <v>47.968304763954286</v>
      </c>
      <c r="K374" s="29">
        <v>-37.422003983429683</v>
      </c>
    </row>
    <row r="375" spans="7:11">
      <c r="G375" s="21">
        <v>75</v>
      </c>
      <c r="H375" s="29">
        <v>56.451244354248047</v>
      </c>
      <c r="I375" s="29">
        <v>57.749862670898437</v>
      </c>
      <c r="J375" s="29">
        <v>-47.391646905232115</v>
      </c>
      <c r="K375" s="29">
        <v>37.224849178038731</v>
      </c>
    </row>
    <row r="376" spans="7:11">
      <c r="G376" s="21">
        <v>76</v>
      </c>
      <c r="H376" s="29">
        <v>57.214099884033203</v>
      </c>
      <c r="I376" s="29">
        <v>57.749862670898437</v>
      </c>
      <c r="J376" s="29">
        <v>46.81207403395539</v>
      </c>
      <c r="K376" s="29">
        <v>-37.025404709659256</v>
      </c>
    </row>
    <row r="377" spans="7:11">
      <c r="G377" s="21">
        <v>77</v>
      </c>
      <c r="H377" s="29">
        <v>57.976955413818359</v>
      </c>
      <c r="I377" s="29">
        <v>61.560096740722656</v>
      </c>
      <c r="J377" s="29">
        <v>-20.020704923229314</v>
      </c>
      <c r="K377" s="29">
        <v>36.823682845964868</v>
      </c>
    </row>
    <row r="378" spans="7:11">
      <c r="G378" s="21">
        <v>78</v>
      </c>
      <c r="H378" s="29">
        <v>58.739810943603516</v>
      </c>
      <c r="I378" s="29">
        <v>61.560096740722656</v>
      </c>
      <c r="J378" s="29">
        <v>20.14144863457847</v>
      </c>
      <c r="K378" s="29">
        <v>-36.619695994664056</v>
      </c>
    </row>
    <row r="379" spans="7:11">
      <c r="G379" s="21">
        <v>79</v>
      </c>
      <c r="H379" s="29">
        <v>59.502666473388672</v>
      </c>
      <c r="I379" s="29">
        <v>61.560096740722656</v>
      </c>
      <c r="J379" s="29">
        <v>-20.260953465728605</v>
      </c>
      <c r="K379" s="29">
        <v>36.413456702782369</v>
      </c>
    </row>
    <row r="380" spans="7:11">
      <c r="G380" s="21">
        <v>80</v>
      </c>
      <c r="H380" s="29">
        <v>60.265522003173828</v>
      </c>
      <c r="I380" s="29">
        <v>61.560096740722656</v>
      </c>
      <c r="J380" s="29">
        <v>20.37921206603075</v>
      </c>
      <c r="K380" s="29">
        <v>-36.204977655939331</v>
      </c>
    </row>
    <row r="381" spans="7:11">
      <c r="G381" s="21">
        <v>81</v>
      </c>
      <c r="H381" s="29">
        <v>61.028377532958984</v>
      </c>
      <c r="I381" s="29">
        <v>61.560096740722656</v>
      </c>
      <c r="J381" s="29">
        <v>-20.496217161572488</v>
      </c>
      <c r="K381" s="29">
        <v>35.994271677374229</v>
      </c>
    </row>
    <row r="382" spans="7:11">
      <c r="G382" s="21">
        <v>82</v>
      </c>
      <c r="H382" s="29">
        <v>61.791233062744141</v>
      </c>
      <c r="I382" s="29">
        <v>65.600135803222656</v>
      </c>
      <c r="J382" s="29">
        <v>-36.393411577484976</v>
      </c>
      <c r="K382" s="29">
        <v>-35.781351727447465</v>
      </c>
    </row>
    <row r="383" spans="7:11">
      <c r="G383" s="21">
        <v>83</v>
      </c>
      <c r="H383" s="29">
        <v>62.554088592529297</v>
      </c>
      <c r="I383" s="29">
        <v>65.600135803222656</v>
      </c>
      <c r="J383" s="29">
        <v>36.518638581526289</v>
      </c>
      <c r="K383" s="29">
        <v>35.566230902650489</v>
      </c>
    </row>
    <row r="384" spans="7:11">
      <c r="G384" s="21">
        <v>84</v>
      </c>
      <c r="H384" s="29">
        <v>63.316944122314453</v>
      </c>
      <c r="I384" s="29">
        <v>65.600135803222656</v>
      </c>
      <c r="J384" s="29">
        <v>-36.64161936092632</v>
      </c>
      <c r="K384" s="29">
        <v>-35.348922434848348</v>
      </c>
    </row>
    <row r="385" spans="7:11">
      <c r="G385" s="21">
        <v>85</v>
      </c>
      <c r="H385" s="29">
        <v>64.079795837402344</v>
      </c>
      <c r="I385" s="29">
        <v>65.600135803222656</v>
      </c>
      <c r="J385" s="29">
        <v>36.776942215133019</v>
      </c>
      <c r="K385" s="29">
        <v>35.102474316730024</v>
      </c>
    </row>
    <row r="386" spans="7:11">
      <c r="G386" s="21">
        <v>86</v>
      </c>
      <c r="H386" s="29">
        <v>64.8426513671875</v>
      </c>
      <c r="I386" s="29">
        <v>65.600135803222656</v>
      </c>
      <c r="J386" s="29">
        <v>-36.895131207199896</v>
      </c>
      <c r="K386" s="29">
        <v>-34.880567718655229</v>
      </c>
    </row>
    <row r="387" spans="7:11">
      <c r="G387" s="21">
        <v>87</v>
      </c>
      <c r="H387" s="29">
        <v>65.605506896972656</v>
      </c>
      <c r="I387" s="29">
        <v>68.812217712402344</v>
      </c>
      <c r="J387" s="29">
        <v>-20.264193861043982</v>
      </c>
      <c r="K387" s="29">
        <v>34.656515652026449</v>
      </c>
    </row>
    <row r="388" spans="7:11">
      <c r="G388" s="21">
        <v>88</v>
      </c>
      <c r="H388" s="29">
        <v>66.368362426757813</v>
      </c>
      <c r="I388" s="29">
        <v>68.812217712402344</v>
      </c>
      <c r="J388" s="29">
        <v>20.081730110294469</v>
      </c>
      <c r="K388" s="29">
        <v>-34.43033189811311</v>
      </c>
    </row>
    <row r="389" spans="7:11">
      <c r="G389" s="21">
        <v>89</v>
      </c>
      <c r="H389" s="29">
        <v>67.131217956542969</v>
      </c>
      <c r="I389" s="29">
        <v>68.812217712402344</v>
      </c>
      <c r="J389" s="29">
        <v>-19.89803115257272</v>
      </c>
      <c r="K389" s="29">
        <v>34.202030369198155</v>
      </c>
    </row>
    <row r="390" spans="7:11">
      <c r="G390" s="21">
        <v>90</v>
      </c>
      <c r="H390" s="29">
        <v>67.894073486328125</v>
      </c>
      <c r="I390" s="29">
        <v>68.812217712402344</v>
      </c>
      <c r="J390" s="29">
        <v>19.713108286930364</v>
      </c>
      <c r="K390" s="29">
        <v>-33.971625107771089</v>
      </c>
    </row>
    <row r="391" spans="7:11">
      <c r="G391" s="21">
        <v>91</v>
      </c>
      <c r="H391" s="29">
        <v>68.656929016113281</v>
      </c>
      <c r="I391" s="29">
        <v>68.812217712402344</v>
      </c>
      <c r="J391" s="29">
        <v>-19.526972887957974</v>
      </c>
      <c r="K391" s="29">
        <v>33.739130286040989</v>
      </c>
    </row>
    <row r="392" spans="7:11">
      <c r="G392" s="21">
        <v>92</v>
      </c>
      <c r="H392" s="29">
        <v>69.419784545898437</v>
      </c>
      <c r="I392" s="29">
        <v>71.127067565917969</v>
      </c>
      <c r="J392" s="29">
        <v>-38.420592810195338</v>
      </c>
      <c r="K392" s="29">
        <v>-33.504560204314267</v>
      </c>
    </row>
    <row r="393" spans="7:11">
      <c r="G393" s="21">
        <v>93</v>
      </c>
      <c r="H393" s="29">
        <v>70.182640075683594</v>
      </c>
      <c r="I393" s="29">
        <v>71.127067565917969</v>
      </c>
      <c r="J393" s="29">
        <v>38.450588782017434</v>
      </c>
      <c r="K393" s="29">
        <v>33.267929290977754</v>
      </c>
    </row>
    <row r="394" spans="7:11">
      <c r="G394" s="21">
        <v>94</v>
      </c>
      <c r="H394" s="29">
        <v>70.94549560546875</v>
      </c>
      <c r="I394" s="29">
        <v>71.127067565917969</v>
      </c>
      <c r="J394" s="29">
        <v>-38.478219696890292</v>
      </c>
      <c r="K394" s="29">
        <v>-33.029252100852034</v>
      </c>
    </row>
    <row r="395" spans="7:11">
      <c r="G395" s="21">
        <v>95</v>
      </c>
      <c r="H395" s="29">
        <v>71.708351135253906</v>
      </c>
      <c r="I395" s="29">
        <v>75.79180908203125</v>
      </c>
      <c r="J395" s="29">
        <v>25.148119385923071</v>
      </c>
      <c r="K395" s="29">
        <v>32.788543314618295</v>
      </c>
    </row>
    <row r="396" spans="7:11">
      <c r="G396" s="21">
        <v>96</v>
      </c>
      <c r="H396" s="29">
        <v>72.471206665039063</v>
      </c>
      <c r="I396" s="29">
        <v>75.79180908203125</v>
      </c>
      <c r="J396" s="29">
        <v>-25.21191618649182</v>
      </c>
      <c r="K396" s="29">
        <v>-32.54581773825462</v>
      </c>
    </row>
    <row r="397" spans="7:11">
      <c r="G397" s="21">
        <v>97</v>
      </c>
      <c r="H397" s="29">
        <v>73.234062194824219</v>
      </c>
      <c r="I397" s="29">
        <v>75.79180908203125</v>
      </c>
      <c r="J397" s="29">
        <v>25.274162227543673</v>
      </c>
      <c r="K397" s="29">
        <v>32.301090301341304</v>
      </c>
    </row>
    <row r="398" spans="7:11">
      <c r="G398" s="21">
        <v>98</v>
      </c>
      <c r="H398" s="29">
        <v>73.996917724609375</v>
      </c>
      <c r="I398" s="29">
        <v>75.79180908203125</v>
      </c>
      <c r="J398" s="29">
        <v>-25.334853680329658</v>
      </c>
      <c r="K398" s="29">
        <v>-32.054376057043307</v>
      </c>
    </row>
    <row r="399" spans="7:11">
      <c r="G399" s="21">
        <v>99</v>
      </c>
      <c r="H399" s="29">
        <v>74.759773254394531</v>
      </c>
      <c r="I399" s="29">
        <v>75.79180908203125</v>
      </c>
      <c r="J399" s="29">
        <v>25.39398681180894</v>
      </c>
      <c r="K399" s="29">
        <v>31.805690180391977</v>
      </c>
    </row>
    <row r="400" spans="7:11">
      <c r="G400" s="21">
        <v>100</v>
      </c>
      <c r="H400" s="29">
        <v>75.522628784179687</v>
      </c>
      <c r="I400" s="29">
        <v>75.79180908203125</v>
      </c>
      <c r="J400" s="29">
        <v>-25.451557984788558</v>
      </c>
      <c r="K400" s="29">
        <v>-31.555047967688154</v>
      </c>
    </row>
    <row r="401" spans="7:11">
      <c r="G401" s="21">
        <v>101</v>
      </c>
      <c r="H401" s="29">
        <v>76.285484313964844</v>
      </c>
      <c r="I401" s="29">
        <v>78.635543823242188</v>
      </c>
      <c r="J401" s="29">
        <v>-43.516595604217926</v>
      </c>
      <c r="K401" s="29">
        <v>31.302464835914165</v>
      </c>
    </row>
    <row r="402" spans="7:11">
      <c r="G402" s="21">
        <v>102</v>
      </c>
      <c r="H402" s="29">
        <v>77.04833984375</v>
      </c>
      <c r="I402" s="29">
        <v>78.635543823242188</v>
      </c>
      <c r="J402" s="29">
        <v>43.722649405005129</v>
      </c>
      <c r="K402" s="29">
        <v>-31.047956320969465</v>
      </c>
    </row>
    <row r="403" spans="7:11">
      <c r="G403" s="21">
        <v>103</v>
      </c>
      <c r="H403" s="29">
        <v>77.811195373535156</v>
      </c>
      <c r="I403" s="29">
        <v>78.635543823242188</v>
      </c>
      <c r="J403" s="29">
        <v>-43.926013869613399</v>
      </c>
      <c r="K403" s="29">
        <v>30.79153807765233</v>
      </c>
    </row>
    <row r="404" spans="7:11">
      <c r="G404" s="21">
        <v>104</v>
      </c>
      <c r="H404" s="29">
        <v>78.574050903320313</v>
      </c>
      <c r="I404" s="29">
        <v>78.635543823242188</v>
      </c>
      <c r="J404" s="29">
        <v>44.126676489395741</v>
      </c>
      <c r="K404" s="29">
        <v>-30.533225877872759</v>
      </c>
    </row>
    <row r="405" spans="7:11">
      <c r="G405" s="21">
        <v>105</v>
      </c>
      <c r="H405" s="29">
        <v>79.336906433105469</v>
      </c>
      <c r="I405" s="29">
        <v>81.334915161132813</v>
      </c>
      <c r="J405" s="29">
        <v>10.360610353429605</v>
      </c>
      <c r="K405" s="29">
        <v>30.273035610032601</v>
      </c>
    </row>
    <row r="406" spans="7:11">
      <c r="G406" s="21">
        <v>106</v>
      </c>
      <c r="H406" s="29">
        <v>80.099761962890625</v>
      </c>
      <c r="I406" s="29">
        <v>81.334915161132813</v>
      </c>
      <c r="J406" s="29">
        <v>-10.263188530749515</v>
      </c>
      <c r="K406" s="29">
        <v>-30.010983278414283</v>
      </c>
    </row>
    <row r="407" spans="7:11">
      <c r="G407" s="21">
        <v>107</v>
      </c>
      <c r="H407" s="29">
        <v>80.862617492675781</v>
      </c>
      <c r="I407" s="29">
        <v>81.334915161132813</v>
      </c>
      <c r="J407" s="29">
        <v>10.165135429644847</v>
      </c>
      <c r="K407" s="29">
        <v>29.747085001349429</v>
      </c>
    </row>
    <row r="408" spans="7:11">
      <c r="G408" s="21">
        <v>108</v>
      </c>
      <c r="H408" s="29">
        <v>81.625473022460937</v>
      </c>
      <c r="I408" s="29">
        <v>82.555084228515625</v>
      </c>
      <c r="J408" s="29">
        <v>23.165631760105882</v>
      </c>
      <c r="K408" s="29">
        <v>-29.481357011199808</v>
      </c>
    </row>
    <row r="409" spans="7:11">
      <c r="G409" s="21">
        <v>109</v>
      </c>
      <c r="H409" s="29">
        <v>82.388328552246094</v>
      </c>
      <c r="I409" s="29">
        <v>82.555084228515625</v>
      </c>
      <c r="J409" s="29">
        <v>-23.011695324433564</v>
      </c>
      <c r="K409" s="29">
        <v>29.213815652504195</v>
      </c>
    </row>
    <row r="410" spans="7:11">
      <c r="G410" s="21">
        <v>110</v>
      </c>
      <c r="H410" s="29">
        <v>83.15118408203125</v>
      </c>
      <c r="I410" s="29">
        <v>85.339912414550781</v>
      </c>
      <c r="J410" s="29">
        <v>51.693346719160921</v>
      </c>
      <c r="K410" s="29">
        <v>-28.94447738133648</v>
      </c>
    </row>
    <row r="411" spans="7:11">
      <c r="G411" s="21">
        <v>111</v>
      </c>
      <c r="H411" s="29">
        <v>83.914039611816406</v>
      </c>
      <c r="I411" s="29">
        <v>85.339912414550781</v>
      </c>
      <c r="J411" s="29">
        <v>-51.99210575701396</v>
      </c>
      <c r="K411" s="29">
        <v>28.673358764672034</v>
      </c>
    </row>
    <row r="412" spans="7:11">
      <c r="G412" s="21">
        <v>112</v>
      </c>
      <c r="H412" s="29">
        <v>84.676895141601563</v>
      </c>
      <c r="I412" s="29">
        <v>85.339912414550781</v>
      </c>
      <c r="J412" s="29">
        <v>52.287666812997848</v>
      </c>
      <c r="K412" s="29">
        <v>-28.400476478492116</v>
      </c>
    </row>
    <row r="413" spans="7:11">
      <c r="G413" s="21">
        <v>113</v>
      </c>
      <c r="H413" s="29">
        <v>85.439750671386719</v>
      </c>
      <c r="I413" s="29">
        <v>88.252914428710938</v>
      </c>
      <c r="J413" s="29">
        <v>6.6806026513639543</v>
      </c>
      <c r="K413" s="29">
        <v>28.125847307764172</v>
      </c>
    </row>
    <row r="414" spans="7:11">
      <c r="G414" s="21">
        <v>114</v>
      </c>
      <c r="H414" s="29">
        <v>86.202606201171875</v>
      </c>
      <c r="I414" s="29">
        <v>88.252914428710938</v>
      </c>
      <c r="J414" s="29">
        <v>-6.9372349882139392</v>
      </c>
      <c r="K414" s="29">
        <v>-27.849488144525445</v>
      </c>
    </row>
    <row r="415" spans="7:11">
      <c r="G415" s="21">
        <v>115</v>
      </c>
      <c r="H415" s="29">
        <v>86.965461730957031</v>
      </c>
      <c r="I415" s="29">
        <v>88.252914428710938</v>
      </c>
      <c r="J415" s="29">
        <v>7.1934406228528189</v>
      </c>
      <c r="K415" s="29">
        <v>27.571415987220053</v>
      </c>
    </row>
    <row r="416" spans="7:11">
      <c r="G416" s="21">
        <v>116</v>
      </c>
      <c r="H416" s="29">
        <v>87.728317260742187</v>
      </c>
      <c r="I416" s="29">
        <v>88.252914428710938</v>
      </c>
      <c r="J416" s="29">
        <v>-7.4492037960926316</v>
      </c>
      <c r="K416" s="29">
        <v>-27.291647940044001</v>
      </c>
    </row>
    <row r="417" spans="7:11">
      <c r="G417" s="21">
        <v>117</v>
      </c>
      <c r="H417" s="29">
        <v>88.491172790527344</v>
      </c>
      <c r="I417" s="29">
        <v>90.642845153808594</v>
      </c>
      <c r="J417" s="29">
        <v>25.750896212416919</v>
      </c>
      <c r="K417" s="29">
        <v>27.010201210988271</v>
      </c>
    </row>
    <row r="418" spans="7:11">
      <c r="G418" s="21">
        <v>118</v>
      </c>
      <c r="H418" s="29">
        <v>89.2540283203125</v>
      </c>
      <c r="I418" s="29">
        <v>90.642845153808594</v>
      </c>
      <c r="J418" s="29">
        <v>-25.830322573292907</v>
      </c>
      <c r="K418" s="29">
        <v>-26.727093111818515</v>
      </c>
    </row>
    <row r="419" spans="7:11">
      <c r="G419" s="21">
        <v>119</v>
      </c>
      <c r="H419" s="29">
        <v>90.016883850097656</v>
      </c>
      <c r="I419" s="29">
        <v>90.642845153808594</v>
      </c>
      <c r="J419" s="29">
        <v>25.90816013707013</v>
      </c>
      <c r="K419" s="29">
        <v>26.442341056098307</v>
      </c>
    </row>
    <row r="420" spans="7:11">
      <c r="G420" s="21">
        <v>120</v>
      </c>
      <c r="H420" s="29">
        <v>90.779739379882813</v>
      </c>
      <c r="I420" s="29">
        <v>92.033912658691406</v>
      </c>
      <c r="J420" s="29">
        <v>-37.608175798465972</v>
      </c>
      <c r="K420" s="29">
        <v>-26.155962558506289</v>
      </c>
    </row>
    <row r="421" spans="7:11">
      <c r="G421" s="21">
        <v>121</v>
      </c>
      <c r="H421" s="29">
        <v>91.542594909667969</v>
      </c>
      <c r="I421" s="29">
        <v>92.033912658691406</v>
      </c>
      <c r="J421" s="29">
        <v>37.281490367083308</v>
      </c>
      <c r="K421" s="29">
        <v>25.867975234160799</v>
      </c>
    </row>
    <row r="422" spans="7:11">
      <c r="G422" s="21">
        <v>122</v>
      </c>
      <c r="H422" s="29">
        <v>92.305450439453125</v>
      </c>
      <c r="I422" s="29">
        <v>93.14208984375</v>
      </c>
      <c r="J422" s="29">
        <v>-34.680997424863691</v>
      </c>
      <c r="K422" s="29">
        <v>-25.578396796604636</v>
      </c>
    </row>
    <row r="423" spans="7:11">
      <c r="G423" s="21">
        <v>123</v>
      </c>
      <c r="H423" s="29">
        <v>93.068305969238281</v>
      </c>
      <c r="I423" s="29">
        <v>93.14208984375</v>
      </c>
      <c r="J423" s="29">
        <v>34.313169733758016</v>
      </c>
      <c r="K423" s="29">
        <v>25.287245057784187</v>
      </c>
    </row>
    <row r="424" spans="7:11">
      <c r="G424" s="21">
        <v>124</v>
      </c>
      <c r="H424" s="29">
        <v>93.831161499023437</v>
      </c>
      <c r="I424" s="29">
        <v>96.327621459960938</v>
      </c>
      <c r="J424" s="29">
        <v>37.159557553219237</v>
      </c>
      <c r="K424" s="29">
        <v>-24.994537926015415</v>
      </c>
    </row>
    <row r="425" spans="7:11">
      <c r="G425" s="21">
        <v>125</v>
      </c>
      <c r="H425" s="29">
        <v>94.594017028808594</v>
      </c>
      <c r="I425" s="29">
        <v>96.327621459960938</v>
      </c>
      <c r="J425" s="29">
        <v>-37.244071081635497</v>
      </c>
      <c r="K425" s="29">
        <v>24.700293405282018</v>
      </c>
    </row>
    <row r="426" spans="7:11">
      <c r="G426" s="21">
        <v>126</v>
      </c>
      <c r="H426" s="29">
        <v>95.35687255859375</v>
      </c>
      <c r="I426" s="29">
        <v>96.327621459960938</v>
      </c>
      <c r="J426" s="29">
        <v>37.326293764750098</v>
      </c>
      <c r="K426" s="29">
        <v>-24.40452959454079</v>
      </c>
    </row>
    <row r="427" spans="7:11">
      <c r="G427" s="21">
        <v>127</v>
      </c>
      <c r="H427" s="29">
        <v>96.119728088378906</v>
      </c>
      <c r="I427" s="29">
        <v>96.327621459960938</v>
      </c>
      <c r="J427" s="29">
        <v>-37.406220545204981</v>
      </c>
      <c r="K427" s="29">
        <v>24.107264685651167</v>
      </c>
    </row>
    <row r="428" spans="7:11">
      <c r="G428" s="21">
        <v>128</v>
      </c>
      <c r="H428" s="29">
        <v>96.882583618164063</v>
      </c>
      <c r="I428" s="29">
        <v>100.73600769042969</v>
      </c>
      <c r="J428" s="29">
        <v>-2.2383961031183279</v>
      </c>
      <c r="K428" s="29">
        <v>-23.80851696335376</v>
      </c>
    </row>
    <row r="429" spans="7:11">
      <c r="G429" s="21">
        <v>129</v>
      </c>
      <c r="H429" s="29">
        <v>97.645439147949219</v>
      </c>
      <c r="I429" s="29">
        <v>100.73600769042969</v>
      </c>
      <c r="J429" s="29">
        <v>2.0895113123055049</v>
      </c>
      <c r="K429" s="29">
        <v>23.508304803182227</v>
      </c>
    </row>
    <row r="430" spans="7:11">
      <c r="G430" s="21">
        <v>130</v>
      </c>
      <c r="H430" s="29">
        <v>98.408294677734375</v>
      </c>
      <c r="I430" s="29">
        <v>100.73600769042969</v>
      </c>
      <c r="J430" s="29">
        <v>-1.9404979976894039</v>
      </c>
      <c r="K430" s="29">
        <v>-23.206646670743588</v>
      </c>
    </row>
    <row r="431" spans="7:11">
      <c r="G431" s="21">
        <v>131</v>
      </c>
      <c r="H431" s="29">
        <v>99.171150207519531</v>
      </c>
      <c r="I431" s="29">
        <v>100.73600769042969</v>
      </c>
      <c r="J431" s="29">
        <v>1.7913653250670118</v>
      </c>
      <c r="K431" s="29">
        <v>22.903561121005293</v>
      </c>
    </row>
    <row r="432" spans="7:11">
      <c r="G432" s="21">
        <v>132</v>
      </c>
      <c r="H432" s="29">
        <v>99.934005737304688</v>
      </c>
      <c r="I432" s="29">
        <v>100.73600769042969</v>
      </c>
      <c r="J432" s="29">
        <v>-1.6421224673003176</v>
      </c>
      <c r="K432" s="29">
        <v>-22.599066796172764</v>
      </c>
    </row>
    <row r="433" spans="7:11">
      <c r="G433" s="21">
        <v>133</v>
      </c>
      <c r="H433" s="29">
        <v>100.69686126708984</v>
      </c>
      <c r="I433" s="29">
        <v>100.73600769042969</v>
      </c>
      <c r="J433" s="29">
        <v>1.4927786043054883</v>
      </c>
      <c r="K433" s="29">
        <v>22.29318242566741</v>
      </c>
    </row>
    <row r="434" spans="7:11">
      <c r="G434" s="21">
        <v>134</v>
      </c>
      <c r="H434" s="29">
        <v>101.459716796875</v>
      </c>
      <c r="I434" s="29">
        <v>103.56356048583984</v>
      </c>
      <c r="J434" s="29">
        <v>48.962857046876564</v>
      </c>
      <c r="K434" s="29">
        <v>-21.985926823987544</v>
      </c>
    </row>
    <row r="435" spans="7:11">
      <c r="G435" s="21">
        <v>135</v>
      </c>
      <c r="H435" s="29">
        <v>102.22257232666016</v>
      </c>
      <c r="I435" s="29">
        <v>103.56356048583984</v>
      </c>
      <c r="J435" s="29">
        <v>-48.822924275998233</v>
      </c>
      <c r="K435" s="29">
        <v>21.677318889971978</v>
      </c>
    </row>
    <row r="436" spans="7:11">
      <c r="G436" s="21">
        <v>136</v>
      </c>
      <c r="H436" s="29">
        <v>102.98542785644531</v>
      </c>
      <c r="I436" s="29">
        <v>103.56356048583984</v>
      </c>
      <c r="J436" s="29">
        <v>48.679988456336282</v>
      </c>
      <c r="K436" s="29">
        <v>-21.367377606069891</v>
      </c>
    </row>
    <row r="437" spans="7:11">
      <c r="G437" s="21">
        <v>137</v>
      </c>
      <c r="H437" s="29">
        <v>103.74828338623047</v>
      </c>
      <c r="I437" s="29">
        <v>105.32297515869141</v>
      </c>
      <c r="J437" s="29">
        <v>-27.508827306245539</v>
      </c>
      <c r="K437" s="29">
        <v>21.056122036169647</v>
      </c>
    </row>
    <row r="438" spans="7:11">
      <c r="G438" s="21">
        <v>138</v>
      </c>
      <c r="H438" s="29">
        <v>104.51113891601562</v>
      </c>
      <c r="I438" s="29">
        <v>105.32297515869141</v>
      </c>
      <c r="J438" s="29">
        <v>27.677240045098205</v>
      </c>
      <c r="K438" s="29">
        <v>-20.743571325576294</v>
      </c>
    </row>
    <row r="439" spans="7:11">
      <c r="G439" s="21">
        <v>139</v>
      </c>
      <c r="H439" s="29">
        <v>105.27399444580078</v>
      </c>
      <c r="I439" s="29">
        <v>105.32297515869141</v>
      </c>
      <c r="J439" s="29">
        <v>-27.843950384820513</v>
      </c>
      <c r="K439" s="29">
        <v>20.429744698824841</v>
      </c>
    </row>
    <row r="440" spans="7:11">
      <c r="G440" s="21">
        <v>140</v>
      </c>
      <c r="H440" s="29">
        <v>106.03684997558594</v>
      </c>
      <c r="I440" s="29">
        <v>110.04662322998047</v>
      </c>
      <c r="J440" s="29">
        <v>-13.597789109706339</v>
      </c>
      <c r="K440" s="29">
        <v>-20.114661458928246</v>
      </c>
    </row>
    <row r="441" spans="7:11">
      <c r="G441" s="21">
        <v>141</v>
      </c>
      <c r="H441" s="29">
        <v>106.79970550537109</v>
      </c>
      <c r="I441" s="29">
        <v>110.04662322998047</v>
      </c>
      <c r="J441" s="29">
        <v>13.575898432205085</v>
      </c>
      <c r="K441" s="29">
        <v>19.798340986631239</v>
      </c>
    </row>
    <row r="442" spans="7:11">
      <c r="G442" s="21">
        <v>142</v>
      </c>
      <c r="H442" s="29">
        <v>107.56256103515625</v>
      </c>
      <c r="I442" s="29">
        <v>110.04662322998047</v>
      </c>
      <c r="J442" s="29">
        <v>-13.553172714878791</v>
      </c>
      <c r="K442" s="29">
        <v>-19.480802738341275</v>
      </c>
    </row>
    <row r="443" spans="7:11">
      <c r="G443" s="21">
        <v>143</v>
      </c>
      <c r="H443" s="29">
        <v>108.32541656494141</v>
      </c>
      <c r="I443" s="29">
        <v>110.04662322998047</v>
      </c>
      <c r="J443" s="29">
        <v>13.529613355552298</v>
      </c>
      <c r="K443" s="29">
        <v>19.162066245367736</v>
      </c>
    </row>
    <row r="444" spans="7:11">
      <c r="G444" s="21">
        <v>144</v>
      </c>
      <c r="H444" s="29">
        <v>109.08827209472656</v>
      </c>
      <c r="I444" s="29">
        <v>110.04662322998047</v>
      </c>
      <c r="J444" s="29">
        <v>-13.505221803359905</v>
      </c>
      <c r="K444" s="29">
        <v>-18.842151113166647</v>
      </c>
    </row>
    <row r="445" spans="7:11">
      <c r="G445" s="21">
        <v>145</v>
      </c>
      <c r="H445" s="29">
        <v>109.85112762451172</v>
      </c>
      <c r="I445" s="29">
        <v>110.04662322998047</v>
      </c>
      <c r="J445" s="29">
        <v>13.479999558578763</v>
      </c>
      <c r="K445" s="29">
        <v>18.521077019098467</v>
      </c>
    </row>
    <row r="446" spans="7:11">
      <c r="G446" s="21">
        <v>146</v>
      </c>
      <c r="H446" s="29">
        <v>110.61398315429687</v>
      </c>
      <c r="I446" s="29">
        <v>112.67672729492187</v>
      </c>
      <c r="J446" s="29">
        <v>-18.102881002978073</v>
      </c>
      <c r="K446" s="29">
        <v>-18.198863712404883</v>
      </c>
    </row>
    <row r="447" spans="7:11">
      <c r="G447" s="21">
        <v>147</v>
      </c>
      <c r="H447" s="29">
        <v>111.37683868408203</v>
      </c>
      <c r="I447" s="29">
        <v>112.67672729492187</v>
      </c>
      <c r="J447" s="29">
        <v>18.337886928259252</v>
      </c>
      <c r="K447" s="29">
        <v>17.875531011952848</v>
      </c>
    </row>
    <row r="448" spans="7:11">
      <c r="G448" s="21">
        <v>148</v>
      </c>
      <c r="H448" s="29">
        <v>112.13969421386719</v>
      </c>
      <c r="I448" s="29">
        <v>112.67672729492187</v>
      </c>
      <c r="J448" s="29">
        <v>-18.571764908712368</v>
      </c>
      <c r="K448" s="29">
        <v>-17.55109880546004</v>
      </c>
    </row>
    <row r="449" spans="7:11">
      <c r="G449" s="21">
        <v>149</v>
      </c>
      <c r="H449" s="29">
        <v>112.90254974365234</v>
      </c>
      <c r="I449" s="29">
        <v>117.14402008056641</v>
      </c>
      <c r="J449" s="29">
        <v>-19.479288835865294</v>
      </c>
      <c r="K449" s="29">
        <v>17.225587048725362</v>
      </c>
    </row>
    <row r="450" spans="7:11">
      <c r="G450" s="21">
        <v>150</v>
      </c>
      <c r="H450" s="29">
        <v>113.6654052734375</v>
      </c>
      <c r="I450" s="29">
        <v>117.14402008056641</v>
      </c>
      <c r="J450" s="29">
        <v>20.197446743394494</v>
      </c>
      <c r="K450" s="29">
        <v>-16.899015763346814</v>
      </c>
    </row>
    <row r="451" spans="7:11">
      <c r="G451" s="21">
        <v>151</v>
      </c>
      <c r="H451" s="29">
        <v>114.42826080322266</v>
      </c>
      <c r="I451" s="29">
        <v>117.14402008056641</v>
      </c>
      <c r="J451" s="29">
        <v>-20.914362326004614</v>
      </c>
      <c r="K451" s="29">
        <v>16.571405036697872</v>
      </c>
    </row>
    <row r="452" spans="7:11">
      <c r="G452" s="21">
        <v>152</v>
      </c>
      <c r="H452" s="29">
        <v>115.19111633300781</v>
      </c>
      <c r="I452" s="29">
        <v>117.14402008056641</v>
      </c>
      <c r="J452" s="29">
        <v>21.629991487274399</v>
      </c>
      <c r="K452" s="29">
        <v>-16.242775019632791</v>
      </c>
    </row>
    <row r="453" spans="7:11">
      <c r="G453" s="21">
        <v>153</v>
      </c>
      <c r="H453" s="29">
        <v>115.95397186279297</v>
      </c>
      <c r="I453" s="29">
        <v>117.14402008056641</v>
      </c>
      <c r="J453" s="29">
        <v>-22.344290209906671</v>
      </c>
      <c r="K453" s="29">
        <v>15.91314592569945</v>
      </c>
    </row>
    <row r="454" spans="7:11">
      <c r="G454" s="21">
        <v>154</v>
      </c>
      <c r="H454" s="29">
        <v>116.71682739257813</v>
      </c>
      <c r="I454" s="29">
        <v>117.14402008056641</v>
      </c>
      <c r="J454" s="29">
        <v>23.057214557444496</v>
      </c>
      <c r="K454" s="29">
        <v>-15.582538030356885</v>
      </c>
    </row>
    <row r="455" spans="7:11">
      <c r="G455" s="21">
        <v>155</v>
      </c>
      <c r="H455" s="29">
        <v>117.47968292236328</v>
      </c>
      <c r="I455" s="29">
        <v>119.75794219970703</v>
      </c>
      <c r="J455" s="29">
        <v>34.143266866536024</v>
      </c>
      <c r="K455" s="29">
        <v>15.250971668656719</v>
      </c>
    </row>
    <row r="456" spans="7:11">
      <c r="G456" s="21">
        <v>156</v>
      </c>
      <c r="H456" s="29">
        <v>118.24253845214844</v>
      </c>
      <c r="I456" s="29">
        <v>119.75794219970703</v>
      </c>
      <c r="J456" s="29">
        <v>-34.232319617348658</v>
      </c>
      <c r="K456" s="29">
        <v>-14.918467235219168</v>
      </c>
    </row>
    <row r="457" spans="7:11">
      <c r="G457" s="21">
        <v>157</v>
      </c>
      <c r="H457" s="29">
        <v>119.00539398193359</v>
      </c>
      <c r="I457" s="29">
        <v>119.75794219970703</v>
      </c>
      <c r="J457" s="29">
        <v>34.319266772695428</v>
      </c>
      <c r="K457" s="29">
        <v>14.585045181903117</v>
      </c>
    </row>
    <row r="458" spans="7:11">
      <c r="G458" s="21">
        <v>158</v>
      </c>
      <c r="H458" s="29">
        <v>119.76824951171875</v>
      </c>
      <c r="I458" s="29">
        <v>123.2852783203125</v>
      </c>
      <c r="J458" s="29">
        <v>27.038142325967247</v>
      </c>
      <c r="K458" s="29">
        <v>-14.250726017007615</v>
      </c>
    </row>
    <row r="459" spans="7:11">
      <c r="G459" s="21">
        <v>159</v>
      </c>
      <c r="H459" s="29">
        <v>120.53110504150391</v>
      </c>
      <c r="I459" s="29">
        <v>123.2852783203125</v>
      </c>
      <c r="J459" s="29">
        <v>-27.024448286440055</v>
      </c>
      <c r="K459" s="29">
        <v>13.915530304477581</v>
      </c>
    </row>
    <row r="460" spans="7:11">
      <c r="G460" s="21">
        <v>160</v>
      </c>
      <c r="H460" s="29">
        <v>121.29396057128906</v>
      </c>
      <c r="I460" s="29">
        <v>123.2852783203125</v>
      </c>
      <c r="J460" s="29">
        <v>27.009092000337912</v>
      </c>
      <c r="K460" s="29">
        <v>-13.579478661552391</v>
      </c>
    </row>
    <row r="461" spans="7:11">
      <c r="G461" s="21">
        <v>161</v>
      </c>
      <c r="H461" s="29">
        <v>122.05681610107422</v>
      </c>
      <c r="I461" s="29">
        <v>123.2852783203125</v>
      </c>
      <c r="J461" s="29">
        <v>-26.992074412224742</v>
      </c>
      <c r="K461" s="29">
        <v>13.242591758741556</v>
      </c>
    </row>
    <row r="462" spans="7:11">
      <c r="G462" s="21">
        <v>162</v>
      </c>
      <c r="H462" s="29">
        <v>122.81967163085937</v>
      </c>
      <c r="I462" s="29">
        <v>123.2852783203125</v>
      </c>
      <c r="J462" s="29">
        <v>26.973396568828498</v>
      </c>
      <c r="K462" s="29">
        <v>-12.904890317463117</v>
      </c>
    </row>
    <row r="463" spans="7:11">
      <c r="G463" s="21">
        <v>163</v>
      </c>
      <c r="H463" s="29">
        <v>123.58252716064453</v>
      </c>
      <c r="I463" s="29">
        <v>125.40267944335938</v>
      </c>
      <c r="J463" s="29">
        <v>-11.490148870642718</v>
      </c>
      <c r="K463" s="29">
        <v>12.566395109235058</v>
      </c>
    </row>
    <row r="464" spans="7:11">
      <c r="G464" s="21">
        <v>164</v>
      </c>
      <c r="H464" s="29">
        <v>124.34538269042969</v>
      </c>
      <c r="I464" s="29">
        <v>125.40267944335938</v>
      </c>
      <c r="J464" s="29">
        <v>11.634800494646178</v>
      </c>
      <c r="K464" s="29">
        <v>-12.227126954870384</v>
      </c>
    </row>
    <row r="465" spans="7:11">
      <c r="G465" s="21">
        <v>165</v>
      </c>
      <c r="H465" s="29">
        <v>125.10823822021484</v>
      </c>
      <c r="I465" s="29">
        <v>125.40267944335938</v>
      </c>
      <c r="J465" s="29">
        <v>-11.77873647386828</v>
      </c>
      <c r="K465" s="29">
        <v>11.887106722096492</v>
      </c>
    </row>
    <row r="466" spans="7:11">
      <c r="G466" s="21">
        <v>166</v>
      </c>
      <c r="H466" s="29">
        <v>125.87109375</v>
      </c>
      <c r="I466" s="29">
        <v>129.83761596679687</v>
      </c>
      <c r="J466" s="29">
        <v>128.77725175492222</v>
      </c>
      <c r="K466" s="29">
        <v>-11.54635532553052</v>
      </c>
    </row>
    <row r="467" spans="7:11">
      <c r="G467" s="21">
        <v>167</v>
      </c>
      <c r="H467" s="29">
        <v>126.63394927978516</v>
      </c>
      <c r="I467" s="29">
        <v>129.83761596679687</v>
      </c>
      <c r="J467" s="29">
        <v>-128.73449287266436</v>
      </c>
      <c r="K467" s="29">
        <v>11.20489372428977</v>
      </c>
    </row>
    <row r="468" spans="7:11">
      <c r="G468" s="21">
        <v>168</v>
      </c>
      <c r="H468" s="29">
        <v>127.39680480957031</v>
      </c>
      <c r="I468" s="29">
        <v>129.83761596679687</v>
      </c>
      <c r="J468" s="29">
        <v>128.68381566151757</v>
      </c>
      <c r="K468" s="29">
        <v>-10.862742921174199</v>
      </c>
    </row>
    <row r="469" spans="7:11">
      <c r="G469" s="21">
        <v>169</v>
      </c>
      <c r="H469" s="29">
        <v>128.15965270996094</v>
      </c>
      <c r="I469" s="29">
        <v>129.83761596679687</v>
      </c>
      <c r="J469" s="29">
        <v>-128.60970226434881</v>
      </c>
      <c r="K469" s="29">
        <v>10.436051762323123</v>
      </c>
    </row>
    <row r="470" spans="7:11">
      <c r="G470" s="21">
        <v>170</v>
      </c>
      <c r="H470" s="29">
        <v>128.92250061035156</v>
      </c>
      <c r="I470" s="29">
        <v>129.83761596679687</v>
      </c>
      <c r="J470" s="29">
        <v>128.52333969308322</v>
      </c>
      <c r="K470" s="29">
        <v>-10.008366642732673</v>
      </c>
    </row>
    <row r="471" spans="7:11">
      <c r="G471" s="21">
        <v>171</v>
      </c>
      <c r="H471" s="29">
        <v>129.68534851074219</v>
      </c>
      <c r="I471" s="29">
        <v>129.83761596679687</v>
      </c>
      <c r="J471" s="29">
        <v>-128.42473617308696</v>
      </c>
      <c r="K471" s="29">
        <v>9.5797282960987058</v>
      </c>
    </row>
    <row r="472" spans="7:11">
      <c r="G472" s="21">
        <v>172</v>
      </c>
      <c r="H472" s="29">
        <v>130.44819641113281</v>
      </c>
      <c r="I472" s="29">
        <v>134.57162475585937</v>
      </c>
      <c r="J472" s="29">
        <v>72.735964730953896</v>
      </c>
      <c r="K472" s="29">
        <v>-9.1501775475436649</v>
      </c>
    </row>
    <row r="473" spans="7:11">
      <c r="G473" s="21">
        <v>173</v>
      </c>
      <c r="H473" s="29">
        <v>131.21104431152344</v>
      </c>
      <c r="I473" s="29">
        <v>134.57162475585937</v>
      </c>
      <c r="J473" s="29">
        <v>-73.241901861568806</v>
      </c>
      <c r="K473" s="29">
        <v>8.7197553082895052</v>
      </c>
    </row>
    <row r="474" spans="7:11">
      <c r="G474" s="21">
        <v>174</v>
      </c>
      <c r="H474" s="29">
        <v>131.97389221191406</v>
      </c>
      <c r="I474" s="29">
        <v>134.57162475585937</v>
      </c>
      <c r="J474" s="29">
        <v>73.7408632132029</v>
      </c>
      <c r="K474" s="29">
        <v>-8.2885025736841857</v>
      </c>
    </row>
    <row r="475" spans="7:11">
      <c r="G475" s="21">
        <v>175</v>
      </c>
      <c r="H475" s="29">
        <v>132.73674011230469</v>
      </c>
      <c r="I475" s="29">
        <v>134.57162475585937</v>
      </c>
      <c r="J475" s="29">
        <v>-74.232801264023109</v>
      </c>
      <c r="K475" s="29">
        <v>7.8564604168897771</v>
      </c>
    </row>
    <row r="476" spans="7:11">
      <c r="G476" s="21">
        <v>176</v>
      </c>
      <c r="H476" s="29">
        <v>133.49958801269531</v>
      </c>
      <c r="I476" s="29">
        <v>134.57162475585937</v>
      </c>
      <c r="J476" s="29">
        <v>74.717669159639172</v>
      </c>
      <c r="K476" s="29">
        <v>-7.4236699875424641</v>
      </c>
    </row>
    <row r="477" spans="7:11">
      <c r="G477" s="21">
        <v>177</v>
      </c>
      <c r="H477" s="29">
        <v>134.26243591308594</v>
      </c>
      <c r="I477" s="29">
        <v>134.57162475585937</v>
      </c>
      <c r="J477" s="29">
        <v>-75.195420720146572</v>
      </c>
      <c r="K477" s="29">
        <v>6.9901725055801291</v>
      </c>
    </row>
    <row r="478" spans="7:11">
      <c r="G478" s="21">
        <v>178</v>
      </c>
      <c r="H478" s="29">
        <v>135.02528381347656</v>
      </c>
      <c r="I478" s="29">
        <v>138.16822814941406</v>
      </c>
      <c r="J478" s="29">
        <v>-72.242777531563803</v>
      </c>
      <c r="K478" s="29">
        <v>-6.5560092582803655</v>
      </c>
    </row>
    <row r="479" spans="7:11">
      <c r="G479" s="21">
        <v>179</v>
      </c>
      <c r="H479" s="29">
        <v>135.78813171386719</v>
      </c>
      <c r="I479" s="29">
        <v>138.16822814941406</v>
      </c>
      <c r="J479" s="29">
        <v>72.810663762913393</v>
      </c>
      <c r="K479" s="29">
        <v>6.1212215973015445</v>
      </c>
    </row>
    <row r="480" spans="7:11">
      <c r="G480" s="21">
        <v>180</v>
      </c>
      <c r="H480" s="29">
        <v>136.55097961425781</v>
      </c>
      <c r="I480" s="29">
        <v>138.16822814941406</v>
      </c>
      <c r="J480" s="29">
        <v>-73.371615288488613</v>
      </c>
      <c r="K480" s="29">
        <v>-5.6858509324774671</v>
      </c>
    </row>
    <row r="481" spans="7:11">
      <c r="G481" s="21">
        <v>181</v>
      </c>
      <c r="H481" s="29">
        <v>137.31382751464844</v>
      </c>
      <c r="I481" s="29">
        <v>138.16822814941406</v>
      </c>
      <c r="J481" s="29">
        <v>73.925578680745829</v>
      </c>
      <c r="K481" s="29">
        <v>5.2499387304663756</v>
      </c>
    </row>
    <row r="482" spans="7:11">
      <c r="G482" s="21">
        <v>182</v>
      </c>
      <c r="H482" s="29">
        <v>138.07667541503906</v>
      </c>
      <c r="I482" s="29">
        <v>138.16822814941406</v>
      </c>
      <c r="J482" s="29">
        <v>-74.472501178969381</v>
      </c>
      <c r="K482" s="29">
        <v>-4.8135265085305967</v>
      </c>
    </row>
    <row r="483" spans="7:11">
      <c r="G483" s="21">
        <v>183</v>
      </c>
      <c r="H483" s="29">
        <v>138.83952331542969</v>
      </c>
      <c r="I483" s="29">
        <v>141.03849792480469</v>
      </c>
      <c r="J483" s="29">
        <v>-0.69410879795358515</v>
      </c>
      <c r="K483" s="29">
        <v>4.3766558315543662</v>
      </c>
    </row>
    <row r="484" spans="7:11">
      <c r="G484" s="21">
        <v>184</v>
      </c>
      <c r="H484" s="29">
        <v>139.60237121582031</v>
      </c>
      <c r="I484" s="29">
        <v>141.03849792480469</v>
      </c>
      <c r="J484" s="29">
        <v>0.28092899927742554</v>
      </c>
      <c r="K484" s="29">
        <v>-3.9393683090638225</v>
      </c>
    </row>
    <row r="485" spans="7:11">
      <c r="G485" s="21">
        <v>185</v>
      </c>
      <c r="H485" s="29">
        <v>140.36521911621094</v>
      </c>
      <c r="I485" s="29">
        <v>141.03849792480469</v>
      </c>
      <c r="J485" s="29">
        <v>0.1322775562280199</v>
      </c>
      <c r="K485" s="29">
        <v>3.5017055889833535</v>
      </c>
    </row>
    <row r="486" spans="7:11">
      <c r="G486" s="21">
        <v>186</v>
      </c>
      <c r="H486" s="29">
        <v>141.12806701660156</v>
      </c>
      <c r="I486" s="29">
        <v>145.64433288574219</v>
      </c>
      <c r="J486" s="29">
        <v>-35.182723536698006</v>
      </c>
      <c r="K486" s="29">
        <v>-3.0637093562768434</v>
      </c>
    </row>
    <row r="487" spans="7:11">
      <c r="G487" s="21">
        <v>187</v>
      </c>
      <c r="H487" s="29">
        <v>141.89091491699219</v>
      </c>
      <c r="I487" s="29">
        <v>145.64433288574219</v>
      </c>
      <c r="J487" s="29">
        <v>35.086152970363862</v>
      </c>
      <c r="K487" s="29">
        <v>2.6254213266941719</v>
      </c>
    </row>
    <row r="488" spans="7:11">
      <c r="G488" s="21">
        <v>188</v>
      </c>
      <c r="H488" s="29">
        <v>142.65376281738281</v>
      </c>
      <c r="I488" s="29">
        <v>145.64433288574219</v>
      </c>
      <c r="J488" s="29">
        <v>-34.986240693418573</v>
      </c>
      <c r="K488" s="29">
        <v>-2.1868832437759589</v>
      </c>
    </row>
    <row r="489" spans="7:11">
      <c r="G489" s="21">
        <v>189</v>
      </c>
      <c r="H489" s="29">
        <v>143.41661071777344</v>
      </c>
      <c r="I489" s="29">
        <v>145.64433288574219</v>
      </c>
      <c r="J489" s="29">
        <v>34.882996221956319</v>
      </c>
      <c r="K489" s="29">
        <v>1.7481368758595788</v>
      </c>
    </row>
    <row r="490" spans="7:11">
      <c r="G490" s="21">
        <v>190</v>
      </c>
      <c r="H490" s="29">
        <v>144.17945861816406</v>
      </c>
      <c r="I490" s="29">
        <v>145.64433288574219</v>
      </c>
      <c r="J490" s="29">
        <v>-34.776429389136567</v>
      </c>
      <c r="K490" s="29">
        <v>-1.3092240098120613</v>
      </c>
    </row>
    <row r="491" spans="7:11">
      <c r="G491" s="21">
        <v>191</v>
      </c>
      <c r="H491" s="29">
        <v>144.94230651855469</v>
      </c>
      <c r="I491" s="29">
        <v>145.64433288574219</v>
      </c>
      <c r="J491" s="29">
        <v>34.666550344863275</v>
      </c>
      <c r="K491" s="29">
        <v>0.87018644966680947</v>
      </c>
    </row>
    <row r="492" spans="7:11">
      <c r="G492" s="21">
        <v>192</v>
      </c>
      <c r="H492" s="29">
        <v>145.70515441894531</v>
      </c>
      <c r="I492" s="29">
        <v>148.70169067382812</v>
      </c>
      <c r="J492" s="29">
        <v>-37.455316139211014</v>
      </c>
      <c r="K492" s="29">
        <v>-0.43106601035184428</v>
      </c>
    </row>
    <row r="493" spans="7:11">
      <c r="G493" s="21">
        <v>193</v>
      </c>
      <c r="H493" s="29">
        <v>146.46800231933594</v>
      </c>
      <c r="I493" s="29">
        <v>148.70169067382812</v>
      </c>
      <c r="J493" s="29">
        <v>36.817894246294557</v>
      </c>
      <c r="K493" s="29">
        <v>-8.0954853113988333E-3</v>
      </c>
    </row>
    <row r="494" spans="7:11">
      <c r="G494" s="21">
        <v>194</v>
      </c>
      <c r="H494" s="29">
        <v>147.23085021972656</v>
      </c>
      <c r="I494" s="29">
        <v>148.70169067382812</v>
      </c>
      <c r="J494" s="29">
        <v>-36.176965707078907</v>
      </c>
      <c r="K494" s="29">
        <v>0.44725620960891566</v>
      </c>
    </row>
    <row r="495" spans="7:11">
      <c r="G495" s="21">
        <v>195</v>
      </c>
      <c r="H495" s="29">
        <v>147.99369812011719</v>
      </c>
      <c r="I495" s="29">
        <v>148.70169067382812</v>
      </c>
      <c r="J495" s="29">
        <v>35.53259156456658</v>
      </c>
      <c r="K495" s="29">
        <v>-0.88637433620974793</v>
      </c>
    </row>
    <row r="496" spans="7:11">
      <c r="G496" s="21">
        <v>196</v>
      </c>
      <c r="H496" s="29">
        <v>148.75654602050781</v>
      </c>
      <c r="I496" s="29">
        <v>152.57083129882812</v>
      </c>
      <c r="J496" s="29">
        <v>10.540427543203544</v>
      </c>
      <c r="K496" s="29">
        <v>1.3254080415305558</v>
      </c>
    </row>
    <row r="497" spans="7:11">
      <c r="G497" s="21">
        <v>197</v>
      </c>
      <c r="H497" s="29">
        <v>149.51939392089844</v>
      </c>
      <c r="I497" s="29">
        <v>152.57083129882812</v>
      </c>
      <c r="J497" s="29">
        <v>-10.484785226301701</v>
      </c>
      <c r="K497" s="29">
        <v>-1.7643155110106936</v>
      </c>
    </row>
    <row r="498" spans="7:11">
      <c r="G498" s="21">
        <v>198</v>
      </c>
      <c r="H498" s="29">
        <v>150.28224182128906</v>
      </c>
      <c r="I498" s="29">
        <v>152.57083129882812</v>
      </c>
      <c r="J498" s="29">
        <v>10.42814430693762</v>
      </c>
      <c r="K498" s="29">
        <v>2.2030549421122201</v>
      </c>
    </row>
    <row r="499" spans="7:11">
      <c r="G499" s="21">
        <v>199</v>
      </c>
      <c r="H499" s="29">
        <v>151.04508972167969</v>
      </c>
      <c r="I499" s="29">
        <v>152.57083129882812</v>
      </c>
      <c r="J499" s="29">
        <v>-10.370510179846942</v>
      </c>
      <c r="K499" s="29">
        <v>-2.6415845473204569</v>
      </c>
    </row>
    <row r="500" spans="7:11">
      <c r="G500" s="21">
        <v>200</v>
      </c>
      <c r="H500" s="29">
        <v>151.80793762207031</v>
      </c>
      <c r="I500" s="29">
        <v>152.57083129882812</v>
      </c>
      <c r="J500" s="29">
        <v>10.311888334191025</v>
      </c>
      <c r="K500" s="29">
        <v>3.0798625604131797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paperSize="9" orientation="portrait" r:id="rId1"/>
  <drawing r:id="rId2"/>
  <legacyDrawing r:id="rId3"/>
  <controls>
    <control shapeId="1029" r:id="rId4" name="CommandButton5"/>
    <control shapeId="1028" r:id="rId5" name="CommandButton4"/>
    <control shapeId="1027" r:id="rId6" name="CommandButton3"/>
    <control shapeId="1026" r:id="rId7" name="CommandButton2"/>
    <control shapeId="1025" r:id="rId8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F108"/>
  <sheetViews>
    <sheetView topLeftCell="A49" workbookViewId="0">
      <selection activeCell="F58" sqref="F58"/>
    </sheetView>
  </sheetViews>
  <sheetFormatPr defaultRowHeight="15"/>
  <cols>
    <col min="5" max="5" width="12.5703125" customWidth="1"/>
  </cols>
  <sheetData>
    <row r="1" spans="1:5">
      <c r="B1" s="40" t="s">
        <v>43</v>
      </c>
      <c r="C1" s="21">
        <v>0.8</v>
      </c>
    </row>
    <row r="3" spans="1:5">
      <c r="A3" s="21" t="s">
        <v>21</v>
      </c>
      <c r="B3" s="21" t="s">
        <v>41</v>
      </c>
      <c r="C3" s="21" t="s">
        <v>15</v>
      </c>
      <c r="D3" s="38" t="s">
        <v>13</v>
      </c>
      <c r="E3" s="21" t="s">
        <v>42</v>
      </c>
    </row>
    <row r="4" spans="1:5">
      <c r="A4" s="21">
        <v>1</v>
      </c>
      <c r="B4" s="41">
        <f ca="1">1+RAND()*(5-1)</f>
        <v>1.0700091794813957</v>
      </c>
      <c r="C4" s="39">
        <f ca="1">$C$1*SQRT(2*LN(1/(1-RAND())))</f>
        <v>0.84751215674930114</v>
      </c>
      <c r="D4" s="39">
        <f ca="1">-PI()+RAND()*2*PI()</f>
        <v>2.7048745770303908</v>
      </c>
      <c r="E4" s="21">
        <v>0</v>
      </c>
    </row>
    <row r="5" spans="1:5">
      <c r="A5" s="21">
        <v>2</v>
      </c>
      <c r="B5" s="41">
        <f t="shared" ref="B5:B53" ca="1" si="0">1+RAND()*(5-1)</f>
        <v>3.8213305654787462</v>
      </c>
      <c r="C5" s="39">
        <f t="shared" ref="C5:C53" ca="1" si="1">$C$1*SQRT(2*LN(1/(1-RAND())))</f>
        <v>0.98583725369062969</v>
      </c>
      <c r="D5" s="39">
        <f t="shared" ref="D5:D53" ca="1" si="2">-PI()+RAND()*2*PI()</f>
        <v>2.0445306345069278</v>
      </c>
      <c r="E5" s="41">
        <f ca="1">E4+B4</f>
        <v>1.0700091794813957</v>
      </c>
    </row>
    <row r="6" spans="1:5">
      <c r="A6" s="21">
        <v>3</v>
      </c>
      <c r="B6" s="41">
        <f t="shared" ca="1" si="0"/>
        <v>4.720872468681959</v>
      </c>
      <c r="C6" s="39">
        <f t="shared" ca="1" si="1"/>
        <v>0.51897444913164481</v>
      </c>
      <c r="D6" s="39">
        <f t="shared" ca="1" si="2"/>
        <v>1.9579666835560507</v>
      </c>
      <c r="E6" s="41">
        <f ca="1">E5+B5</f>
        <v>4.8913397449601419</v>
      </c>
    </row>
    <row r="7" spans="1:5">
      <c r="A7" s="21">
        <v>4</v>
      </c>
      <c r="B7" s="41">
        <f t="shared" ca="1" si="0"/>
        <v>2.724822972899446</v>
      </c>
      <c r="C7" s="39">
        <f t="shared" ca="1" si="1"/>
        <v>0.26166036078073651</v>
      </c>
      <c r="D7" s="39">
        <f t="shared" ca="1" si="2"/>
        <v>0.15985871756930914</v>
      </c>
      <c r="E7" s="41">
        <f t="shared" ref="E7:E54" ca="1" si="3">E6+B6</f>
        <v>9.6122122136421009</v>
      </c>
    </row>
    <row r="8" spans="1:5">
      <c r="A8" s="21">
        <v>5</v>
      </c>
      <c r="B8" s="41">
        <f t="shared" ca="1" si="0"/>
        <v>4.1127341719445143</v>
      </c>
      <c r="C8" s="39">
        <f t="shared" ca="1" si="1"/>
        <v>0.97294894277257837</v>
      </c>
      <c r="D8" s="39">
        <f t="shared" ca="1" si="2"/>
        <v>0.40901882448543159</v>
      </c>
      <c r="E8" s="41">
        <f t="shared" ca="1" si="3"/>
        <v>12.337035186541547</v>
      </c>
    </row>
    <row r="9" spans="1:5">
      <c r="A9" s="21">
        <v>6</v>
      </c>
      <c r="B9" s="41">
        <f t="shared" ca="1" si="0"/>
        <v>1.190294191751935</v>
      </c>
      <c r="C9" s="39">
        <f t="shared" ca="1" si="1"/>
        <v>0.29672826630242827</v>
      </c>
      <c r="D9" s="39">
        <f t="shared" ca="1" si="2"/>
        <v>0.25693073340607997</v>
      </c>
      <c r="E9" s="41">
        <f t="shared" ca="1" si="3"/>
        <v>16.449769358486062</v>
      </c>
    </row>
    <row r="10" spans="1:5">
      <c r="A10" s="21">
        <v>7</v>
      </c>
      <c r="B10" s="41">
        <f t="shared" ca="1" si="0"/>
        <v>2.7975180251523097</v>
      </c>
      <c r="C10" s="39">
        <f t="shared" ca="1" si="1"/>
        <v>1.7157121675414839</v>
      </c>
      <c r="D10" s="39">
        <f t="shared" ca="1" si="2"/>
        <v>-3.1153466373841692</v>
      </c>
      <c r="E10" s="41">
        <f t="shared" ca="1" si="3"/>
        <v>17.640063550237997</v>
      </c>
    </row>
    <row r="11" spans="1:5">
      <c r="A11" s="21">
        <v>8</v>
      </c>
      <c r="B11" s="41">
        <f t="shared" ca="1" si="0"/>
        <v>1.5458812824472261</v>
      </c>
      <c r="C11" s="39">
        <f t="shared" ca="1" si="1"/>
        <v>0.48775800371907008</v>
      </c>
      <c r="D11" s="39">
        <f t="shared" ca="1" si="2"/>
        <v>1.4169720905953929</v>
      </c>
      <c r="E11" s="41">
        <f t="shared" ca="1" si="3"/>
        <v>20.437581575390308</v>
      </c>
    </row>
    <row r="12" spans="1:5">
      <c r="A12" s="21">
        <v>9</v>
      </c>
      <c r="B12" s="41">
        <f t="shared" ca="1" si="0"/>
        <v>1.4957388469956001</v>
      </c>
      <c r="C12" s="39">
        <f t="shared" ca="1" si="1"/>
        <v>0.86396358480655688</v>
      </c>
      <c r="D12" s="39">
        <f t="shared" ca="1" si="2"/>
        <v>-2.6570306482749517</v>
      </c>
      <c r="E12" s="41">
        <f t="shared" ca="1" si="3"/>
        <v>21.983462857837534</v>
      </c>
    </row>
    <row r="13" spans="1:5">
      <c r="A13" s="21">
        <v>10</v>
      </c>
      <c r="B13" s="41">
        <f t="shared" ca="1" si="0"/>
        <v>2.7776200923375463</v>
      </c>
      <c r="C13" s="39">
        <f t="shared" ca="1" si="1"/>
        <v>1.3685546953070007</v>
      </c>
      <c r="D13" s="39">
        <f t="shared" ca="1" si="2"/>
        <v>-1.7569996476235024</v>
      </c>
      <c r="E13" s="41">
        <f t="shared" ca="1" si="3"/>
        <v>23.479201704833134</v>
      </c>
    </row>
    <row r="14" spans="1:5">
      <c r="A14" s="21">
        <v>11</v>
      </c>
      <c r="B14" s="41">
        <f t="shared" ca="1" si="0"/>
        <v>3.1845086720727664</v>
      </c>
      <c r="C14" s="39">
        <f t="shared" ca="1" si="1"/>
        <v>0.28570912446919927</v>
      </c>
      <c r="D14" s="39">
        <f t="shared" ca="1" si="2"/>
        <v>-0.50246208054758501</v>
      </c>
      <c r="E14" s="41">
        <f t="shared" ca="1" si="3"/>
        <v>26.25682179717068</v>
      </c>
    </row>
    <row r="15" spans="1:5">
      <c r="A15" s="21">
        <v>12</v>
      </c>
      <c r="B15" s="41">
        <f t="shared" ca="1" si="0"/>
        <v>3.8718106790464795</v>
      </c>
      <c r="C15" s="39">
        <f t="shared" ca="1" si="1"/>
        <v>1.8430281717338965</v>
      </c>
      <c r="D15" s="39">
        <f t="shared" ca="1" si="2"/>
        <v>-1.6417438369704196</v>
      </c>
      <c r="E15" s="41">
        <f t="shared" ca="1" si="3"/>
        <v>29.441330469243447</v>
      </c>
    </row>
    <row r="16" spans="1:5">
      <c r="A16" s="21">
        <v>13</v>
      </c>
      <c r="B16" s="41">
        <f t="shared" ca="1" si="0"/>
        <v>3.6275253865427644</v>
      </c>
      <c r="C16" s="39">
        <f t="shared" ca="1" si="1"/>
        <v>0.86607482206167041</v>
      </c>
      <c r="D16" s="39">
        <f t="shared" ca="1" si="2"/>
        <v>-1.8840804440307035</v>
      </c>
      <c r="E16" s="41">
        <f t="shared" ca="1" si="3"/>
        <v>33.31314114828993</v>
      </c>
    </row>
    <row r="17" spans="1:5">
      <c r="A17" s="21">
        <v>14</v>
      </c>
      <c r="B17" s="41">
        <f t="shared" ca="1" si="0"/>
        <v>4.1567803505002212</v>
      </c>
      <c r="C17" s="39">
        <f t="shared" ca="1" si="1"/>
        <v>0.22367755841848705</v>
      </c>
      <c r="D17" s="39">
        <f t="shared" ca="1" si="2"/>
        <v>0.28220707785151289</v>
      </c>
      <c r="E17" s="41">
        <f t="shared" ca="1" si="3"/>
        <v>36.940666534832694</v>
      </c>
    </row>
    <row r="18" spans="1:5">
      <c r="A18" s="21">
        <v>15</v>
      </c>
      <c r="B18" s="41">
        <f t="shared" ca="1" si="0"/>
        <v>1.0378536781827847</v>
      </c>
      <c r="C18" s="39">
        <f t="shared" ca="1" si="1"/>
        <v>1.2182129305272382</v>
      </c>
      <c r="D18" s="39">
        <f t="shared" ca="1" si="2"/>
        <v>-2.6414429055500159</v>
      </c>
      <c r="E18" s="41">
        <f t="shared" ca="1" si="3"/>
        <v>41.097446885332914</v>
      </c>
    </row>
    <row r="19" spans="1:5">
      <c r="A19" s="21">
        <v>16</v>
      </c>
      <c r="B19" s="41">
        <f t="shared" ca="1" si="0"/>
        <v>2.7668384194160973</v>
      </c>
      <c r="C19" s="39">
        <f t="shared" ca="1" si="1"/>
        <v>0.72622368821575933</v>
      </c>
      <c r="D19" s="39">
        <f t="shared" ca="1" si="2"/>
        <v>-0.27106587047922925</v>
      </c>
      <c r="E19" s="41">
        <f t="shared" ca="1" si="3"/>
        <v>42.135300563515699</v>
      </c>
    </row>
    <row r="20" spans="1:5">
      <c r="A20" s="21">
        <v>17</v>
      </c>
      <c r="B20" s="41">
        <f t="shared" ca="1" si="0"/>
        <v>4.7902621620803458</v>
      </c>
      <c r="C20" s="39">
        <f t="shared" ca="1" si="1"/>
        <v>0.16090013273125395</v>
      </c>
      <c r="D20" s="39">
        <f t="shared" ca="1" si="2"/>
        <v>-1.0120647487169165</v>
      </c>
      <c r="E20" s="41">
        <f t="shared" ca="1" si="3"/>
        <v>44.902138982931795</v>
      </c>
    </row>
    <row r="21" spans="1:5">
      <c r="A21" s="21">
        <v>18</v>
      </c>
      <c r="B21" s="41">
        <f t="shared" ca="1" si="0"/>
        <v>1.0844234860877648</v>
      </c>
      <c r="C21" s="39">
        <f t="shared" ca="1" si="1"/>
        <v>2.0371928725927559</v>
      </c>
      <c r="D21" s="39">
        <f t="shared" ca="1" si="2"/>
        <v>-0.4105113074613711</v>
      </c>
      <c r="E21" s="41">
        <f t="shared" ca="1" si="3"/>
        <v>49.692401145012141</v>
      </c>
    </row>
    <row r="22" spans="1:5">
      <c r="A22" s="21">
        <v>19</v>
      </c>
      <c r="B22" s="41">
        <f t="shared" ca="1" si="0"/>
        <v>3.7465640703310772</v>
      </c>
      <c r="C22" s="39">
        <f t="shared" ca="1" si="1"/>
        <v>1.3424921129223699</v>
      </c>
      <c r="D22" s="39">
        <f t="shared" ca="1" si="2"/>
        <v>2.726829811867125</v>
      </c>
      <c r="E22" s="41">
        <f t="shared" ca="1" si="3"/>
        <v>50.776824631099906</v>
      </c>
    </row>
    <row r="23" spans="1:5">
      <c r="A23" s="21">
        <v>20</v>
      </c>
      <c r="B23" s="41">
        <f t="shared" ca="1" si="0"/>
        <v>1.1967132130523987</v>
      </c>
      <c r="C23" s="39">
        <f t="shared" ca="1" si="1"/>
        <v>1.8405473852495804</v>
      </c>
      <c r="D23" s="39">
        <f t="shared" ca="1" si="2"/>
        <v>1.3987301493971245</v>
      </c>
      <c r="E23" s="41">
        <f t="shared" ca="1" si="3"/>
        <v>54.523388701430981</v>
      </c>
    </row>
    <row r="24" spans="1:5">
      <c r="A24" s="21">
        <v>21</v>
      </c>
      <c r="B24" s="41">
        <f t="shared" ca="1" si="0"/>
        <v>4.9099773685926325</v>
      </c>
      <c r="C24" s="39">
        <f t="shared" ca="1" si="1"/>
        <v>0.41483655981903977</v>
      </c>
      <c r="D24" s="39">
        <f t="shared" ca="1" si="2"/>
        <v>1.1364513899986202</v>
      </c>
      <c r="E24" s="41">
        <f t="shared" ca="1" si="3"/>
        <v>55.720101914483379</v>
      </c>
    </row>
    <row r="25" spans="1:5">
      <c r="A25" s="21">
        <v>22</v>
      </c>
      <c r="B25" s="41">
        <f t="shared" ca="1" si="0"/>
        <v>3.631821212854728</v>
      </c>
      <c r="C25" s="39">
        <f t="shared" ca="1" si="1"/>
        <v>0.72623667285530746</v>
      </c>
      <c r="D25" s="39">
        <f t="shared" ca="1" si="2"/>
        <v>2.9012574863998477</v>
      </c>
      <c r="E25" s="41">
        <f t="shared" ca="1" si="3"/>
        <v>60.630079283076014</v>
      </c>
    </row>
    <row r="26" spans="1:5">
      <c r="A26" s="21">
        <v>23</v>
      </c>
      <c r="B26" s="41">
        <f t="shared" ca="1" si="0"/>
        <v>3.7632313115063214</v>
      </c>
      <c r="C26" s="39">
        <f t="shared" ca="1" si="1"/>
        <v>1.9171865919163229</v>
      </c>
      <c r="D26" s="39">
        <f t="shared" ca="1" si="2"/>
        <v>1.7299025158801085</v>
      </c>
      <c r="E26" s="41">
        <f t="shared" ca="1" si="3"/>
        <v>64.261900495930746</v>
      </c>
    </row>
    <row r="27" spans="1:5">
      <c r="A27" s="21">
        <v>24</v>
      </c>
      <c r="B27" s="41">
        <f t="shared" ca="1" si="0"/>
        <v>2.2408623288409153</v>
      </c>
      <c r="C27" s="39">
        <f t="shared" ca="1" si="1"/>
        <v>0.97234737547972816</v>
      </c>
      <c r="D27" s="39">
        <f t="shared" ca="1" si="2"/>
        <v>-1.9691765478173</v>
      </c>
      <c r="E27" s="41">
        <f t="shared" ca="1" si="3"/>
        <v>68.025131807437063</v>
      </c>
    </row>
    <row r="28" spans="1:5">
      <c r="A28" s="21">
        <v>25</v>
      </c>
      <c r="B28" s="41">
        <f t="shared" ca="1" si="0"/>
        <v>2.338163440491261</v>
      </c>
      <c r="C28" s="39">
        <f t="shared" ca="1" si="1"/>
        <v>1.1075242669446881</v>
      </c>
      <c r="D28" s="39">
        <f t="shared" ca="1" si="2"/>
        <v>1.4655812005627036</v>
      </c>
      <c r="E28" s="41">
        <f t="shared" ca="1" si="3"/>
        <v>70.265994136277982</v>
      </c>
    </row>
    <row r="29" spans="1:5">
      <c r="A29" s="21">
        <v>26</v>
      </c>
      <c r="B29" s="41">
        <f t="shared" ca="1" si="0"/>
        <v>2.1843321365608404</v>
      </c>
      <c r="C29" s="39">
        <f t="shared" ca="1" si="1"/>
        <v>0.3710054897307391</v>
      </c>
      <c r="D29" s="39">
        <f t="shared" ca="1" si="2"/>
        <v>-0.19868556926808756</v>
      </c>
      <c r="E29" s="41">
        <f t="shared" ca="1" si="3"/>
        <v>72.604157576769239</v>
      </c>
    </row>
    <row r="30" spans="1:5">
      <c r="A30" s="21">
        <v>27</v>
      </c>
      <c r="B30" s="41">
        <f t="shared" ca="1" si="0"/>
        <v>1.3509137353044629</v>
      </c>
      <c r="C30" s="39">
        <f t="shared" ca="1" si="1"/>
        <v>0.46673117570018968</v>
      </c>
      <c r="D30" s="39">
        <f t="shared" ca="1" si="2"/>
        <v>-1.3551371763047335</v>
      </c>
      <c r="E30" s="41">
        <f t="shared" ca="1" si="3"/>
        <v>74.78848971333008</v>
      </c>
    </row>
    <row r="31" spans="1:5">
      <c r="A31" s="21">
        <v>28</v>
      </c>
      <c r="B31" s="41">
        <f t="shared" ca="1" si="0"/>
        <v>1.4237697158109306</v>
      </c>
      <c r="C31" s="39">
        <f t="shared" ca="1" si="1"/>
        <v>1.321211148654533</v>
      </c>
      <c r="D31" s="39">
        <f t="shared" ca="1" si="2"/>
        <v>0.42876496330447944</v>
      </c>
      <c r="E31" s="41">
        <f t="shared" ca="1" si="3"/>
        <v>76.139403448634539</v>
      </c>
    </row>
    <row r="32" spans="1:5">
      <c r="A32" s="21">
        <v>29</v>
      </c>
      <c r="B32" s="41">
        <f t="shared" ca="1" si="0"/>
        <v>2.2120753125302963</v>
      </c>
      <c r="C32" s="39">
        <f t="shared" ca="1" si="1"/>
        <v>1.8172657922541715</v>
      </c>
      <c r="D32" s="39">
        <f t="shared" ca="1" si="2"/>
        <v>1.1823074425489741</v>
      </c>
      <c r="E32" s="41">
        <f t="shared" ca="1" si="3"/>
        <v>77.563173164445473</v>
      </c>
    </row>
    <row r="33" spans="1:5">
      <c r="A33" s="21">
        <v>30</v>
      </c>
      <c r="B33" s="41">
        <f t="shared" ca="1" si="0"/>
        <v>2.593092049227991</v>
      </c>
      <c r="C33" s="39">
        <f t="shared" ca="1" si="1"/>
        <v>0.94654855329128296</v>
      </c>
      <c r="D33" s="39">
        <f t="shared" ca="1" si="2"/>
        <v>0.58739090495586499</v>
      </c>
      <c r="E33" s="41">
        <f t="shared" ca="1" si="3"/>
        <v>79.775248476975776</v>
      </c>
    </row>
    <row r="34" spans="1:5">
      <c r="A34" s="21">
        <v>31</v>
      </c>
      <c r="B34" s="41">
        <f t="shared" ca="1" si="0"/>
        <v>3.3335686496760157</v>
      </c>
      <c r="C34" s="39">
        <f t="shared" ca="1" si="1"/>
        <v>0.7895190578926391</v>
      </c>
      <c r="D34" s="39">
        <f t="shared" ca="1" si="2"/>
        <v>0.68156206889463267</v>
      </c>
      <c r="E34" s="41">
        <f t="shared" ca="1" si="3"/>
        <v>82.368340526203767</v>
      </c>
    </row>
    <row r="35" spans="1:5">
      <c r="A35" s="21">
        <v>32</v>
      </c>
      <c r="B35" s="41">
        <f t="shared" ca="1" si="0"/>
        <v>4.2658675694183295</v>
      </c>
      <c r="C35" s="39">
        <f t="shared" ca="1" si="1"/>
        <v>0.50244655430770191</v>
      </c>
      <c r="D35" s="39">
        <f t="shared" ca="1" si="2"/>
        <v>-2.9860463013412688</v>
      </c>
      <c r="E35" s="41">
        <f t="shared" ca="1" si="3"/>
        <v>85.701909175879777</v>
      </c>
    </row>
    <row r="36" spans="1:5">
      <c r="A36" s="21">
        <v>33</v>
      </c>
      <c r="B36" s="41">
        <f t="shared" ca="1" si="0"/>
        <v>1.0796675541263383</v>
      </c>
      <c r="C36" s="39">
        <f t="shared" ca="1" si="1"/>
        <v>1.090817756195597</v>
      </c>
      <c r="D36" s="39">
        <f t="shared" ca="1" si="2"/>
        <v>-1.8961093497988408</v>
      </c>
      <c r="E36" s="41">
        <f t="shared" ca="1" si="3"/>
        <v>89.96777674529811</v>
      </c>
    </row>
    <row r="37" spans="1:5">
      <c r="A37" s="21">
        <v>34</v>
      </c>
      <c r="B37" s="41">
        <f t="shared" ca="1" si="0"/>
        <v>1.1920067430317829</v>
      </c>
      <c r="C37" s="39">
        <f t="shared" ca="1" si="1"/>
        <v>0.99850507768071428</v>
      </c>
      <c r="D37" s="39">
        <f t="shared" ca="1" si="2"/>
        <v>3.0724700921565038</v>
      </c>
      <c r="E37" s="41">
        <f t="shared" ca="1" si="3"/>
        <v>91.047444299424455</v>
      </c>
    </row>
    <row r="38" spans="1:5">
      <c r="A38" s="21">
        <v>35</v>
      </c>
      <c r="B38" s="41">
        <f t="shared" ca="1" si="0"/>
        <v>2.7213335921097297</v>
      </c>
      <c r="C38" s="39">
        <f t="shared" ca="1" si="1"/>
        <v>1.5339557019163512</v>
      </c>
      <c r="D38" s="39">
        <f t="shared" ca="1" si="2"/>
        <v>1.8554016768328498</v>
      </c>
      <c r="E38" s="41">
        <f t="shared" ca="1" si="3"/>
        <v>92.239451042456238</v>
      </c>
    </row>
    <row r="39" spans="1:5">
      <c r="A39" s="21">
        <v>36</v>
      </c>
      <c r="B39" s="41">
        <f t="shared" ca="1" si="0"/>
        <v>4.1516654267001893</v>
      </c>
      <c r="C39" s="39">
        <f t="shared" ca="1" si="1"/>
        <v>1.039558079200396</v>
      </c>
      <c r="D39" s="39">
        <f t="shared" ca="1" si="2"/>
        <v>1.2487670941192777</v>
      </c>
      <c r="E39" s="41">
        <f t="shared" ca="1" si="3"/>
        <v>94.960784634565968</v>
      </c>
    </row>
    <row r="40" spans="1:5">
      <c r="A40" s="21">
        <v>37</v>
      </c>
      <c r="B40" s="41">
        <f t="shared" ca="1" si="0"/>
        <v>2.4571121160286653</v>
      </c>
      <c r="C40" s="39">
        <f t="shared" ca="1" si="1"/>
        <v>1.4164822706369868</v>
      </c>
      <c r="D40" s="39">
        <f t="shared" ca="1" si="2"/>
        <v>-0.78340304114706383</v>
      </c>
      <c r="E40" s="41">
        <f t="shared" ca="1" si="3"/>
        <v>99.112450061266159</v>
      </c>
    </row>
    <row r="41" spans="1:5">
      <c r="A41" s="21">
        <v>38</v>
      </c>
      <c r="B41" s="41">
        <f t="shared" ca="1" si="0"/>
        <v>3.15632201431995</v>
      </c>
      <c r="C41" s="39">
        <f t="shared" ca="1" si="1"/>
        <v>2.1577757448065871</v>
      </c>
      <c r="D41" s="39">
        <f t="shared" ca="1" si="2"/>
        <v>-0.694082648323048</v>
      </c>
      <c r="E41" s="41">
        <f t="shared" ca="1" si="3"/>
        <v>101.56956217729483</v>
      </c>
    </row>
    <row r="42" spans="1:5">
      <c r="A42" s="21">
        <v>39</v>
      </c>
      <c r="B42" s="41">
        <f t="shared" ca="1" si="0"/>
        <v>4.1967511536721389</v>
      </c>
      <c r="C42" s="39">
        <f t="shared" ca="1" si="1"/>
        <v>0.54381805983141773</v>
      </c>
      <c r="D42" s="39">
        <f t="shared" ca="1" si="2"/>
        <v>-0.92438900665890467</v>
      </c>
      <c r="E42" s="41">
        <f t="shared" ca="1" si="3"/>
        <v>104.72588419161478</v>
      </c>
    </row>
    <row r="43" spans="1:5">
      <c r="A43" s="21">
        <v>40</v>
      </c>
      <c r="B43" s="41">
        <f t="shared" ca="1" si="0"/>
        <v>4.2113031223018913</v>
      </c>
      <c r="C43" s="39">
        <f t="shared" ca="1" si="1"/>
        <v>0.95346328021414761</v>
      </c>
      <c r="D43" s="39">
        <f t="shared" ca="1" si="2"/>
        <v>0.48864454711547411</v>
      </c>
      <c r="E43" s="41">
        <f t="shared" ca="1" si="3"/>
        <v>108.92263534528692</v>
      </c>
    </row>
    <row r="44" spans="1:5">
      <c r="A44" s="21">
        <v>41</v>
      </c>
      <c r="B44" s="41">
        <f t="shared" ca="1" si="0"/>
        <v>2.1127607666748922</v>
      </c>
      <c r="C44" s="39">
        <f t="shared" ca="1" si="1"/>
        <v>0.96163488578762513</v>
      </c>
      <c r="D44" s="39">
        <f t="shared" ca="1" si="2"/>
        <v>2.0776584371575817</v>
      </c>
      <c r="E44" s="41">
        <f t="shared" ca="1" si="3"/>
        <v>113.13393846758881</v>
      </c>
    </row>
    <row r="45" spans="1:5">
      <c r="A45" s="21">
        <v>42</v>
      </c>
      <c r="B45" s="41">
        <f t="shared" ca="1" si="0"/>
        <v>3.1613110075947981</v>
      </c>
      <c r="C45" s="39">
        <f t="shared" ca="1" si="1"/>
        <v>0.38365607222825276</v>
      </c>
      <c r="D45" s="39">
        <f t="shared" ca="1" si="2"/>
        <v>2.4986032200630168</v>
      </c>
      <c r="E45" s="41">
        <f t="shared" ca="1" si="3"/>
        <v>115.2466992342637</v>
      </c>
    </row>
    <row r="46" spans="1:5">
      <c r="A46" s="21">
        <v>43</v>
      </c>
      <c r="B46" s="41">
        <f t="shared" ca="1" si="0"/>
        <v>3.2717688737804345</v>
      </c>
      <c r="C46" s="39">
        <f t="shared" ca="1" si="1"/>
        <v>0.67199710449435812</v>
      </c>
      <c r="D46" s="39">
        <f t="shared" ca="1" si="2"/>
        <v>2.7759699589084867</v>
      </c>
      <c r="E46" s="41">
        <f t="shared" ca="1" si="3"/>
        <v>118.40801024185851</v>
      </c>
    </row>
    <row r="47" spans="1:5">
      <c r="A47" s="21">
        <v>44</v>
      </c>
      <c r="B47" s="41">
        <f t="shared" ca="1" si="0"/>
        <v>2.3455120775760747</v>
      </c>
      <c r="C47" s="39">
        <f t="shared" ca="1" si="1"/>
        <v>0.70938355367978678</v>
      </c>
      <c r="D47" s="39">
        <f t="shared" ca="1" si="2"/>
        <v>-1.9766579908698823</v>
      </c>
      <c r="E47" s="41">
        <f t="shared" ca="1" si="3"/>
        <v>121.67977911563894</v>
      </c>
    </row>
    <row r="48" spans="1:5">
      <c r="A48" s="21">
        <v>45</v>
      </c>
      <c r="B48" s="41">
        <f t="shared" ca="1" si="0"/>
        <v>2.3169428593446284</v>
      </c>
      <c r="C48" s="39">
        <f t="shared" ca="1" si="1"/>
        <v>0.74281904165630408</v>
      </c>
      <c r="D48" s="39">
        <f t="shared" ca="1" si="2"/>
        <v>-2.6811793485277269</v>
      </c>
      <c r="E48" s="41">
        <f t="shared" ca="1" si="3"/>
        <v>124.02529119321501</v>
      </c>
    </row>
    <row r="49" spans="1:6">
      <c r="A49" s="21">
        <v>46</v>
      </c>
      <c r="B49" s="41">
        <f t="shared" ca="1" si="0"/>
        <v>1.5395113031791787</v>
      </c>
      <c r="C49" s="39">
        <f t="shared" ca="1" si="1"/>
        <v>0.55402217925239883</v>
      </c>
      <c r="D49" s="39">
        <f t="shared" ca="1" si="2"/>
        <v>-2.1310059807838102</v>
      </c>
      <c r="E49" s="41">
        <f t="shared" ca="1" si="3"/>
        <v>126.34223405255963</v>
      </c>
    </row>
    <row r="50" spans="1:6">
      <c r="A50" s="21">
        <v>47</v>
      </c>
      <c r="B50" s="41">
        <f t="shared" ca="1" si="0"/>
        <v>3.4450713208885917</v>
      </c>
      <c r="C50" s="39">
        <f t="shared" ca="1" si="1"/>
        <v>0.711222062434539</v>
      </c>
      <c r="D50" s="39">
        <f t="shared" ca="1" si="2"/>
        <v>1.5561249600700853</v>
      </c>
      <c r="E50" s="41">
        <f t="shared" ca="1" si="3"/>
        <v>127.88174535573881</v>
      </c>
    </row>
    <row r="51" spans="1:6">
      <c r="A51" s="21">
        <v>48</v>
      </c>
      <c r="B51" s="41">
        <f t="shared" ca="1" si="0"/>
        <v>1.1172879895853915</v>
      </c>
      <c r="C51" s="39">
        <f t="shared" ca="1" si="1"/>
        <v>1.8858425320859213</v>
      </c>
      <c r="D51" s="39">
        <f t="shared" ca="1" si="2"/>
        <v>0.75899177937474605</v>
      </c>
      <c r="E51" s="41">
        <f t="shared" ca="1" si="3"/>
        <v>131.3268166766274</v>
      </c>
    </row>
    <row r="52" spans="1:6">
      <c r="A52" s="21">
        <v>49</v>
      </c>
      <c r="B52" s="41">
        <f t="shared" ca="1" si="0"/>
        <v>3.5497481790734025</v>
      </c>
      <c r="C52" s="39">
        <f t="shared" ca="1" si="1"/>
        <v>1.2637176045171818</v>
      </c>
      <c r="D52" s="39">
        <f t="shared" ca="1" si="2"/>
        <v>-1.1310425693780215</v>
      </c>
      <c r="E52" s="41">
        <f t="shared" ca="1" si="3"/>
        <v>132.44410466621278</v>
      </c>
    </row>
    <row r="53" spans="1:6">
      <c r="A53" s="21">
        <v>50</v>
      </c>
      <c r="B53" s="41">
        <f t="shared" ca="1" si="0"/>
        <v>3.393899242299117</v>
      </c>
      <c r="C53" s="39">
        <f t="shared" ca="1" si="1"/>
        <v>0.51516921103656199</v>
      </c>
      <c r="D53" s="39">
        <f t="shared" ca="1" si="2"/>
        <v>1.2827302254028696</v>
      </c>
      <c r="E53" s="41">
        <f t="shared" ca="1" si="3"/>
        <v>135.99385284528617</v>
      </c>
    </row>
    <row r="54" spans="1:6">
      <c r="E54" s="42">
        <f t="shared" ca="1" si="3"/>
        <v>139.38775208758528</v>
      </c>
    </row>
    <row r="57" spans="1:6">
      <c r="A57" s="21" t="s">
        <v>21</v>
      </c>
      <c r="B57" s="21" t="s">
        <v>41</v>
      </c>
      <c r="C57" s="21" t="s">
        <v>15</v>
      </c>
      <c r="D57" s="21" t="s">
        <v>13</v>
      </c>
      <c r="E57" s="21" t="s">
        <v>42</v>
      </c>
      <c r="F57" s="21" t="s">
        <v>44</v>
      </c>
    </row>
    <row r="58" spans="1:6">
      <c r="A58" s="21">
        <v>1</v>
      </c>
      <c r="B58" s="21">
        <v>4.8489775898254361</v>
      </c>
      <c r="C58" s="21">
        <v>1.6727487984376688</v>
      </c>
      <c r="D58" s="21">
        <v>0.71953983433453228</v>
      </c>
      <c r="E58" s="21">
        <v>0</v>
      </c>
      <c r="F58">
        <f>E108/200</f>
        <v>0.74125618226128798</v>
      </c>
    </row>
    <row r="59" spans="1:6">
      <c r="A59" s="21">
        <v>2</v>
      </c>
      <c r="B59" s="21">
        <v>2.2203787802469854</v>
      </c>
      <c r="C59" s="21">
        <v>1.4230394971646561</v>
      </c>
      <c r="D59" s="21">
        <v>-2.4706337012724755</v>
      </c>
      <c r="E59" s="21">
        <v>4.8489775898254361</v>
      </c>
    </row>
    <row r="60" spans="1:6">
      <c r="A60" s="21">
        <v>3</v>
      </c>
      <c r="B60" s="21">
        <v>3.0863558571740906</v>
      </c>
      <c r="C60" s="21">
        <v>1.0407777628181207</v>
      </c>
      <c r="D60" s="21">
        <v>2.5153429302533388</v>
      </c>
      <c r="E60" s="21">
        <v>7.0693563700724216</v>
      </c>
    </row>
    <row r="61" spans="1:6">
      <c r="A61" s="21">
        <v>4</v>
      </c>
      <c r="B61" s="21">
        <v>2.7389352504458735</v>
      </c>
      <c r="C61" s="21">
        <v>1.8935592285888554</v>
      </c>
      <c r="D61" s="21">
        <v>2.8429335416599413</v>
      </c>
      <c r="E61" s="21">
        <v>10.155712227246513</v>
      </c>
    </row>
    <row r="62" spans="1:6">
      <c r="A62" s="21">
        <v>5</v>
      </c>
      <c r="B62" s="21">
        <v>4.9545171303150592</v>
      </c>
      <c r="C62" s="21">
        <v>1.760306422670836</v>
      </c>
      <c r="D62" s="21">
        <v>-0.36345121996777552</v>
      </c>
      <c r="E62" s="21">
        <v>12.894647477692386</v>
      </c>
    </row>
    <row r="63" spans="1:6">
      <c r="A63" s="21">
        <v>6</v>
      </c>
      <c r="B63" s="21">
        <v>4.5014600047614355</v>
      </c>
      <c r="C63" s="21">
        <v>0.68567821236319171</v>
      </c>
      <c r="D63" s="21">
        <v>2.3160019984604121</v>
      </c>
      <c r="E63" s="21">
        <v>17.849164608007445</v>
      </c>
    </row>
    <row r="64" spans="1:6">
      <c r="A64" s="21">
        <v>7</v>
      </c>
      <c r="B64" s="21">
        <v>4.5748004886915679</v>
      </c>
      <c r="C64" s="21">
        <v>1.2801925938050058</v>
      </c>
      <c r="D64" s="21">
        <v>-1.062425627540827</v>
      </c>
      <c r="E64" s="21">
        <v>22.350624612768883</v>
      </c>
    </row>
    <row r="65" spans="1:5">
      <c r="A65" s="21">
        <v>8</v>
      </c>
      <c r="B65" s="21">
        <v>3.8512652718453904</v>
      </c>
      <c r="C65" s="21">
        <v>0.51250280702446926</v>
      </c>
      <c r="D65" s="21">
        <v>2.0079531803895181</v>
      </c>
      <c r="E65" s="21">
        <v>26.925425101460451</v>
      </c>
    </row>
    <row r="66" spans="1:5">
      <c r="A66" s="21">
        <v>9</v>
      </c>
      <c r="B66" s="21">
        <v>4.9580191619037794</v>
      </c>
      <c r="C66" s="21">
        <v>1.281331934371269</v>
      </c>
      <c r="D66" s="21">
        <v>-0.79737999584132657</v>
      </c>
      <c r="E66" s="21">
        <v>30.77669037330584</v>
      </c>
    </row>
    <row r="67" spans="1:5">
      <c r="A67" s="21">
        <v>10</v>
      </c>
      <c r="B67" s="21">
        <v>2.4794668837687528</v>
      </c>
      <c r="C67" s="21">
        <v>0.1378007475967368</v>
      </c>
      <c r="D67" s="21">
        <v>-0.10814320435119074</v>
      </c>
      <c r="E67" s="21">
        <v>35.734709535209618</v>
      </c>
    </row>
    <row r="68" spans="1:5">
      <c r="A68" s="21">
        <v>11</v>
      </c>
      <c r="B68" s="21">
        <v>1.1722905795177003</v>
      </c>
      <c r="C68" s="21">
        <v>1.9952568541028093</v>
      </c>
      <c r="D68" s="21">
        <v>1.9704216040443825</v>
      </c>
      <c r="E68" s="21">
        <v>38.214176418978369</v>
      </c>
    </row>
    <row r="69" spans="1:5">
      <c r="A69" s="21">
        <v>12</v>
      </c>
      <c r="B69" s="21">
        <v>2.4729485592486138</v>
      </c>
      <c r="C69" s="21">
        <v>0.90662371134266095</v>
      </c>
      <c r="D69" s="21">
        <v>1.2045253758649226</v>
      </c>
      <c r="E69" s="21">
        <v>39.386466998496068</v>
      </c>
    </row>
    <row r="70" spans="1:5">
      <c r="A70" s="21">
        <v>13</v>
      </c>
      <c r="B70" s="21">
        <v>1.915574203435658</v>
      </c>
      <c r="C70" s="21">
        <v>1.2750248004589115</v>
      </c>
      <c r="D70" s="21">
        <v>1.353364187135158</v>
      </c>
      <c r="E70" s="21">
        <v>41.859415557744683</v>
      </c>
    </row>
    <row r="71" spans="1:5">
      <c r="A71" s="21">
        <v>14</v>
      </c>
      <c r="B71" s="21">
        <v>1.5589309158873279</v>
      </c>
      <c r="C71" s="21">
        <v>0.8152142250939719</v>
      </c>
      <c r="D71" s="21">
        <v>-6.292407972578884E-2</v>
      </c>
      <c r="E71" s="21">
        <v>43.774989761180343</v>
      </c>
    </row>
    <row r="72" spans="1:5">
      <c r="A72" s="21">
        <v>15</v>
      </c>
      <c r="B72" s="21">
        <v>4.8925197041038473</v>
      </c>
      <c r="C72" s="21">
        <v>0.61118633147620494</v>
      </c>
      <c r="D72" s="21">
        <v>0.17939704838164205</v>
      </c>
      <c r="E72" s="21">
        <v>45.333920677067674</v>
      </c>
    </row>
    <row r="73" spans="1:5">
      <c r="A73" s="21">
        <v>16</v>
      </c>
      <c r="B73" s="21">
        <v>2.3250881243429715</v>
      </c>
      <c r="C73" s="21">
        <v>0.76027951443447139</v>
      </c>
      <c r="D73" s="21">
        <v>-2.0777626357640355</v>
      </c>
      <c r="E73" s="21">
        <v>50.226440381171521</v>
      </c>
    </row>
    <row r="74" spans="1:5">
      <c r="A74" s="21">
        <v>17</v>
      </c>
      <c r="B74" s="21">
        <v>1.2495644439430853</v>
      </c>
      <c r="C74" s="21">
        <v>1.5796676668353911</v>
      </c>
      <c r="D74" s="21">
        <v>0.73677090851040283</v>
      </c>
      <c r="E74" s="21">
        <v>52.55152850551449</v>
      </c>
    </row>
    <row r="75" spans="1:5">
      <c r="A75" s="21">
        <v>18</v>
      </c>
      <c r="B75" s="21">
        <v>4.9317269655404674</v>
      </c>
      <c r="C75" s="21">
        <v>1.6969707803568346</v>
      </c>
      <c r="D75" s="21">
        <v>0.21201205184243399</v>
      </c>
      <c r="E75" s="21">
        <v>53.801092949457576</v>
      </c>
    </row>
    <row r="76" spans="1:5">
      <c r="A76" s="21">
        <v>19</v>
      </c>
      <c r="B76" s="21">
        <v>3.5364850708127782</v>
      </c>
      <c r="C76" s="21">
        <v>0.62686450458143861</v>
      </c>
      <c r="D76" s="21">
        <v>-0.24641097035335013</v>
      </c>
      <c r="E76" s="21">
        <v>58.732819914998046</v>
      </c>
    </row>
    <row r="77" spans="1:5">
      <c r="A77" s="21">
        <v>20</v>
      </c>
      <c r="B77" s="21">
        <v>2.9225143479895768</v>
      </c>
      <c r="C77" s="21">
        <v>1.0970630037539777</v>
      </c>
      <c r="D77" s="21">
        <v>-0.10152294378963012</v>
      </c>
      <c r="E77" s="21">
        <v>62.269304985810827</v>
      </c>
    </row>
    <row r="78" spans="1:5">
      <c r="A78" s="21">
        <v>21</v>
      </c>
      <c r="B78" s="21">
        <v>3.57915040900743</v>
      </c>
      <c r="C78" s="21">
        <v>1.0048773435964427</v>
      </c>
      <c r="D78" s="21">
        <v>-1.9961553911746384</v>
      </c>
      <c r="E78" s="21">
        <v>65.19181933380041</v>
      </c>
    </row>
    <row r="79" spans="1:5">
      <c r="A79" s="21">
        <v>22</v>
      </c>
      <c r="B79" s="21">
        <v>1.2090469979015288</v>
      </c>
      <c r="C79" s="21">
        <v>1.0269648715576778</v>
      </c>
      <c r="D79" s="21">
        <v>1.2887785094644642</v>
      </c>
      <c r="E79" s="21">
        <v>68.770969742807836</v>
      </c>
    </row>
    <row r="80" spans="1:5">
      <c r="A80" s="21">
        <v>23</v>
      </c>
      <c r="B80" s="21">
        <v>1.0609077737774979</v>
      </c>
      <c r="C80" s="21">
        <v>1.4617730683088686</v>
      </c>
      <c r="D80" s="21">
        <v>-2.6447363597199658</v>
      </c>
      <c r="E80" s="21">
        <v>69.98001674070936</v>
      </c>
    </row>
    <row r="81" spans="1:5">
      <c r="A81" s="21">
        <v>24</v>
      </c>
      <c r="B81" s="21">
        <v>4.0668266303455916</v>
      </c>
      <c r="C81" s="21">
        <v>0.20274795613125748</v>
      </c>
      <c r="D81" s="21">
        <v>-0.49934339767322111</v>
      </c>
      <c r="E81" s="21">
        <v>71.040924514486861</v>
      </c>
    </row>
    <row r="82" spans="1:5">
      <c r="A82" s="21">
        <v>25</v>
      </c>
      <c r="B82" s="21">
        <v>4.88631963510168</v>
      </c>
      <c r="C82" s="21">
        <v>0.29987806947394535</v>
      </c>
      <c r="D82" s="21">
        <v>-0.45289070869445203</v>
      </c>
      <c r="E82" s="21">
        <v>75.107751144832449</v>
      </c>
    </row>
    <row r="83" spans="1:5">
      <c r="A83" s="21">
        <v>26</v>
      </c>
      <c r="B83" s="21">
        <v>2.4713240582426668</v>
      </c>
      <c r="C83" s="21">
        <v>1.074854337381294</v>
      </c>
      <c r="D83" s="21">
        <v>1.0935573487276304</v>
      </c>
      <c r="E83" s="21">
        <v>79.994070779934134</v>
      </c>
    </row>
    <row r="84" spans="1:5">
      <c r="A84" s="21">
        <v>27</v>
      </c>
      <c r="B84" s="21">
        <v>4.2291438952933191</v>
      </c>
      <c r="C84" s="21">
        <v>1.5901753662461999</v>
      </c>
      <c r="D84" s="21">
        <v>7.0036158409370053E-2</v>
      </c>
      <c r="E84" s="21">
        <v>82.465394838176806</v>
      </c>
    </row>
    <row r="85" spans="1:5">
      <c r="A85" s="21">
        <v>28</v>
      </c>
      <c r="B85" s="21">
        <v>3.437479743108379</v>
      </c>
      <c r="C85" s="21">
        <v>0.89178530365020681</v>
      </c>
      <c r="D85" s="21">
        <v>0.98754360575146105</v>
      </c>
      <c r="E85" s="21">
        <v>86.694538733470125</v>
      </c>
    </row>
    <row r="86" spans="1:5">
      <c r="A86" s="21">
        <v>29</v>
      </c>
      <c r="B86" s="21">
        <v>4.4486933180033903</v>
      </c>
      <c r="C86" s="21">
        <v>1.3277019078954639</v>
      </c>
      <c r="D86" s="21">
        <v>-0.14052669323538014</v>
      </c>
      <c r="E86" s="21">
        <v>90.132018476578509</v>
      </c>
    </row>
    <row r="87" spans="1:5">
      <c r="A87" s="21">
        <v>30</v>
      </c>
      <c r="B87" s="21">
        <v>2.4438675965990515</v>
      </c>
      <c r="C87" s="21">
        <v>0.9567275902539436</v>
      </c>
      <c r="D87" s="21">
        <v>-2.0416013077430621</v>
      </c>
      <c r="E87" s="21">
        <v>94.580711794581902</v>
      </c>
    </row>
    <row r="88" spans="1:5">
      <c r="A88" s="21">
        <v>31</v>
      </c>
      <c r="B88" s="21">
        <v>1.1348388650187773</v>
      </c>
      <c r="C88" s="21">
        <v>1.7502581348106216</v>
      </c>
      <c r="D88" s="21">
        <v>1.9246865243990152</v>
      </c>
      <c r="E88" s="21">
        <v>97.02457939118095</v>
      </c>
    </row>
    <row r="89" spans="1:5">
      <c r="A89" s="21">
        <v>32</v>
      </c>
      <c r="B89" s="21">
        <v>4.3435377565389839</v>
      </c>
      <c r="C89" s="21">
        <v>0.72334722459691381</v>
      </c>
      <c r="D89" s="21">
        <v>-0.21708327879847067</v>
      </c>
      <c r="E89" s="21">
        <v>98.159418256199729</v>
      </c>
    </row>
    <row r="90" spans="1:5">
      <c r="A90" s="21">
        <v>33</v>
      </c>
      <c r="B90" s="21">
        <v>1.0972198739557677</v>
      </c>
      <c r="C90" s="21">
        <v>0.48055862607570443</v>
      </c>
      <c r="D90" s="21">
        <v>1.9197363243009669</v>
      </c>
      <c r="E90" s="21">
        <v>102.50295601273871</v>
      </c>
    </row>
    <row r="91" spans="1:5">
      <c r="A91" s="21">
        <v>34</v>
      </c>
      <c r="B91" s="21">
        <v>1.5455880049952717</v>
      </c>
      <c r="C91" s="21">
        <v>0.99802735166972245</v>
      </c>
      <c r="D91" s="21">
        <v>-0.76038212036189678</v>
      </c>
      <c r="E91" s="21">
        <v>103.60017588669447</v>
      </c>
    </row>
    <row r="92" spans="1:5">
      <c r="A92" s="21">
        <v>35</v>
      </c>
      <c r="B92" s="21">
        <v>1.125472051456931</v>
      </c>
      <c r="C92" s="21">
        <v>0.84734351528148977</v>
      </c>
      <c r="D92" s="21">
        <v>-0.46983589937628611</v>
      </c>
      <c r="E92" s="21">
        <v>105.14576389168974</v>
      </c>
    </row>
    <row r="93" spans="1:5">
      <c r="A93" s="21">
        <v>36</v>
      </c>
      <c r="B93" s="21">
        <v>1.8458812151777599</v>
      </c>
      <c r="C93" s="21">
        <v>0.63243280375056421</v>
      </c>
      <c r="D93" s="21">
        <v>1.0896570453781225</v>
      </c>
      <c r="E93" s="21">
        <v>106.27123594314666</v>
      </c>
    </row>
    <row r="94" spans="1:5">
      <c r="A94" s="21">
        <v>37</v>
      </c>
      <c r="B94" s="21">
        <v>4.6657538580123878</v>
      </c>
      <c r="C94" s="21">
        <v>0.59401474215171313</v>
      </c>
      <c r="D94" s="21">
        <v>-0.46966678685475838</v>
      </c>
      <c r="E94" s="21">
        <v>108.11711715832442</v>
      </c>
    </row>
    <row r="95" spans="1:5">
      <c r="A95" s="21">
        <v>38</v>
      </c>
      <c r="B95" s="21">
        <v>3.3524767379996776</v>
      </c>
      <c r="C95" s="21">
        <v>1.0807967372011553</v>
      </c>
      <c r="D95" s="21">
        <v>4.7911002309459327E-2</v>
      </c>
      <c r="E95" s="21">
        <v>112.78287101633681</v>
      </c>
    </row>
    <row r="96" spans="1:5">
      <c r="A96" s="21">
        <v>39</v>
      </c>
      <c r="B96" s="21">
        <v>1.8760671647931257</v>
      </c>
      <c r="C96" s="21">
        <v>1.7036394205613101</v>
      </c>
      <c r="D96" s="21">
        <v>1.792186457096979</v>
      </c>
      <c r="E96" s="21">
        <v>116.13534775433649</v>
      </c>
    </row>
    <row r="97" spans="1:5">
      <c r="A97" s="21">
        <v>40</v>
      </c>
      <c r="B97" s="21">
        <v>3.704798635992991</v>
      </c>
      <c r="C97" s="21">
        <v>1.9545625365138273</v>
      </c>
      <c r="D97" s="21">
        <v>-2.2349351265064725</v>
      </c>
      <c r="E97" s="21">
        <v>118.01141491912962</v>
      </c>
    </row>
    <row r="98" spans="1:5">
      <c r="A98" s="21">
        <v>41</v>
      </c>
      <c r="B98" s="21">
        <v>4.754604026461883</v>
      </c>
      <c r="C98" s="21">
        <v>1.0904001133112939</v>
      </c>
      <c r="D98" s="21">
        <v>-1.8854799325609752</v>
      </c>
      <c r="E98" s="21">
        <v>121.71621355512261</v>
      </c>
    </row>
    <row r="99" spans="1:5">
      <c r="A99" s="21">
        <v>42</v>
      </c>
      <c r="B99" s="21">
        <v>3.8363364835946396</v>
      </c>
      <c r="C99" s="21">
        <v>0.46004826045070896</v>
      </c>
      <c r="D99" s="21">
        <v>-0.78841686218848217</v>
      </c>
      <c r="E99" s="21">
        <v>126.47081758158448</v>
      </c>
    </row>
    <row r="100" spans="1:5">
      <c r="A100" s="21">
        <v>43</v>
      </c>
      <c r="B100" s="21">
        <v>1.1670144425838833</v>
      </c>
      <c r="C100" s="21">
        <v>1.5741004119813582</v>
      </c>
      <c r="D100" s="21">
        <v>2.7454750447005134</v>
      </c>
      <c r="E100" s="21">
        <v>130.30715406517913</v>
      </c>
    </row>
    <row r="101" spans="1:5">
      <c r="A101" s="21">
        <v>44</v>
      </c>
      <c r="B101" s="21">
        <v>1.7030810493474324</v>
      </c>
      <c r="C101" s="21">
        <v>0.50597411657472857</v>
      </c>
      <c r="D101" s="21">
        <v>-1.2561796778126428</v>
      </c>
      <c r="E101" s="21">
        <v>131.47416850776301</v>
      </c>
    </row>
    <row r="102" spans="1:5">
      <c r="A102" s="21">
        <v>45</v>
      </c>
      <c r="B102" s="21">
        <v>1.6797863781641253</v>
      </c>
      <c r="C102" s="21">
        <v>1.152388880490955</v>
      </c>
      <c r="D102" s="21">
        <v>0.83553270460522899</v>
      </c>
      <c r="E102" s="21">
        <v>133.17724955711046</v>
      </c>
    </row>
    <row r="103" spans="1:5">
      <c r="A103" s="21">
        <v>46</v>
      </c>
      <c r="B103" s="21">
        <v>3.2507123104802753</v>
      </c>
      <c r="C103" s="21">
        <v>8.93705001703963E-2</v>
      </c>
      <c r="D103" s="21">
        <v>-2.8381730464534312</v>
      </c>
      <c r="E103" s="21">
        <v>134.85703593527458</v>
      </c>
    </row>
    <row r="104" spans="1:5">
      <c r="A104" s="21">
        <v>47</v>
      </c>
      <c r="B104" s="21">
        <v>3.0227316961790267</v>
      </c>
      <c r="C104" s="21">
        <v>1.2530803615525805</v>
      </c>
      <c r="D104" s="21">
        <v>-0.18477024474539006</v>
      </c>
      <c r="E104" s="21">
        <v>138.10774824575486</v>
      </c>
    </row>
    <row r="105" spans="1:5">
      <c r="A105" s="21">
        <v>48</v>
      </c>
      <c r="B105" s="21">
        <v>2.292090912616962</v>
      </c>
      <c r="C105" s="21">
        <v>3.4500129566488016</v>
      </c>
      <c r="D105" s="21">
        <v>-0.16533153325107408</v>
      </c>
      <c r="E105" s="21">
        <v>141.13047994193388</v>
      </c>
    </row>
    <row r="106" spans="1:5">
      <c r="A106" s="21">
        <v>49</v>
      </c>
      <c r="B106" s="21">
        <v>2.5190175593588275</v>
      </c>
      <c r="C106" s="21">
        <v>1.5040792770774747</v>
      </c>
      <c r="D106" s="21">
        <v>-2.0481399033834169E-2</v>
      </c>
      <c r="E106" s="21">
        <v>143.42257085455086</v>
      </c>
    </row>
    <row r="107" spans="1:5">
      <c r="A107" s="21">
        <v>50</v>
      </c>
      <c r="B107" s="21">
        <v>2.3096480383479108</v>
      </c>
      <c r="C107" s="21">
        <v>0.91785253587230009</v>
      </c>
      <c r="D107" s="21">
        <v>2.1271631860896241</v>
      </c>
      <c r="E107" s="21">
        <v>145.94158841390967</v>
      </c>
    </row>
    <row r="108" spans="1:5">
      <c r="B108" s="21"/>
      <c r="C108" s="21"/>
      <c r="D108" s="21"/>
      <c r="E108" s="21">
        <v>148.25123645225759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2022-12-02T14:40:39Z</dcterms:modified>
</cp:coreProperties>
</file>