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Workbook________" defaultThemeVersion="153222"/>
  <mc:AlternateContent xmlns:mc="http://schemas.openxmlformats.org/markup-compatibility/2006">
    <mc:Choice Requires="x15">
      <x15ac:absPath xmlns:x15ac="http://schemas.microsoft.com/office/spreadsheetml/2010/11/ac" url="D:\Учеба\Studies\3 КУРС\5 семестр\ДЗшки\МПиСЗИ\"/>
    </mc:Choice>
  </mc:AlternateContent>
  <bookViews>
    <workbookView xWindow="0" yWindow="0" windowWidth="15360" windowHeight="7752" tabRatio="500"/>
  </bookViews>
  <sheets>
    <sheet name="Лист1" sheetId="1" r:id="rId1"/>
    <sheet name="Sheet2" sheetId="2" r:id="rId2"/>
  </sheets>
  <calcPr calcId="162913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S139" i="1" l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X8" i="1"/>
  <c r="Y8" i="1" s="1"/>
  <c r="X9" i="1"/>
  <c r="Y9" i="1" s="1"/>
  <c r="X10" i="1"/>
  <c r="Y10" i="1" s="1"/>
  <c r="X11" i="1"/>
  <c r="Y11" i="1" s="1"/>
  <c r="X12" i="1"/>
  <c r="Y12" i="1" s="1"/>
  <c r="X13" i="1"/>
  <c r="Y13" i="1" s="1"/>
  <c r="X14" i="1"/>
  <c r="Y14" i="1" s="1"/>
  <c r="X15" i="1"/>
  <c r="Y15" i="1" s="1"/>
  <c r="X16" i="1"/>
  <c r="Y16" i="1" s="1"/>
  <c r="X17" i="1"/>
  <c r="Y17" i="1" s="1"/>
  <c r="X18" i="1"/>
  <c r="Y18" i="1" s="1"/>
  <c r="X19" i="1"/>
  <c r="Y19" i="1" s="1"/>
  <c r="X20" i="1"/>
  <c r="Y20" i="1" s="1"/>
  <c r="X21" i="1"/>
  <c r="Y21" i="1" s="1"/>
  <c r="X22" i="1"/>
  <c r="Y22" i="1" s="1"/>
  <c r="X23" i="1"/>
  <c r="Y23" i="1" s="1"/>
  <c r="X24" i="1"/>
  <c r="Y24" i="1" s="1"/>
  <c r="X25" i="1"/>
  <c r="Y25" i="1" s="1"/>
  <c r="X26" i="1"/>
  <c r="Y26" i="1" s="1"/>
  <c r="X27" i="1"/>
  <c r="Y27" i="1" s="1"/>
  <c r="X28" i="1"/>
  <c r="Y28" i="1" s="1"/>
  <c r="X29" i="1"/>
  <c r="Y29" i="1" s="1"/>
  <c r="X30" i="1"/>
  <c r="Y30" i="1" s="1"/>
  <c r="X31" i="1"/>
  <c r="Y31" i="1" s="1"/>
  <c r="X32" i="1"/>
  <c r="Y32" i="1" s="1"/>
  <c r="X33" i="1"/>
  <c r="Y33" i="1" s="1"/>
  <c r="X34" i="1"/>
  <c r="Y34" i="1" s="1"/>
  <c r="X35" i="1"/>
  <c r="Y35" i="1" s="1"/>
  <c r="X36" i="1"/>
  <c r="Y36" i="1" s="1"/>
  <c r="X37" i="1"/>
  <c r="Y37" i="1" s="1"/>
  <c r="X38" i="1"/>
  <c r="Y38" i="1" s="1"/>
  <c r="X39" i="1"/>
  <c r="Y39" i="1" s="1"/>
  <c r="X40" i="1"/>
  <c r="Y40" i="1" s="1"/>
  <c r="X41" i="1"/>
  <c r="Y41" i="1" s="1"/>
  <c r="X42" i="1"/>
  <c r="Y42" i="1" s="1"/>
  <c r="X43" i="1"/>
  <c r="Y43" i="1" s="1"/>
  <c r="X44" i="1"/>
  <c r="Y44" i="1" s="1"/>
  <c r="X45" i="1"/>
  <c r="Y45" i="1" s="1"/>
  <c r="X46" i="1"/>
  <c r="Y46" i="1" s="1"/>
  <c r="X47" i="1"/>
  <c r="Y47" i="1" s="1"/>
  <c r="X48" i="1"/>
  <c r="Y48" i="1" s="1"/>
  <c r="X49" i="1"/>
  <c r="Y49" i="1" s="1"/>
  <c r="X50" i="1"/>
  <c r="Y50" i="1" s="1"/>
  <c r="X51" i="1"/>
  <c r="Y51" i="1" s="1"/>
  <c r="X52" i="1"/>
  <c r="Y52" i="1" s="1"/>
  <c r="X53" i="1"/>
  <c r="Y53" i="1" s="1"/>
  <c r="X54" i="1"/>
  <c r="Y54" i="1" s="1"/>
  <c r="X55" i="1"/>
  <c r="Y55" i="1" s="1"/>
  <c r="X56" i="1"/>
  <c r="Y56" i="1" s="1"/>
  <c r="X57" i="1"/>
  <c r="Y57" i="1" s="1"/>
  <c r="X7" i="1"/>
  <c r="Y7" i="1" s="1"/>
  <c r="V8" i="1"/>
  <c r="W8" i="1" s="1"/>
  <c r="V9" i="1"/>
  <c r="W9" i="1" s="1"/>
  <c r="V10" i="1"/>
  <c r="W10" i="1" s="1"/>
  <c r="V11" i="1"/>
  <c r="W11" i="1" s="1"/>
  <c r="V12" i="1"/>
  <c r="W12" i="1" s="1"/>
  <c r="V13" i="1"/>
  <c r="W13" i="1" s="1"/>
  <c r="V14" i="1"/>
  <c r="W14" i="1" s="1"/>
  <c r="V15" i="1"/>
  <c r="W15" i="1" s="1"/>
  <c r="V16" i="1"/>
  <c r="W16" i="1" s="1"/>
  <c r="V17" i="1"/>
  <c r="W17" i="1" s="1"/>
  <c r="V18" i="1"/>
  <c r="W18" i="1" s="1"/>
  <c r="V19" i="1"/>
  <c r="W19" i="1" s="1"/>
  <c r="V20" i="1"/>
  <c r="W20" i="1" s="1"/>
  <c r="V21" i="1"/>
  <c r="W21" i="1" s="1"/>
  <c r="V22" i="1"/>
  <c r="W22" i="1" s="1"/>
  <c r="V23" i="1"/>
  <c r="W23" i="1" s="1"/>
  <c r="V24" i="1"/>
  <c r="W24" i="1" s="1"/>
  <c r="V25" i="1"/>
  <c r="W25" i="1" s="1"/>
  <c r="V26" i="1"/>
  <c r="W26" i="1" s="1"/>
  <c r="V27" i="1"/>
  <c r="W27" i="1" s="1"/>
  <c r="V28" i="1"/>
  <c r="W28" i="1" s="1"/>
  <c r="V29" i="1"/>
  <c r="W29" i="1" s="1"/>
  <c r="V30" i="1"/>
  <c r="W30" i="1" s="1"/>
  <c r="V31" i="1"/>
  <c r="W31" i="1" s="1"/>
  <c r="V32" i="1"/>
  <c r="W32" i="1" s="1"/>
  <c r="V33" i="1"/>
  <c r="W33" i="1" s="1"/>
  <c r="V34" i="1"/>
  <c r="W34" i="1" s="1"/>
  <c r="V35" i="1"/>
  <c r="W35" i="1" s="1"/>
  <c r="V36" i="1"/>
  <c r="W36" i="1" s="1"/>
  <c r="V37" i="1"/>
  <c r="W37" i="1" s="1"/>
  <c r="V38" i="1"/>
  <c r="W38" i="1" s="1"/>
  <c r="V39" i="1"/>
  <c r="W39" i="1" s="1"/>
  <c r="V40" i="1"/>
  <c r="W40" i="1" s="1"/>
  <c r="V41" i="1"/>
  <c r="W41" i="1" s="1"/>
  <c r="V42" i="1"/>
  <c r="W42" i="1" s="1"/>
  <c r="V43" i="1"/>
  <c r="W43" i="1" s="1"/>
  <c r="V44" i="1"/>
  <c r="W44" i="1" s="1"/>
  <c r="V45" i="1"/>
  <c r="W45" i="1" s="1"/>
  <c r="V46" i="1"/>
  <c r="W46" i="1" s="1"/>
  <c r="V47" i="1"/>
  <c r="W47" i="1" s="1"/>
  <c r="V48" i="1"/>
  <c r="W48" i="1" s="1"/>
  <c r="V49" i="1"/>
  <c r="W49" i="1" s="1"/>
  <c r="V50" i="1"/>
  <c r="W50" i="1" s="1"/>
  <c r="V51" i="1"/>
  <c r="W51" i="1" s="1"/>
  <c r="V52" i="1"/>
  <c r="W52" i="1" s="1"/>
  <c r="V53" i="1"/>
  <c r="W53" i="1" s="1"/>
  <c r="V54" i="1"/>
  <c r="W54" i="1" s="1"/>
  <c r="V55" i="1"/>
  <c r="W55" i="1" s="1"/>
  <c r="V56" i="1"/>
  <c r="W56" i="1" s="1"/>
  <c r="V57" i="1"/>
  <c r="W57" i="1" s="1"/>
  <c r="V7" i="1"/>
  <c r="W7" i="1" s="1"/>
  <c r="Z8" i="1"/>
  <c r="AA8" i="1" s="1"/>
  <c r="Z9" i="1"/>
  <c r="AA9" i="1" s="1"/>
  <c r="Z10" i="1"/>
  <c r="AA10" i="1" s="1"/>
  <c r="Z11" i="1"/>
  <c r="AA11" i="1" s="1"/>
  <c r="Z12" i="1"/>
  <c r="AA12" i="1" s="1"/>
  <c r="Z13" i="1"/>
  <c r="AA13" i="1" s="1"/>
  <c r="Z14" i="1"/>
  <c r="AA14" i="1" s="1"/>
  <c r="Z15" i="1"/>
  <c r="AA15" i="1" s="1"/>
  <c r="Z16" i="1"/>
  <c r="AA16" i="1" s="1"/>
  <c r="Z17" i="1"/>
  <c r="AA17" i="1" s="1"/>
  <c r="Z18" i="1"/>
  <c r="AA18" i="1" s="1"/>
  <c r="Z19" i="1"/>
  <c r="AA19" i="1" s="1"/>
  <c r="Z20" i="1"/>
  <c r="AA20" i="1" s="1"/>
  <c r="Z21" i="1"/>
  <c r="AA21" i="1" s="1"/>
  <c r="Z22" i="1"/>
  <c r="AA22" i="1" s="1"/>
  <c r="Z23" i="1"/>
  <c r="AA23" i="1" s="1"/>
  <c r="Z24" i="1"/>
  <c r="AA24" i="1" s="1"/>
  <c r="Z25" i="1"/>
  <c r="AA25" i="1" s="1"/>
  <c r="Z26" i="1"/>
  <c r="AA26" i="1" s="1"/>
  <c r="Z27" i="1"/>
  <c r="AA27" i="1" s="1"/>
  <c r="Z28" i="1"/>
  <c r="AA28" i="1" s="1"/>
  <c r="Z29" i="1"/>
  <c r="AA29" i="1" s="1"/>
  <c r="Z30" i="1"/>
  <c r="AA30" i="1" s="1"/>
  <c r="Z31" i="1"/>
  <c r="AA31" i="1" s="1"/>
  <c r="Z32" i="1"/>
  <c r="AA32" i="1" s="1"/>
  <c r="Z33" i="1"/>
  <c r="AA33" i="1" s="1"/>
  <c r="Z34" i="1"/>
  <c r="AA34" i="1" s="1"/>
  <c r="Z35" i="1"/>
  <c r="AA35" i="1" s="1"/>
  <c r="Z36" i="1"/>
  <c r="AA36" i="1" s="1"/>
  <c r="Z37" i="1"/>
  <c r="AA37" i="1" s="1"/>
  <c r="Z38" i="1"/>
  <c r="AA38" i="1" s="1"/>
  <c r="Z39" i="1"/>
  <c r="AA39" i="1" s="1"/>
  <c r="Z40" i="1"/>
  <c r="AA40" i="1" s="1"/>
  <c r="Z41" i="1"/>
  <c r="AA41" i="1" s="1"/>
  <c r="Z42" i="1"/>
  <c r="AA42" i="1" s="1"/>
  <c r="Z43" i="1"/>
  <c r="AA43" i="1" s="1"/>
  <c r="Z44" i="1"/>
  <c r="AA44" i="1" s="1"/>
  <c r="Z45" i="1"/>
  <c r="AA45" i="1" s="1"/>
  <c r="Z46" i="1"/>
  <c r="AA46" i="1" s="1"/>
  <c r="Z47" i="1"/>
  <c r="AA47" i="1" s="1"/>
  <c r="Z48" i="1"/>
  <c r="AA48" i="1" s="1"/>
  <c r="Z49" i="1"/>
  <c r="AA49" i="1" s="1"/>
  <c r="Z50" i="1"/>
  <c r="AA50" i="1" s="1"/>
  <c r="Z51" i="1"/>
  <c r="AA51" i="1" s="1"/>
  <c r="Z52" i="1"/>
  <c r="AA52" i="1" s="1"/>
  <c r="Z53" i="1"/>
  <c r="AA53" i="1" s="1"/>
  <c r="Z54" i="1"/>
  <c r="AA54" i="1" s="1"/>
  <c r="Z55" i="1"/>
  <c r="AA55" i="1" s="1"/>
  <c r="Z56" i="1"/>
  <c r="AA56" i="1" s="1"/>
  <c r="Z57" i="1"/>
  <c r="AA57" i="1" s="1"/>
  <c r="Z7" i="1"/>
  <c r="AA7" i="1" s="1"/>
  <c r="F4" i="2" l="1"/>
  <c r="C7" i="2" l="1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6" i="2"/>
  <c r="D7" i="2" s="1"/>
  <c r="B3" i="2"/>
  <c r="B1" i="2"/>
  <c r="AB57" i="1"/>
  <c r="T7" i="1" s="1"/>
  <c r="F56" i="1"/>
  <c r="G56" i="1" s="1"/>
  <c r="D56" i="1"/>
  <c r="E56" i="1" s="1"/>
  <c r="B56" i="1"/>
  <c r="C56" i="1" s="1"/>
  <c r="F55" i="1"/>
  <c r="G55" i="1" s="1"/>
  <c r="D55" i="1"/>
  <c r="E55" i="1" s="1"/>
  <c r="B55" i="1"/>
  <c r="C55" i="1" s="1"/>
  <c r="F54" i="1"/>
  <c r="G54" i="1" s="1"/>
  <c r="D54" i="1"/>
  <c r="E54" i="1" s="1"/>
  <c r="B54" i="1"/>
  <c r="C54" i="1" s="1"/>
  <c r="F53" i="1"/>
  <c r="G53" i="1" s="1"/>
  <c r="D53" i="1"/>
  <c r="E53" i="1" s="1"/>
  <c r="B53" i="1"/>
  <c r="C53" i="1" s="1"/>
  <c r="F52" i="1"/>
  <c r="G52" i="1" s="1"/>
  <c r="D52" i="1"/>
  <c r="E52" i="1" s="1"/>
  <c r="B52" i="1"/>
  <c r="C52" i="1" s="1"/>
  <c r="F51" i="1"/>
  <c r="G51" i="1" s="1"/>
  <c r="D51" i="1"/>
  <c r="E51" i="1" s="1"/>
  <c r="B51" i="1"/>
  <c r="C51" i="1" s="1"/>
  <c r="F50" i="1"/>
  <c r="G50" i="1" s="1"/>
  <c r="D50" i="1"/>
  <c r="E50" i="1" s="1"/>
  <c r="B50" i="1"/>
  <c r="C50" i="1" s="1"/>
  <c r="F49" i="1"/>
  <c r="G49" i="1" s="1"/>
  <c r="D49" i="1"/>
  <c r="E49" i="1" s="1"/>
  <c r="B49" i="1"/>
  <c r="C49" i="1" s="1"/>
  <c r="F48" i="1"/>
  <c r="G48" i="1" s="1"/>
  <c r="D48" i="1"/>
  <c r="E48" i="1" s="1"/>
  <c r="B48" i="1"/>
  <c r="C48" i="1" s="1"/>
  <c r="F47" i="1"/>
  <c r="G47" i="1" s="1"/>
  <c r="D47" i="1"/>
  <c r="E47" i="1" s="1"/>
  <c r="B47" i="1"/>
  <c r="C47" i="1" s="1"/>
  <c r="F46" i="1"/>
  <c r="G46" i="1" s="1"/>
  <c r="D46" i="1"/>
  <c r="E46" i="1" s="1"/>
  <c r="B46" i="1"/>
  <c r="C46" i="1" s="1"/>
  <c r="F45" i="1"/>
  <c r="G45" i="1" s="1"/>
  <c r="D45" i="1"/>
  <c r="E45" i="1" s="1"/>
  <c r="B45" i="1"/>
  <c r="C45" i="1" s="1"/>
  <c r="F44" i="1"/>
  <c r="G44" i="1" s="1"/>
  <c r="D44" i="1"/>
  <c r="E44" i="1" s="1"/>
  <c r="B44" i="1"/>
  <c r="C44" i="1" s="1"/>
  <c r="F43" i="1"/>
  <c r="G43" i="1" s="1"/>
  <c r="D43" i="1"/>
  <c r="E43" i="1" s="1"/>
  <c r="B43" i="1"/>
  <c r="C43" i="1" s="1"/>
  <c r="F42" i="1"/>
  <c r="G42" i="1" s="1"/>
  <c r="D42" i="1"/>
  <c r="E42" i="1" s="1"/>
  <c r="B42" i="1"/>
  <c r="C42" i="1" s="1"/>
  <c r="F41" i="1"/>
  <c r="G41" i="1" s="1"/>
  <c r="D41" i="1"/>
  <c r="E41" i="1" s="1"/>
  <c r="B41" i="1"/>
  <c r="C41" i="1" s="1"/>
  <c r="F40" i="1"/>
  <c r="G40" i="1" s="1"/>
  <c r="D40" i="1"/>
  <c r="E40" i="1" s="1"/>
  <c r="B40" i="1"/>
  <c r="C40" i="1" s="1"/>
  <c r="F39" i="1"/>
  <c r="G39" i="1" s="1"/>
  <c r="D39" i="1"/>
  <c r="E39" i="1" s="1"/>
  <c r="B39" i="1"/>
  <c r="C39" i="1" s="1"/>
  <c r="F38" i="1"/>
  <c r="G38" i="1" s="1"/>
  <c r="D38" i="1"/>
  <c r="E38" i="1" s="1"/>
  <c r="B38" i="1"/>
  <c r="C38" i="1" s="1"/>
  <c r="F37" i="1"/>
  <c r="G37" i="1" s="1"/>
  <c r="D37" i="1"/>
  <c r="E37" i="1" s="1"/>
  <c r="B37" i="1"/>
  <c r="C37" i="1" s="1"/>
  <c r="F36" i="1"/>
  <c r="G36" i="1" s="1"/>
  <c r="D36" i="1"/>
  <c r="E36" i="1" s="1"/>
  <c r="B36" i="1"/>
  <c r="C36" i="1" s="1"/>
  <c r="F35" i="1"/>
  <c r="G35" i="1" s="1"/>
  <c r="D35" i="1"/>
  <c r="E35" i="1" s="1"/>
  <c r="B35" i="1"/>
  <c r="C35" i="1" s="1"/>
  <c r="F34" i="1"/>
  <c r="G34" i="1" s="1"/>
  <c r="D34" i="1"/>
  <c r="E34" i="1" s="1"/>
  <c r="B34" i="1"/>
  <c r="C34" i="1" s="1"/>
  <c r="F33" i="1"/>
  <c r="G33" i="1" s="1"/>
  <c r="D33" i="1"/>
  <c r="E33" i="1" s="1"/>
  <c r="B33" i="1"/>
  <c r="C33" i="1" s="1"/>
  <c r="F32" i="1"/>
  <c r="G32" i="1" s="1"/>
  <c r="D32" i="1"/>
  <c r="E32" i="1" s="1"/>
  <c r="B32" i="1"/>
  <c r="C32" i="1" s="1"/>
  <c r="F31" i="1"/>
  <c r="G31" i="1" s="1"/>
  <c r="D31" i="1"/>
  <c r="E31" i="1" s="1"/>
  <c r="B31" i="1"/>
  <c r="C31" i="1" s="1"/>
  <c r="F30" i="1"/>
  <c r="G30" i="1" s="1"/>
  <c r="D30" i="1"/>
  <c r="E30" i="1" s="1"/>
  <c r="B30" i="1"/>
  <c r="C30" i="1" s="1"/>
  <c r="F29" i="1"/>
  <c r="G29" i="1" s="1"/>
  <c r="D29" i="1"/>
  <c r="E29" i="1" s="1"/>
  <c r="B29" i="1"/>
  <c r="C29" i="1" s="1"/>
  <c r="F28" i="1"/>
  <c r="G28" i="1" s="1"/>
  <c r="D28" i="1"/>
  <c r="E28" i="1" s="1"/>
  <c r="B28" i="1"/>
  <c r="C28" i="1" s="1"/>
  <c r="F27" i="1"/>
  <c r="G27" i="1" s="1"/>
  <c r="D27" i="1"/>
  <c r="E27" i="1" s="1"/>
  <c r="B27" i="1"/>
  <c r="C27" i="1" s="1"/>
  <c r="F26" i="1"/>
  <c r="G26" i="1" s="1"/>
  <c r="D26" i="1"/>
  <c r="E26" i="1" s="1"/>
  <c r="B26" i="1"/>
  <c r="C26" i="1" s="1"/>
  <c r="F25" i="1"/>
  <c r="G25" i="1" s="1"/>
  <c r="D25" i="1"/>
  <c r="E25" i="1" s="1"/>
  <c r="B25" i="1"/>
  <c r="C25" i="1" s="1"/>
  <c r="F24" i="1"/>
  <c r="G24" i="1" s="1"/>
  <c r="D24" i="1"/>
  <c r="E24" i="1" s="1"/>
  <c r="B24" i="1"/>
  <c r="C24" i="1" s="1"/>
  <c r="F23" i="1"/>
  <c r="G23" i="1" s="1"/>
  <c r="D23" i="1"/>
  <c r="E23" i="1" s="1"/>
  <c r="B23" i="1"/>
  <c r="C23" i="1" s="1"/>
  <c r="F22" i="1"/>
  <c r="G22" i="1" s="1"/>
  <c r="D22" i="1"/>
  <c r="E22" i="1" s="1"/>
  <c r="B22" i="1"/>
  <c r="C22" i="1" s="1"/>
  <c r="F21" i="1"/>
  <c r="G21" i="1" s="1"/>
  <c r="D21" i="1"/>
  <c r="E21" i="1" s="1"/>
  <c r="B21" i="1"/>
  <c r="C21" i="1" s="1"/>
  <c r="F20" i="1"/>
  <c r="G20" i="1" s="1"/>
  <c r="D20" i="1"/>
  <c r="E20" i="1" s="1"/>
  <c r="B20" i="1"/>
  <c r="C20" i="1" s="1"/>
  <c r="F19" i="1"/>
  <c r="G19" i="1" s="1"/>
  <c r="D19" i="1"/>
  <c r="E19" i="1" s="1"/>
  <c r="B19" i="1"/>
  <c r="C19" i="1" s="1"/>
  <c r="F18" i="1"/>
  <c r="G18" i="1" s="1"/>
  <c r="D18" i="1"/>
  <c r="E18" i="1" s="1"/>
  <c r="B18" i="1"/>
  <c r="C18" i="1" s="1"/>
  <c r="F17" i="1"/>
  <c r="G17" i="1" s="1"/>
  <c r="D17" i="1"/>
  <c r="E17" i="1" s="1"/>
  <c r="B17" i="1"/>
  <c r="C17" i="1" s="1"/>
  <c r="F16" i="1"/>
  <c r="G16" i="1" s="1"/>
  <c r="D16" i="1"/>
  <c r="E16" i="1" s="1"/>
  <c r="B16" i="1"/>
  <c r="C16" i="1" s="1"/>
  <c r="F15" i="1"/>
  <c r="G15" i="1" s="1"/>
  <c r="D15" i="1"/>
  <c r="E15" i="1" s="1"/>
  <c r="B15" i="1"/>
  <c r="C15" i="1" s="1"/>
  <c r="F14" i="1"/>
  <c r="G14" i="1" s="1"/>
  <c r="D14" i="1"/>
  <c r="E14" i="1" s="1"/>
  <c r="B14" i="1"/>
  <c r="C14" i="1" s="1"/>
  <c r="F13" i="1"/>
  <c r="G13" i="1" s="1"/>
  <c r="D13" i="1"/>
  <c r="E13" i="1" s="1"/>
  <c r="B13" i="1"/>
  <c r="C13" i="1" s="1"/>
  <c r="F12" i="1"/>
  <c r="G12" i="1" s="1"/>
  <c r="D12" i="1"/>
  <c r="E12" i="1" s="1"/>
  <c r="B12" i="1"/>
  <c r="C12" i="1" s="1"/>
  <c r="F11" i="1"/>
  <c r="G11" i="1" s="1"/>
  <c r="D11" i="1"/>
  <c r="E11" i="1" s="1"/>
  <c r="B11" i="1"/>
  <c r="C11" i="1" s="1"/>
  <c r="F10" i="1"/>
  <c r="G10" i="1" s="1"/>
  <c r="D10" i="1"/>
  <c r="E10" i="1" s="1"/>
  <c r="B10" i="1"/>
  <c r="C10" i="1" s="1"/>
  <c r="F9" i="1"/>
  <c r="G9" i="1" s="1"/>
  <c r="D9" i="1"/>
  <c r="E9" i="1" s="1"/>
  <c r="B9" i="1"/>
  <c r="C9" i="1" s="1"/>
  <c r="F8" i="1"/>
  <c r="G8" i="1" s="1"/>
  <c r="D8" i="1"/>
  <c r="E8" i="1" s="1"/>
  <c r="B8" i="1"/>
  <c r="C8" i="1" s="1"/>
  <c r="F7" i="1"/>
  <c r="G7" i="1" s="1"/>
  <c r="D7" i="1"/>
  <c r="E7" i="1" s="1"/>
  <c r="B7" i="1"/>
  <c r="C7" i="1" s="1"/>
  <c r="R7" i="1" s="1"/>
  <c r="S7" i="1" l="1"/>
  <c r="O7" i="1"/>
  <c r="H8" i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I7" i="1" s="1"/>
  <c r="D8" i="2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E69" i="2" s="1"/>
  <c r="E7" i="2"/>
  <c r="B4" i="2"/>
  <c r="E6" i="2"/>
  <c r="Q8" i="1" l="1"/>
  <c r="E8" i="2"/>
  <c r="E19" i="2"/>
  <c r="E18" i="2"/>
  <c r="E9" i="2"/>
  <c r="E10" i="2"/>
  <c r="E11" i="2"/>
  <c r="E34" i="2"/>
  <c r="E42" i="2"/>
  <c r="E26" i="2"/>
  <c r="E46" i="2"/>
  <c r="E38" i="2"/>
  <c r="E30" i="2"/>
  <c r="E22" i="2"/>
  <c r="E14" i="2"/>
  <c r="E15" i="2"/>
  <c r="E66" i="2"/>
  <c r="E54" i="2"/>
  <c r="E31" i="2"/>
  <c r="E47" i="2"/>
  <c r="E63" i="2"/>
  <c r="E58" i="2"/>
  <c r="E50" i="2"/>
  <c r="E44" i="2"/>
  <c r="E40" i="2"/>
  <c r="E36" i="2"/>
  <c r="E32" i="2"/>
  <c r="E28" i="2"/>
  <c r="E24" i="2"/>
  <c r="E20" i="2"/>
  <c r="E16" i="2"/>
  <c r="E12" i="2"/>
  <c r="E13" i="2"/>
  <c r="E17" i="2"/>
  <c r="E23" i="2"/>
  <c r="E39" i="2"/>
  <c r="E55" i="2"/>
  <c r="E62" i="2"/>
  <c r="E27" i="2"/>
  <c r="E35" i="2"/>
  <c r="E43" i="2"/>
  <c r="E51" i="2"/>
  <c r="E59" i="2"/>
  <c r="E68" i="2"/>
  <c r="E64" i="2"/>
  <c r="E60" i="2"/>
  <c r="E56" i="2"/>
  <c r="E52" i="2"/>
  <c r="E48" i="2"/>
  <c r="E21" i="2"/>
  <c r="E25" i="2"/>
  <c r="E29" i="2"/>
  <c r="E33" i="2"/>
  <c r="E37" i="2"/>
  <c r="E41" i="2"/>
  <c r="E45" i="2"/>
  <c r="E49" i="2"/>
  <c r="E53" i="2"/>
  <c r="E57" i="2"/>
  <c r="E61" i="2"/>
  <c r="E65" i="2"/>
  <c r="E67" i="2"/>
  <c r="Q9" i="1" l="1"/>
  <c r="R8" i="1"/>
  <c r="S8" i="1" s="1"/>
  <c r="Q10" i="1" l="1"/>
  <c r="R9" i="1"/>
  <c r="S9" i="1" s="1"/>
  <c r="Q11" i="1" l="1"/>
  <c r="R10" i="1"/>
  <c r="S10" i="1" s="1"/>
  <c r="Q12" i="1" l="1"/>
  <c r="R11" i="1"/>
  <c r="S11" i="1" s="1"/>
  <c r="Q13" i="1" l="1"/>
  <c r="R12" i="1"/>
  <c r="S12" i="1" s="1"/>
  <c r="Q14" i="1" l="1"/>
  <c r="R13" i="1"/>
  <c r="S13" i="1" s="1"/>
  <c r="Q15" i="1" l="1"/>
  <c r="R14" i="1"/>
  <c r="S14" i="1" s="1"/>
  <c r="Q16" i="1" l="1"/>
  <c r="R15" i="1"/>
  <c r="S15" i="1" s="1"/>
  <c r="Q17" i="1" l="1"/>
  <c r="R16" i="1"/>
  <c r="S16" i="1" s="1"/>
  <c r="Q18" i="1" l="1"/>
  <c r="R17" i="1"/>
  <c r="S17" i="1" s="1"/>
  <c r="Q19" i="1" l="1"/>
  <c r="R18" i="1"/>
  <c r="S18" i="1" s="1"/>
  <c r="Q20" i="1" l="1"/>
  <c r="R19" i="1"/>
  <c r="S19" i="1" s="1"/>
  <c r="Q21" i="1" l="1"/>
  <c r="R20" i="1"/>
  <c r="S20" i="1" s="1"/>
  <c r="Q22" i="1" l="1"/>
  <c r="R21" i="1"/>
  <c r="S21" i="1" s="1"/>
  <c r="Q23" i="1" l="1"/>
  <c r="R22" i="1"/>
  <c r="S22" i="1" s="1"/>
  <c r="Q24" i="1" l="1"/>
  <c r="R23" i="1"/>
  <c r="S23" i="1" s="1"/>
  <c r="Q25" i="1" l="1"/>
  <c r="R24" i="1"/>
  <c r="S24" i="1" s="1"/>
  <c r="Q26" i="1" l="1"/>
  <c r="R25" i="1"/>
  <c r="S25" i="1" s="1"/>
  <c r="Q27" i="1" l="1"/>
  <c r="R26" i="1"/>
  <c r="S26" i="1" s="1"/>
  <c r="Q28" i="1" l="1"/>
  <c r="R27" i="1"/>
  <c r="S27" i="1" s="1"/>
  <c r="Q29" i="1" l="1"/>
  <c r="R28" i="1"/>
  <c r="S28" i="1" s="1"/>
  <c r="Q30" i="1" l="1"/>
  <c r="R29" i="1"/>
  <c r="S29" i="1" s="1"/>
  <c r="Q31" i="1" l="1"/>
  <c r="R30" i="1"/>
  <c r="S30" i="1" s="1"/>
  <c r="Q32" i="1" l="1"/>
  <c r="R31" i="1"/>
  <c r="S31" i="1" s="1"/>
  <c r="Q33" i="1" l="1"/>
  <c r="R32" i="1"/>
  <c r="S32" i="1" s="1"/>
  <c r="Q34" i="1" l="1"/>
  <c r="R33" i="1"/>
  <c r="S33" i="1" s="1"/>
  <c r="Q35" i="1" l="1"/>
  <c r="R34" i="1"/>
  <c r="S34" i="1" s="1"/>
  <c r="Q36" i="1" l="1"/>
  <c r="R35" i="1"/>
  <c r="S35" i="1" s="1"/>
  <c r="Q37" i="1" l="1"/>
  <c r="R36" i="1"/>
  <c r="S36" i="1" s="1"/>
  <c r="Q38" i="1" l="1"/>
  <c r="R37" i="1"/>
  <c r="S37" i="1" s="1"/>
  <c r="Q39" i="1" l="1"/>
  <c r="R38" i="1"/>
  <c r="S38" i="1" s="1"/>
  <c r="Q40" i="1" l="1"/>
  <c r="R39" i="1"/>
  <c r="S39" i="1" s="1"/>
  <c r="Q41" i="1" l="1"/>
  <c r="R40" i="1"/>
  <c r="S40" i="1" s="1"/>
  <c r="Q42" i="1" l="1"/>
  <c r="R41" i="1"/>
  <c r="S41" i="1" s="1"/>
  <c r="Q43" i="1" l="1"/>
  <c r="R42" i="1"/>
  <c r="S42" i="1" s="1"/>
  <c r="Q44" i="1" l="1"/>
  <c r="R43" i="1"/>
  <c r="S43" i="1" s="1"/>
  <c r="Q45" i="1" l="1"/>
  <c r="R44" i="1"/>
  <c r="S44" i="1" s="1"/>
  <c r="Q46" i="1" l="1"/>
  <c r="R45" i="1"/>
  <c r="S45" i="1" s="1"/>
  <c r="Q47" i="1" l="1"/>
  <c r="R46" i="1"/>
  <c r="S46" i="1" s="1"/>
  <c r="Q48" i="1" l="1"/>
  <c r="R47" i="1"/>
  <c r="S47" i="1" s="1"/>
  <c r="Q49" i="1" l="1"/>
  <c r="R48" i="1"/>
  <c r="S48" i="1" s="1"/>
  <c r="Q50" i="1" l="1"/>
  <c r="R49" i="1"/>
  <c r="S49" i="1" s="1"/>
  <c r="Q51" i="1" l="1"/>
  <c r="R50" i="1"/>
  <c r="S50" i="1" s="1"/>
  <c r="Q52" i="1" l="1"/>
  <c r="R51" i="1"/>
  <c r="S51" i="1" s="1"/>
  <c r="Q53" i="1" l="1"/>
  <c r="R52" i="1"/>
  <c r="S52" i="1" s="1"/>
  <c r="Q54" i="1" l="1"/>
  <c r="R53" i="1"/>
  <c r="S53" i="1" s="1"/>
  <c r="Q55" i="1" l="1"/>
  <c r="R54" i="1"/>
  <c r="S54" i="1" s="1"/>
  <c r="Q56" i="1" l="1"/>
  <c r="R55" i="1"/>
  <c r="S55" i="1" s="1"/>
  <c r="Q57" i="1" l="1"/>
  <c r="Q58" i="1" s="1"/>
  <c r="Q59" i="1" s="1"/>
  <c r="Q60" i="1" s="1"/>
  <c r="Q61" i="1" s="1"/>
  <c r="Q62" i="1" s="1"/>
  <c r="Q63" i="1" s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Q104" i="1" s="1"/>
  <c r="Q105" i="1" s="1"/>
  <c r="Q106" i="1" s="1"/>
  <c r="Q107" i="1" s="1"/>
  <c r="Q108" i="1" s="1"/>
  <c r="Q109" i="1" s="1"/>
  <c r="Q110" i="1" s="1"/>
  <c r="Q111" i="1" s="1"/>
  <c r="Q112" i="1" s="1"/>
  <c r="Q113" i="1" s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Q141" i="1" s="1"/>
  <c r="Q142" i="1" s="1"/>
  <c r="Q143" i="1" s="1"/>
  <c r="Q144" i="1" s="1"/>
  <c r="Q145" i="1" s="1"/>
  <c r="Q146" i="1" s="1"/>
  <c r="Q147" i="1" s="1"/>
  <c r="Q148" i="1" s="1"/>
  <c r="Q149" i="1" s="1"/>
  <c r="Q150" i="1" s="1"/>
  <c r="Q151" i="1" s="1"/>
  <c r="Q152" i="1" s="1"/>
  <c r="Q153" i="1" s="1"/>
  <c r="Q154" i="1" s="1"/>
  <c r="Q155" i="1" s="1"/>
  <c r="Q156" i="1" s="1"/>
  <c r="Q157" i="1" s="1"/>
  <c r="Q158" i="1" s="1"/>
  <c r="Q159" i="1" s="1"/>
  <c r="Q160" i="1" s="1"/>
  <c r="Q161" i="1" s="1"/>
  <c r="Q162" i="1" s="1"/>
  <c r="Q163" i="1" s="1"/>
  <c r="Q164" i="1" s="1"/>
  <c r="Q165" i="1" s="1"/>
  <c r="Q166" i="1" s="1"/>
  <c r="Q167" i="1" s="1"/>
  <c r="Q168" i="1" s="1"/>
  <c r="Q169" i="1" s="1"/>
  <c r="Q170" i="1" s="1"/>
  <c r="Q171" i="1" s="1"/>
  <c r="Q172" i="1" s="1"/>
  <c r="Q173" i="1" s="1"/>
  <c r="Q174" i="1" s="1"/>
  <c r="Q175" i="1" s="1"/>
  <c r="Q176" i="1" s="1"/>
  <c r="Q177" i="1" s="1"/>
  <c r="Q178" i="1" s="1"/>
  <c r="Q179" i="1" s="1"/>
  <c r="Q180" i="1" s="1"/>
  <c r="Q181" i="1" s="1"/>
  <c r="Q182" i="1" s="1"/>
  <c r="Q183" i="1" s="1"/>
  <c r="Q184" i="1" s="1"/>
  <c r="Q185" i="1" s="1"/>
  <c r="Q186" i="1" s="1"/>
  <c r="Q187" i="1" s="1"/>
  <c r="Q188" i="1" s="1"/>
  <c r="Q189" i="1" s="1"/>
  <c r="Q190" i="1" s="1"/>
  <c r="Q191" i="1" s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Q204" i="1" s="1"/>
  <c r="Q205" i="1" s="1"/>
  <c r="Q206" i="1" s="1"/>
  <c r="R56" i="1"/>
  <c r="S56" i="1" s="1"/>
  <c r="R57" i="1" l="1"/>
  <c r="S57" i="1" s="1"/>
  <c r="R58" i="1" l="1"/>
  <c r="S58" i="1" s="1"/>
  <c r="R59" i="1" l="1"/>
  <c r="S59" i="1" s="1"/>
  <c r="R60" i="1" l="1"/>
  <c r="S60" i="1" s="1"/>
  <c r="R61" i="1" l="1"/>
  <c r="S61" i="1" s="1"/>
  <c r="R62" i="1" l="1"/>
  <c r="S62" i="1" s="1"/>
  <c r="R63" i="1" l="1"/>
  <c r="S63" i="1" s="1"/>
  <c r="R64" i="1" l="1"/>
  <c r="S64" i="1" s="1"/>
  <c r="R65" i="1" l="1"/>
  <c r="S65" i="1" s="1"/>
  <c r="R66" i="1" l="1"/>
  <c r="S66" i="1" s="1"/>
  <c r="R67" i="1" l="1"/>
  <c r="S67" i="1" s="1"/>
  <c r="R68" i="1" l="1"/>
  <c r="S68" i="1" s="1"/>
  <c r="R69" i="1" l="1"/>
  <c r="S69" i="1" s="1"/>
  <c r="R70" i="1" l="1"/>
  <c r="S70" i="1" s="1"/>
  <c r="R71" i="1" l="1"/>
  <c r="S71" i="1" s="1"/>
  <c r="R72" i="1" l="1"/>
  <c r="S72" i="1" s="1"/>
  <c r="R73" i="1" l="1"/>
  <c r="S73" i="1" s="1"/>
  <c r="R74" i="1" l="1"/>
  <c r="S74" i="1" s="1"/>
  <c r="R75" i="1" l="1"/>
  <c r="S75" i="1" s="1"/>
  <c r="R76" i="1" l="1"/>
  <c r="S76" i="1" s="1"/>
  <c r="R77" i="1" l="1"/>
  <c r="S77" i="1" s="1"/>
  <c r="R78" i="1" l="1"/>
  <c r="S78" i="1" s="1"/>
  <c r="R79" i="1" l="1"/>
  <c r="S79" i="1" s="1"/>
  <c r="R80" i="1" l="1"/>
  <c r="S80" i="1" s="1"/>
  <c r="R81" i="1" l="1"/>
  <c r="S81" i="1" s="1"/>
  <c r="R82" i="1" l="1"/>
  <c r="S82" i="1" s="1"/>
  <c r="R83" i="1" l="1"/>
  <c r="S83" i="1" s="1"/>
  <c r="R84" i="1" l="1"/>
  <c r="S84" i="1" s="1"/>
  <c r="R85" i="1" l="1"/>
  <c r="S85" i="1" s="1"/>
  <c r="R86" i="1" l="1"/>
  <c r="S86" i="1" s="1"/>
  <c r="R87" i="1" l="1"/>
  <c r="S87" i="1" s="1"/>
  <c r="R88" i="1" l="1"/>
  <c r="S88" i="1" s="1"/>
  <c r="R89" i="1" l="1"/>
  <c r="S89" i="1" s="1"/>
  <c r="R90" i="1" l="1"/>
  <c r="S90" i="1" s="1"/>
  <c r="R91" i="1" l="1"/>
  <c r="S91" i="1" s="1"/>
  <c r="R92" i="1" l="1"/>
  <c r="S92" i="1" s="1"/>
  <c r="R93" i="1" l="1"/>
  <c r="S93" i="1" s="1"/>
  <c r="R94" i="1" l="1"/>
  <c r="S94" i="1" s="1"/>
  <c r="R95" i="1" l="1"/>
  <c r="S95" i="1" s="1"/>
  <c r="R96" i="1" l="1"/>
  <c r="S96" i="1" s="1"/>
  <c r="R97" i="1" l="1"/>
  <c r="S97" i="1" s="1"/>
  <c r="R98" i="1" l="1"/>
  <c r="S98" i="1" s="1"/>
  <c r="R99" i="1" l="1"/>
  <c r="S99" i="1" s="1"/>
  <c r="R100" i="1" l="1"/>
  <c r="S100" i="1" s="1"/>
  <c r="R101" i="1" l="1"/>
  <c r="S101" i="1" s="1"/>
  <c r="R102" i="1" l="1"/>
  <c r="S102" i="1" s="1"/>
  <c r="R103" i="1" l="1"/>
  <c r="S103" i="1" s="1"/>
  <c r="R104" i="1" l="1"/>
  <c r="S104" i="1" s="1"/>
  <c r="R105" i="1" l="1"/>
  <c r="S105" i="1" s="1"/>
  <c r="R106" i="1" l="1"/>
  <c r="S106" i="1" s="1"/>
  <c r="R107" i="1" l="1"/>
  <c r="S107" i="1" s="1"/>
  <c r="R108" i="1" l="1"/>
  <c r="S108" i="1" s="1"/>
  <c r="R109" i="1" l="1"/>
  <c r="S109" i="1" s="1"/>
  <c r="R110" i="1" l="1"/>
  <c r="S110" i="1" s="1"/>
  <c r="R111" i="1" l="1"/>
  <c r="S111" i="1" s="1"/>
  <c r="R112" i="1" l="1"/>
  <c r="S112" i="1" s="1"/>
  <c r="R113" i="1" l="1"/>
  <c r="S113" i="1" s="1"/>
  <c r="R114" i="1" l="1"/>
  <c r="S114" i="1" s="1"/>
  <c r="R115" i="1" l="1"/>
  <c r="S115" i="1" s="1"/>
  <c r="R116" i="1" l="1"/>
  <c r="S116" i="1" s="1"/>
  <c r="R117" i="1" l="1"/>
  <c r="S117" i="1" s="1"/>
  <c r="R118" i="1" l="1"/>
  <c r="S118" i="1" s="1"/>
  <c r="R119" i="1" l="1"/>
  <c r="S119" i="1" s="1"/>
  <c r="R120" i="1" l="1"/>
  <c r="S120" i="1" s="1"/>
  <c r="R121" i="1" l="1"/>
  <c r="S121" i="1" s="1"/>
  <c r="R122" i="1" l="1"/>
  <c r="S122" i="1" s="1"/>
  <c r="R123" i="1" l="1"/>
  <c r="S123" i="1" s="1"/>
  <c r="R124" i="1" l="1"/>
  <c r="S124" i="1" s="1"/>
  <c r="R125" i="1" l="1"/>
  <c r="S125" i="1" s="1"/>
  <c r="R126" i="1" l="1"/>
  <c r="S126" i="1" s="1"/>
  <c r="R127" i="1" l="1"/>
  <c r="S127" i="1" s="1"/>
  <c r="R128" i="1" l="1"/>
  <c r="S128" i="1" s="1"/>
  <c r="R129" i="1" l="1"/>
  <c r="S129" i="1" s="1"/>
  <c r="R130" i="1" l="1"/>
  <c r="S130" i="1" s="1"/>
  <c r="R131" i="1" l="1"/>
  <c r="S131" i="1" s="1"/>
  <c r="R132" i="1" l="1"/>
  <c r="S132" i="1" s="1"/>
  <c r="R133" i="1" l="1"/>
  <c r="S133" i="1" s="1"/>
  <c r="R134" i="1" l="1"/>
  <c r="S134" i="1" s="1"/>
  <c r="R135" i="1" l="1"/>
  <c r="S135" i="1" s="1"/>
  <c r="R136" i="1" l="1"/>
  <c r="S136" i="1" s="1"/>
  <c r="R138" i="1" l="1"/>
  <c r="S138" i="1" s="1"/>
  <c r="R137" i="1"/>
  <c r="S137" i="1" s="1"/>
</calcChain>
</file>

<file path=xl/sharedStrings.xml><?xml version="1.0" encoding="utf-8"?>
<sst xmlns="http://schemas.openxmlformats.org/spreadsheetml/2006/main" count="49" uniqueCount="35">
  <si>
    <t>№</t>
  </si>
  <si>
    <t>r_K</t>
  </si>
  <si>
    <t>p_K</t>
  </si>
  <si>
    <t>r_b</t>
  </si>
  <si>
    <t>b_K</t>
  </si>
  <si>
    <t>r_TB</t>
  </si>
  <si>
    <t>TbK</t>
  </si>
  <si>
    <t>tb</t>
  </si>
  <si>
    <t>Dt</t>
  </si>
  <si>
    <t>t_k</t>
  </si>
  <si>
    <t>A*Cos</t>
  </si>
  <si>
    <t>s_k</t>
  </si>
  <si>
    <t>T</t>
  </si>
  <si>
    <t>A</t>
  </si>
  <si>
    <t>pi</t>
  </si>
  <si>
    <t>om</t>
  </si>
  <si>
    <t>K</t>
  </si>
  <si>
    <t>om*t</t>
  </si>
  <si>
    <t>RP</t>
  </si>
  <si>
    <t>s</t>
  </si>
  <si>
    <t>r1</t>
  </si>
  <si>
    <t>r2</t>
  </si>
  <si>
    <t>n1</t>
  </si>
  <si>
    <t>y1</t>
  </si>
  <si>
    <t>E1</t>
  </si>
  <si>
    <t>sig1</t>
  </si>
  <si>
    <t>sig2</t>
  </si>
  <si>
    <t>b</t>
  </si>
  <si>
    <t>r</t>
  </si>
  <si>
    <t>N</t>
  </si>
  <si>
    <t>D</t>
  </si>
  <si>
    <t>БГШ</t>
  </si>
  <si>
    <t>n2</t>
  </si>
  <si>
    <t>y2</t>
  </si>
  <si>
    <t>Мультифрактальный шум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</si>
</sst>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"/>
    <numFmt numFmtId="165" formatCode="0.000000"/>
    <numFmt numFmtId="166" formatCode="0.00000"/>
  </numFmts>
  <fonts count="12" x14ac:knownFonts="1">
    <font>
      <sz val="11"/>
      <color rgb="FF000000"/>
      <name val="Calibri"/>
      <family val="2"/>
      <charset val="1"/>
    </font>
    <font>
      <b/>
      <sz val="12"/>
      <color rgb="FF000000"/>
      <name val="Times New Roman"/>
      <family val="1"/>
      <charset val="204"/>
    </font>
    <font>
      <b/>
      <sz val="12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204"/>
    </font>
    <font>
      <b/>
      <sz val="12"/>
      <color rgb="FF000000"/>
      <name val="Calibri"/>
      <family val="2"/>
      <charset val="1"/>
    </font>
    <font>
      <b/>
      <sz val="12"/>
      <color rgb="FF000000"/>
      <name val="Times New Roman"/>
      <family val="1"/>
    </font>
    <font>
      <sz val="12"/>
      <color rgb="FF000000"/>
      <name val="Times New Roman"/>
      <family val="1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1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/>
    <xf numFmtId="0" fontId="2" fillId="0" borderId="0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3" fillId="0" borderId="1" xfId="0" applyFont="1" applyBorder="1"/>
    <xf numFmtId="0" fontId="0" fillId="0" borderId="1" xfId="0" applyBorder="1"/>
    <xf numFmtId="164" fontId="4" fillId="0" borderId="3" xfId="0" applyNumberFormat="1" applyFont="1" applyBorder="1"/>
    <xf numFmtId="0" fontId="0" fillId="0" borderId="0" xfId="0" applyBorder="1"/>
    <xf numFmtId="0" fontId="0" fillId="0" borderId="3" xfId="0" applyBorder="1"/>
    <xf numFmtId="0" fontId="5" fillId="0" borderId="1" xfId="0" applyFont="1" applyBorder="1"/>
    <xf numFmtId="0" fontId="2" fillId="0" borderId="0" xfId="0" applyFont="1"/>
    <xf numFmtId="0" fontId="6" fillId="0" borderId="4" xfId="0" applyFont="1" applyBorder="1"/>
    <xf numFmtId="0" fontId="6" fillId="0" borderId="5" xfId="0" applyFont="1" applyBorder="1"/>
    <xf numFmtId="0" fontId="6" fillId="0" borderId="5" xfId="0" applyFont="1" applyBorder="1" applyAlignment="1">
      <alignment horizontal="center" vertical="center"/>
    </xf>
    <xf numFmtId="0" fontId="6" fillId="0" borderId="5" xfId="0" applyFont="1" applyFill="1" applyBorder="1"/>
    <xf numFmtId="0" fontId="6" fillId="0" borderId="6" xfId="0" applyFont="1" applyFill="1" applyBorder="1"/>
    <xf numFmtId="0" fontId="6" fillId="0" borderId="7" xfId="0" applyFont="1" applyFill="1" applyBorder="1"/>
    <xf numFmtId="0" fontId="6" fillId="0" borderId="8" xfId="0" applyFont="1" applyFill="1" applyBorder="1"/>
    <xf numFmtId="0" fontId="2" fillId="0" borderId="9" xfId="0" applyFont="1" applyBorder="1"/>
    <xf numFmtId="0" fontId="2" fillId="0" borderId="10" xfId="0" applyFont="1" applyBorder="1"/>
    <xf numFmtId="0" fontId="7" fillId="0" borderId="11" xfId="0" applyFont="1" applyBorder="1"/>
    <xf numFmtId="0" fontId="2" fillId="0" borderId="12" xfId="0" applyFont="1" applyBorder="1"/>
    <xf numFmtId="0" fontId="7" fillId="0" borderId="13" xfId="0" applyFont="1" applyBorder="1"/>
    <xf numFmtId="0" fontId="7" fillId="0" borderId="14" xfId="0" applyFont="1" applyBorder="1"/>
    <xf numFmtId="0" fontId="7" fillId="0" borderId="0" xfId="0" applyFont="1" applyBorder="1"/>
    <xf numFmtId="0" fontId="2" fillId="0" borderId="15" xfId="0" applyFont="1" applyBorder="1"/>
    <xf numFmtId="0" fontId="2" fillId="0" borderId="17" xfId="0" applyFont="1" applyBorder="1"/>
    <xf numFmtId="0" fontId="7" fillId="0" borderId="19" xfId="0" applyFont="1" applyBorder="1"/>
    <xf numFmtId="0" fontId="7" fillId="0" borderId="20" xfId="0" applyFont="1" applyBorder="1"/>
    <xf numFmtId="0" fontId="0" fillId="0" borderId="21" xfId="0" applyBorder="1"/>
    <xf numFmtId="0" fontId="2" fillId="0" borderId="22" xfId="0" applyFont="1" applyBorder="1"/>
    <xf numFmtId="0" fontId="0" fillId="0" borderId="23" xfId="0" applyBorder="1"/>
    <xf numFmtId="2" fontId="0" fillId="0" borderId="18" xfId="0" applyNumberFormat="1" applyBorder="1"/>
    <xf numFmtId="0" fontId="9" fillId="0" borderId="0" xfId="0" applyFont="1" applyBorder="1" applyAlignment="1"/>
    <xf numFmtId="0" fontId="6" fillId="0" borderId="4" xfId="0" applyFont="1" applyFill="1" applyBorder="1"/>
    <xf numFmtId="0" fontId="6" fillId="0" borderId="6" xfId="0" applyFont="1" applyBorder="1"/>
    <xf numFmtId="0" fontId="0" fillId="0" borderId="15" xfId="0" applyBorder="1"/>
    <xf numFmtId="0" fontId="0" fillId="2" borderId="16" xfId="0" applyFill="1" applyBorder="1"/>
    <xf numFmtId="0" fontId="0" fillId="0" borderId="22" xfId="0" applyBorder="1"/>
    <xf numFmtId="0" fontId="0" fillId="2" borderId="23" xfId="0" applyFill="1" applyBorder="1"/>
    <xf numFmtId="0" fontId="0" fillId="0" borderId="17" xfId="0" applyBorder="1"/>
    <xf numFmtId="0" fontId="0" fillId="0" borderId="24" xfId="0" applyBorder="1"/>
    <xf numFmtId="0" fontId="0" fillId="2" borderId="18" xfId="0" applyFill="1" applyBorder="1"/>
    <xf numFmtId="11" fontId="0" fillId="0" borderId="21" xfId="0" applyNumberFormat="1" applyBorder="1"/>
    <xf numFmtId="11" fontId="0" fillId="0" borderId="1" xfId="0" applyNumberFormat="1" applyBorder="1"/>
    <xf numFmtId="11" fontId="0" fillId="0" borderId="24" xfId="0" applyNumberFormat="1" applyBorder="1"/>
    <xf numFmtId="165" fontId="0" fillId="0" borderId="21" xfId="0" applyNumberFormat="1" applyBorder="1"/>
    <xf numFmtId="165" fontId="0" fillId="0" borderId="1" xfId="0" applyNumberFormat="1" applyBorder="1"/>
    <xf numFmtId="165" fontId="0" fillId="0" borderId="24" xfId="0" applyNumberFormat="1" applyBorder="1"/>
    <xf numFmtId="166" fontId="0" fillId="0" borderId="21" xfId="0" applyNumberFormat="1" applyBorder="1"/>
    <xf numFmtId="166" fontId="0" fillId="0" borderId="1" xfId="0" applyNumberFormat="1" applyBorder="1"/>
    <xf numFmtId="166" fontId="0" fillId="0" borderId="24" xfId="0" applyNumberFormat="1" applyBorder="1"/>
    <xf numFmtId="164" fontId="0" fillId="0" borderId="21" xfId="0" applyNumberFormat="1" applyBorder="1"/>
    <xf numFmtId="164" fontId="0" fillId="0" borderId="1" xfId="0" applyNumberFormat="1" applyBorder="1"/>
    <xf numFmtId="164" fontId="0" fillId="0" borderId="24" xfId="0" applyNumberFormat="1" applyBorder="1"/>
    <xf numFmtId="0" fontId="0" fillId="0" borderId="19" xfId="0" applyBorder="1"/>
    <xf numFmtId="0" fontId="0" fillId="0" borderId="6" xfId="0" applyBorder="1"/>
    <xf numFmtId="0" fontId="8" fillId="0" borderId="4" xfId="0" applyFont="1" applyBorder="1"/>
    <xf numFmtId="0" fontId="0" fillId="3" borderId="19" xfId="0" applyFill="1" applyBorder="1"/>
    <xf numFmtId="0" fontId="0" fillId="3" borderId="3" xfId="0" applyFill="1" applyBorder="1"/>
    <xf numFmtId="0" fontId="0" fillId="3" borderId="20" xfId="0" applyFill="1" applyBorder="1"/>
    <xf numFmtId="164" fontId="0" fillId="0" borderId="15" xfId="0" applyNumberFormat="1" applyBorder="1"/>
    <xf numFmtId="164" fontId="0" fillId="0" borderId="22" xfId="0" applyNumberFormat="1" applyBorder="1"/>
    <xf numFmtId="164" fontId="0" fillId="0" borderId="17" xfId="0" applyNumberFormat="1" applyBorder="1"/>
    <xf numFmtId="164" fontId="0" fillId="3" borderId="16" xfId="0" applyNumberFormat="1" applyFill="1" applyBorder="1"/>
    <xf numFmtId="164" fontId="0" fillId="3" borderId="23" xfId="0" applyNumberFormat="1" applyFill="1" applyBorder="1"/>
    <xf numFmtId="164" fontId="0" fillId="3" borderId="18" xfId="0" applyNumberFormat="1" applyFill="1" applyBorder="1"/>
    <xf numFmtId="0" fontId="10" fillId="0" borderId="25" xfId="0" applyFont="1" applyBorder="1" applyAlignment="1">
      <alignment horizontal="center"/>
    </xf>
    <xf numFmtId="0" fontId="10" fillId="0" borderId="26" xfId="0" applyFont="1" applyBorder="1" applyAlignment="1">
      <alignment horizontal="center"/>
    </xf>
    <xf numFmtId="0" fontId="10" fillId="0" borderId="27" xfId="0" applyFont="1" applyBorder="1" applyAlignment="1">
      <alignment horizontal="center"/>
    </xf>
    <xf numFmtId="0" fontId="9" fillId="0" borderId="25" xfId="0" applyFont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9" fillId="0" borderId="27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c:style val="2"/>
  <c:chart>
    <c:autoTitleDeleted val="1"/>
    <c:plotArea>
      <c:layout>
        <c:manualLayout>
          <c:layoutTarget val="inner"/>
          <c:xMode val="edge"/>
          <c:yMode val="edge"/>
          <c:x val="3.8407489033050975E-2"/>
          <c:y val="4.4132818768866301E-2"/>
          <c:w val="0.91657907324311849"/>
          <c:h val="0.93973824744847345"/>
        </c:manualLayout>
      </c:layout>
      <c:scatterChart>
        <c:scatterStyle val="lineMarker"/>
        <c:varyColors val="0"/>
        <c:ser>
          <c:idx val="0"/>
          <c:order val="0"/>
          <c:spPr>
            <a:ln w="28800">
              <a:solidFill>
                <a:srgbClr val="004586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ru-RU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yVal>
            <c:numRef>
              <c:f>Лист1!$S$7:$S$56</c:f>
              <c:numCache>
                <c:formatCode>General</c:formatCode>
                <c:ptCount val="50"/>
                <c:pt idx="0">
                  <c:v>-3.6294973508531418</c:v>
                </c:pt>
                <c:pt idx="1">
                  <c:v>-1.0358424573279226</c:v>
                </c:pt>
                <c:pt idx="2">
                  <c:v>0.16315258606153157</c:v>
                </c:pt>
                <c:pt idx="3">
                  <c:v>4.2766541859689973</c:v>
                </c:pt>
                <c:pt idx="4">
                  <c:v>0.26233149386891841</c:v>
                </c:pt>
                <c:pt idx="5">
                  <c:v>-2.3618663884293998</c:v>
                </c:pt>
                <c:pt idx="6">
                  <c:v>-3.8792677421739912</c:v>
                </c:pt>
                <c:pt idx="7">
                  <c:v>-0.34144282031705975</c:v>
                </c:pt>
                <c:pt idx="8">
                  <c:v>0.82547577344686751</c:v>
                </c:pt>
                <c:pt idx="9">
                  <c:v>-0.24638418156006905</c:v>
                </c:pt>
                <c:pt idx="10">
                  <c:v>3.4238310778008523</c:v>
                </c:pt>
                <c:pt idx="11">
                  <c:v>1.8426353904648629</c:v>
                </c:pt>
                <c:pt idx="12">
                  <c:v>0.43774430624465505</c:v>
                </c:pt>
                <c:pt idx="13">
                  <c:v>0.69823620902872752</c:v>
                </c:pt>
                <c:pt idx="14">
                  <c:v>9.721538820997154E-2</c:v>
                </c:pt>
                <c:pt idx="15">
                  <c:v>-9.897247414799086E-2</c:v>
                </c:pt>
                <c:pt idx="16">
                  <c:v>-2.6413356624318851</c:v>
                </c:pt>
                <c:pt idx="17">
                  <c:v>0.44302728471302527</c:v>
                </c:pt>
                <c:pt idx="18">
                  <c:v>-4.0661597850545474</c:v>
                </c:pt>
                <c:pt idx="19">
                  <c:v>1.6636373025342059</c:v>
                </c:pt>
                <c:pt idx="20">
                  <c:v>1.3968410172300822</c:v>
                </c:pt>
                <c:pt idx="21">
                  <c:v>-1.4011756458899467</c:v>
                </c:pt>
                <c:pt idx="22">
                  <c:v>-0.59742993039134795</c:v>
                </c:pt>
                <c:pt idx="23">
                  <c:v>2.7111251289106515</c:v>
                </c:pt>
                <c:pt idx="24">
                  <c:v>-0.37778193388844866</c:v>
                </c:pt>
                <c:pt idx="25">
                  <c:v>2.3464425028746434</c:v>
                </c:pt>
                <c:pt idx="26">
                  <c:v>1.0878921263294905</c:v>
                </c:pt>
                <c:pt idx="27">
                  <c:v>-3.4815736240449824</c:v>
                </c:pt>
                <c:pt idx="28">
                  <c:v>-1.51974404809112</c:v>
                </c:pt>
                <c:pt idx="29">
                  <c:v>4.6936962531919217</c:v>
                </c:pt>
                <c:pt idx="30">
                  <c:v>-1.3972867833349139</c:v>
                </c:pt>
                <c:pt idx="31">
                  <c:v>-4.0964065690907852</c:v>
                </c:pt>
                <c:pt idx="32">
                  <c:v>0.64370833911677861</c:v>
                </c:pt>
                <c:pt idx="33">
                  <c:v>-2.2025480888886118</c:v>
                </c:pt>
                <c:pt idx="34">
                  <c:v>-0.60782370714984946</c:v>
                </c:pt>
                <c:pt idx="35">
                  <c:v>-3.1631264480133292</c:v>
                </c:pt>
                <c:pt idx="36">
                  <c:v>-0.99205748672860494</c:v>
                </c:pt>
                <c:pt idx="37">
                  <c:v>-0.90367069485581331</c:v>
                </c:pt>
                <c:pt idx="38">
                  <c:v>-0.89587156159507364</c:v>
                </c:pt>
                <c:pt idx="39">
                  <c:v>0.38062986688805772</c:v>
                </c:pt>
                <c:pt idx="40">
                  <c:v>-0.52023459528248395</c:v>
                </c:pt>
                <c:pt idx="41">
                  <c:v>-0.62770095835187356</c:v>
                </c:pt>
                <c:pt idx="42">
                  <c:v>4.0970986605521169</c:v>
                </c:pt>
                <c:pt idx="43">
                  <c:v>1.3342906656277007</c:v>
                </c:pt>
                <c:pt idx="44">
                  <c:v>-0.3499012974209737</c:v>
                </c:pt>
                <c:pt idx="45">
                  <c:v>-1.3957590654983056</c:v>
                </c:pt>
                <c:pt idx="46">
                  <c:v>0.8196493625719522</c:v>
                </c:pt>
                <c:pt idx="47">
                  <c:v>8.669262575212569E-3</c:v>
                </c:pt>
                <c:pt idx="48">
                  <c:v>-0.20514189747160963</c:v>
                </c:pt>
                <c:pt idx="49">
                  <c:v>-1.0998488587129933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F7-48D4-A8FB-0B583A45E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8390816"/>
        <c:axId val="388391992"/>
      </c:scatterChart>
      <c:valAx>
        <c:axId val="388390816"/>
        <c:scaling>
          <c:orientation val="minMax"/>
          <c:max val="50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ru-RU"/>
          </a:p>
        </c:txPr>
        <c:crossAx val="388391992"/>
        <c:crossesAt val="0"/>
        <c:crossBetween val="midCat"/>
      </c:valAx>
      <c:valAx>
        <c:axId val="388391992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ru-RU"/>
          </a:p>
        </c:txPr>
        <c:crossAx val="388390816"/>
        <c:crosses val="autoZero"/>
        <c:crossBetween val="midCat"/>
      </c:valAx>
      <c:spPr>
        <a:noFill/>
        <a:ln w="0">
          <a:solidFill>
            <a:srgbClr val="B3B3B3"/>
          </a:solidFill>
        </a:ln>
      </c:spPr>
    </c:plotArea>
    <c:plotVisOnly val="1"/>
    <c:dispBlanksAs val="span"/>
    <c:showDLblsOverMax val="1"/>
  </c:chart>
  <c:spPr>
    <a:solidFill>
      <a:srgbClr val="FFFFFF"/>
    </a:solidFill>
    <a:ln w="0"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c:style val="2"/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Sheet2!$H$5</c:f>
              <c:strCache>
                <c:ptCount val="1"/>
                <c:pt idx="0">
                  <c:v>s</c:v>
                </c:pt>
              </c:strCache>
            </c:strRef>
          </c:tx>
          <c:spPr>
            <a:ln w="28800">
              <a:solidFill>
                <a:srgbClr val="004586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ru-RU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Sheet2!$D$6:$D$69</c:f>
              <c:numCache>
                <c:formatCode>0.000000</c:formatCode>
                <c:ptCount val="64"/>
                <c:pt idx="0">
                  <c:v>0</c:v>
                </c:pt>
                <c:pt idx="1">
                  <c:v>5.8995366692543029E-5</c:v>
                </c:pt>
                <c:pt idx="2">
                  <c:v>1.0522220075130463E-4</c:v>
                </c:pt>
                <c:pt idx="3">
                  <c:v>1.5080260634422302E-4</c:v>
                </c:pt>
                <c:pt idx="4">
                  <c:v>2.0830337643623352E-4</c:v>
                </c:pt>
                <c:pt idx="5">
                  <c:v>2.5072481572628022E-4</c:v>
                </c:pt>
                <c:pt idx="6">
                  <c:v>3.0446395933628081E-4</c:v>
                </c:pt>
                <c:pt idx="7">
                  <c:v>3.7163585424423214E-4</c:v>
                </c:pt>
                <c:pt idx="8">
                  <c:v>4.1947690248489379E-4</c:v>
                </c:pt>
                <c:pt idx="9">
                  <c:v>4.8303326904773711E-4</c:v>
                </c:pt>
                <c:pt idx="10">
                  <c:v>5.3440034568309779E-4</c:v>
                </c:pt>
                <c:pt idx="11">
                  <c:v>5.8309029698371884E-4</c:v>
                </c:pt>
                <c:pt idx="12">
                  <c:v>6.5067160964012139E-4</c:v>
                </c:pt>
                <c:pt idx="13">
                  <c:v>7.0962388217449181E-4</c:v>
                </c:pt>
                <c:pt idx="14">
                  <c:v>7.6845314323902123E-4</c:v>
                </c:pt>
                <c:pt idx="15">
                  <c:v>8.2130683422088611E-4</c:v>
                </c:pt>
                <c:pt idx="16">
                  <c:v>8.6424604892730702E-4</c:v>
                </c:pt>
                <c:pt idx="17">
                  <c:v>9.2107725203037256E-4</c:v>
                </c:pt>
                <c:pt idx="18">
                  <c:v>9.8191181123256682E-4</c:v>
                </c:pt>
                <c:pt idx="19">
                  <c:v>1.0493233382701875E-3</c:v>
                </c:pt>
                <c:pt idx="20">
                  <c:v>1.1143678534030915E-3</c:v>
                </c:pt>
                <c:pt idx="21">
                  <c:v>1.1550467294454574E-3</c:v>
                </c:pt>
                <c:pt idx="22">
                  <c:v>1.2113475471735001E-3</c:v>
                </c:pt>
                <c:pt idx="23">
                  <c:v>1.2788324666023255E-3</c:v>
                </c:pt>
                <c:pt idx="24">
                  <c:v>1.3317403006553651E-3</c:v>
                </c:pt>
                <c:pt idx="25">
                  <c:v>1.3920787316560746E-3</c:v>
                </c:pt>
                <c:pt idx="26">
                  <c:v>1.4471523493528368E-3</c:v>
                </c:pt>
                <c:pt idx="27">
                  <c:v>1.5025644743442536E-3</c:v>
                </c:pt>
                <c:pt idx="28">
                  <c:v>1.5564538753032684E-3</c:v>
                </c:pt>
                <c:pt idx="29">
                  <c:v>1.6070580548048019E-3</c:v>
                </c:pt>
                <c:pt idx="30">
                  <c:v>1.6592030793428421E-3</c:v>
                </c:pt>
                <c:pt idx="31">
                  <c:v>1.7072950267791747E-3</c:v>
                </c:pt>
                <c:pt idx="32">
                  <c:v>1.7489628314971922E-3</c:v>
                </c:pt>
                <c:pt idx="33">
                  <c:v>1.7962781864404678E-3</c:v>
                </c:pt>
                <c:pt idx="34">
                  <c:v>1.8656505244970321E-3</c:v>
                </c:pt>
                <c:pt idx="35">
                  <c:v>1.9074780118465424E-3</c:v>
                </c:pt>
                <c:pt idx="36">
                  <c:v>1.9591867554187774E-3</c:v>
                </c:pt>
                <c:pt idx="37">
                  <c:v>2.0101366180181502E-3</c:v>
                </c:pt>
                <c:pt idx="38">
                  <c:v>2.0648334604501722E-3</c:v>
                </c:pt>
                <c:pt idx="39">
                  <c:v>2.1095033526420592E-3</c:v>
                </c:pt>
                <c:pt idx="40">
                  <c:v>2.1637371277809141E-3</c:v>
                </c:pt>
                <c:pt idx="41">
                  <c:v>2.2114551573991772E-3</c:v>
                </c:pt>
                <c:pt idx="42">
                  <c:v>2.2703177136182782E-3</c:v>
                </c:pt>
                <c:pt idx="43">
                  <c:v>2.3265798199176785E-3</c:v>
                </c:pt>
                <c:pt idx="44">
                  <c:v>2.3712688863277431E-3</c:v>
                </c:pt>
                <c:pt idx="45">
                  <c:v>2.4394252413511273E-3</c:v>
                </c:pt>
                <c:pt idx="46">
                  <c:v>2.4990602236986156E-3</c:v>
                </c:pt>
                <c:pt idx="47">
                  <c:v>2.5542428445816034E-3</c:v>
                </c:pt>
                <c:pt idx="48">
                  <c:v>2.605956988334655E-3</c:v>
                </c:pt>
                <c:pt idx="49">
                  <c:v>2.6491782480478278E-3</c:v>
                </c:pt>
                <c:pt idx="50">
                  <c:v>2.7126981061696997E-3</c:v>
                </c:pt>
                <c:pt idx="51">
                  <c:v>2.7664873301982869E-3</c:v>
                </c:pt>
                <c:pt idx="52">
                  <c:v>2.8290979731082906E-3</c:v>
                </c:pt>
                <c:pt idx="53">
                  <c:v>2.8869808095693577E-3</c:v>
                </c:pt>
                <c:pt idx="54">
                  <c:v>2.9519627147912967E-3</c:v>
                </c:pt>
                <c:pt idx="55">
                  <c:v>2.9925254654884327E-3</c:v>
                </c:pt>
                <c:pt idx="56">
                  <c:v>3.0388365244865406E-3</c:v>
                </c:pt>
                <c:pt idx="57">
                  <c:v>3.0810551244020452E-3</c:v>
                </c:pt>
                <c:pt idx="58">
                  <c:v>3.1242187041044226E-3</c:v>
                </c:pt>
                <c:pt idx="59">
                  <c:v>3.1741695368289937E-3</c:v>
                </c:pt>
                <c:pt idx="60">
                  <c:v>3.2180170333385456E-3</c:v>
                </c:pt>
                <c:pt idx="61">
                  <c:v>3.2580242699384678E-3</c:v>
                </c:pt>
                <c:pt idx="62">
                  <c:v>3.3141280919313418E-3</c:v>
                </c:pt>
                <c:pt idx="63">
                  <c:v>3.3738397407531728E-3</c:v>
                </c:pt>
              </c:numCache>
            </c:numRef>
          </c:cat>
          <c:val>
            <c:numRef>
              <c:f>Sheet2!$H$6:$H$69</c:f>
              <c:numCache>
                <c:formatCode>General</c:formatCode>
                <c:ptCount val="64"/>
                <c:pt idx="0">
                  <c:v>0.70710678118654757</c:v>
                </c:pt>
                <c:pt idx="1">
                  <c:v>0.69987810546846385</c:v>
                </c:pt>
                <c:pt idx="2">
                  <c:v>0.69031401277733062</c:v>
                </c:pt>
                <c:pt idx="3">
                  <c:v>0.68078881158743076</c:v>
                </c:pt>
                <c:pt idx="4">
                  <c:v>0.67185487292812807</c:v>
                </c:pt>
                <c:pt idx="5">
                  <c:v>0.65880376983927846</c:v>
                </c:pt>
                <c:pt idx="6">
                  <c:v>0.64660323766334771</c:v>
                </c:pt>
                <c:pt idx="7">
                  <c:v>0.63485555243925329</c:v>
                </c:pt>
                <c:pt idx="8">
                  <c:v>0.62460047014938236</c:v>
                </c:pt>
                <c:pt idx="9">
                  <c:v>0.61234934062438451</c:v>
                </c:pt>
                <c:pt idx="10">
                  <c:v>0.60270441150467147</c:v>
                </c:pt>
                <c:pt idx="11">
                  <c:v>0.59248834289935715</c:v>
                </c:pt>
                <c:pt idx="12">
                  <c:v>0.58170474174687148</c:v>
                </c:pt>
                <c:pt idx="13">
                  <c:v>0.56764701131819806</c:v>
                </c:pt>
                <c:pt idx="14">
                  <c:v>0.55858210642606054</c:v>
                </c:pt>
                <c:pt idx="15">
                  <c:v>0.54614211813653235</c:v>
                </c:pt>
                <c:pt idx="16">
                  <c:v>0.53548019434677041</c:v>
                </c:pt>
                <c:pt idx="17">
                  <c:v>0.52629359207960569</c:v>
                </c:pt>
                <c:pt idx="18">
                  <c:v>0.51652248256744404</c:v>
                </c:pt>
                <c:pt idx="19">
                  <c:v>0.50738367793279293</c:v>
                </c:pt>
                <c:pt idx="20">
                  <c:v>0.49586434420912029</c:v>
                </c:pt>
                <c:pt idx="21">
                  <c:v>0.48077999797707255</c:v>
                </c:pt>
                <c:pt idx="22">
                  <c:v>0.46833390066126612</c:v>
                </c:pt>
                <c:pt idx="23">
                  <c:v>0.45611393853304977</c:v>
                </c:pt>
                <c:pt idx="24">
                  <c:v>0.44057083496376648</c:v>
                </c:pt>
                <c:pt idx="25">
                  <c:v>0.43004189275711302</c:v>
                </c:pt>
                <c:pt idx="26">
                  <c:v>0.41835055053389208</c:v>
                </c:pt>
                <c:pt idx="27">
                  <c:v>0.40647338204606981</c:v>
                </c:pt>
                <c:pt idx="28">
                  <c:v>0.39531915391251965</c:v>
                </c:pt>
                <c:pt idx="29">
                  <c:v>0.38256126812681157</c:v>
                </c:pt>
                <c:pt idx="30">
                  <c:v>0.3722831096717687</c:v>
                </c:pt>
                <c:pt idx="31">
                  <c:v>0.35929713771237132</c:v>
                </c:pt>
                <c:pt idx="32">
                  <c:v>0.34306957121483472</c:v>
                </c:pt>
                <c:pt idx="33">
                  <c:v>0.32964383633928074</c:v>
                </c:pt>
                <c:pt idx="34">
                  <c:v>0.31363422790970058</c:v>
                </c:pt>
                <c:pt idx="35">
                  <c:v>0.29934802616747702</c:v>
                </c:pt>
                <c:pt idx="36">
                  <c:v>0.28655610186855618</c:v>
                </c:pt>
                <c:pt idx="37">
                  <c:v>0.27188578831876631</c:v>
                </c:pt>
                <c:pt idx="38">
                  <c:v>0.26172854988722938</c:v>
                </c:pt>
                <c:pt idx="39">
                  <c:v>0.24649195735544463</c:v>
                </c:pt>
                <c:pt idx="40">
                  <c:v>0.23160186745071681</c:v>
                </c:pt>
                <c:pt idx="41">
                  <c:v>0.21815455264100309</c:v>
                </c:pt>
                <c:pt idx="42">
                  <c:v>0.20718634900767269</c:v>
                </c:pt>
                <c:pt idx="43">
                  <c:v>0.19568703838724757</c:v>
                </c:pt>
                <c:pt idx="44">
                  <c:v>0.18340178196789508</c:v>
                </c:pt>
                <c:pt idx="45">
                  <c:v>0.16768191519048509</c:v>
                </c:pt>
                <c:pt idx="46">
                  <c:v>0.15738861450928573</c:v>
                </c:pt>
                <c:pt idx="47">
                  <c:v>0.14358885699102225</c:v>
                </c:pt>
                <c:pt idx="48">
                  <c:v>0.12797402822486734</c:v>
                </c:pt>
                <c:pt idx="49">
                  <c:v>0.11200044645465047</c:v>
                </c:pt>
                <c:pt idx="50">
                  <c:v>9.9565605549727806E-2</c:v>
                </c:pt>
                <c:pt idx="51">
                  <c:v>8.225052433038646E-2</c:v>
                </c:pt>
                <c:pt idx="52">
                  <c:v>6.6178019011337019E-2</c:v>
                </c:pt>
                <c:pt idx="53">
                  <c:v>5.106303726548083E-2</c:v>
                </c:pt>
                <c:pt idx="54">
                  <c:v>3.4200972160273076E-2</c:v>
                </c:pt>
                <c:pt idx="55">
                  <c:v>1.7550422315834317E-2</c:v>
                </c:pt>
                <c:pt idx="56">
                  <c:v>4.3567583036277857E-3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8F9-4100-8C29-842AC9D1EF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smooth val="0"/>
        <c:axId val="388392384"/>
        <c:axId val="388389248"/>
      </c:lineChart>
      <c:catAx>
        <c:axId val="388392384"/>
        <c:scaling>
          <c:orientation val="minMax"/>
        </c:scaling>
        <c:delete val="0"/>
        <c:axPos val="b"/>
        <c:numFmt formatCode="#,##0.00_р_.;\-#,##0.00_р_.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ru-RU"/>
          </a:p>
        </c:txPr>
        <c:crossAx val="388389248"/>
        <c:crossesAt val="0"/>
        <c:auto val="1"/>
        <c:lblAlgn val="ctr"/>
        <c:lblOffset val="100"/>
        <c:noMultiLvlLbl val="0"/>
      </c:catAx>
      <c:valAx>
        <c:axId val="388389248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ru-RU"/>
          </a:p>
        </c:txPr>
        <c:crossAx val="388392384"/>
        <c:crosses val="autoZero"/>
        <c:crossBetween val="midCat"/>
      </c:valAx>
      <c:spPr>
        <a:noFill/>
        <a:ln w="0">
          <a:solidFill>
            <a:srgbClr val="B3B3B3"/>
          </a:solidFill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latin typeface="Arial"/>
            </a:defRPr>
          </a:pPr>
          <a:endParaRPr lang="ru-RU"/>
        </a:p>
      </c:txPr>
    </c:legend>
    <c:plotVisOnly val="1"/>
    <c:dispBlanksAs val="gap"/>
    <c:showDLblsOverMax val="1"/>
  </c:chart>
  <c:spPr>
    <a:solidFill>
      <a:srgbClr val="FFFFFF"/>
    </a:solidFill>
    <a:ln w="0"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y1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Sheet2!$D$6:$D$69</c:f>
              <c:numCache>
                <c:formatCode>0.000000</c:formatCode>
                <c:ptCount val="64"/>
                <c:pt idx="0">
                  <c:v>0</c:v>
                </c:pt>
                <c:pt idx="1">
                  <c:v>5.8995366692543029E-5</c:v>
                </c:pt>
                <c:pt idx="2">
                  <c:v>1.0522220075130463E-4</c:v>
                </c:pt>
                <c:pt idx="3">
                  <c:v>1.5080260634422302E-4</c:v>
                </c:pt>
                <c:pt idx="4">
                  <c:v>2.0830337643623352E-4</c:v>
                </c:pt>
                <c:pt idx="5">
                  <c:v>2.5072481572628022E-4</c:v>
                </c:pt>
                <c:pt idx="6">
                  <c:v>3.0446395933628081E-4</c:v>
                </c:pt>
                <c:pt idx="7">
                  <c:v>3.7163585424423214E-4</c:v>
                </c:pt>
                <c:pt idx="8">
                  <c:v>4.1947690248489379E-4</c:v>
                </c:pt>
                <c:pt idx="9">
                  <c:v>4.8303326904773711E-4</c:v>
                </c:pt>
                <c:pt idx="10">
                  <c:v>5.3440034568309779E-4</c:v>
                </c:pt>
                <c:pt idx="11">
                  <c:v>5.8309029698371884E-4</c:v>
                </c:pt>
                <c:pt idx="12">
                  <c:v>6.5067160964012139E-4</c:v>
                </c:pt>
                <c:pt idx="13">
                  <c:v>7.0962388217449181E-4</c:v>
                </c:pt>
                <c:pt idx="14">
                  <c:v>7.6845314323902123E-4</c:v>
                </c:pt>
                <c:pt idx="15">
                  <c:v>8.2130683422088611E-4</c:v>
                </c:pt>
                <c:pt idx="16">
                  <c:v>8.6424604892730702E-4</c:v>
                </c:pt>
                <c:pt idx="17">
                  <c:v>9.2107725203037256E-4</c:v>
                </c:pt>
                <c:pt idx="18">
                  <c:v>9.8191181123256682E-4</c:v>
                </c:pt>
                <c:pt idx="19">
                  <c:v>1.0493233382701875E-3</c:v>
                </c:pt>
                <c:pt idx="20">
                  <c:v>1.1143678534030915E-3</c:v>
                </c:pt>
                <c:pt idx="21">
                  <c:v>1.1550467294454574E-3</c:v>
                </c:pt>
                <c:pt idx="22">
                  <c:v>1.2113475471735001E-3</c:v>
                </c:pt>
                <c:pt idx="23">
                  <c:v>1.2788324666023255E-3</c:v>
                </c:pt>
                <c:pt idx="24">
                  <c:v>1.3317403006553651E-3</c:v>
                </c:pt>
                <c:pt idx="25">
                  <c:v>1.3920787316560746E-3</c:v>
                </c:pt>
                <c:pt idx="26">
                  <c:v>1.4471523493528368E-3</c:v>
                </c:pt>
                <c:pt idx="27">
                  <c:v>1.5025644743442536E-3</c:v>
                </c:pt>
                <c:pt idx="28">
                  <c:v>1.5564538753032684E-3</c:v>
                </c:pt>
                <c:pt idx="29">
                  <c:v>1.6070580548048019E-3</c:v>
                </c:pt>
                <c:pt idx="30">
                  <c:v>1.6592030793428421E-3</c:v>
                </c:pt>
                <c:pt idx="31">
                  <c:v>1.7072950267791747E-3</c:v>
                </c:pt>
                <c:pt idx="32">
                  <c:v>1.7489628314971922E-3</c:v>
                </c:pt>
                <c:pt idx="33">
                  <c:v>1.7962781864404678E-3</c:v>
                </c:pt>
                <c:pt idx="34">
                  <c:v>1.8656505244970321E-3</c:v>
                </c:pt>
                <c:pt idx="35">
                  <c:v>1.9074780118465424E-3</c:v>
                </c:pt>
                <c:pt idx="36">
                  <c:v>1.9591867554187774E-3</c:v>
                </c:pt>
                <c:pt idx="37">
                  <c:v>2.0101366180181502E-3</c:v>
                </c:pt>
                <c:pt idx="38">
                  <c:v>2.0648334604501722E-3</c:v>
                </c:pt>
                <c:pt idx="39">
                  <c:v>2.1095033526420592E-3</c:v>
                </c:pt>
                <c:pt idx="40">
                  <c:v>2.1637371277809141E-3</c:v>
                </c:pt>
                <c:pt idx="41">
                  <c:v>2.2114551573991772E-3</c:v>
                </c:pt>
                <c:pt idx="42">
                  <c:v>2.2703177136182782E-3</c:v>
                </c:pt>
                <c:pt idx="43">
                  <c:v>2.3265798199176785E-3</c:v>
                </c:pt>
                <c:pt idx="44">
                  <c:v>2.3712688863277431E-3</c:v>
                </c:pt>
                <c:pt idx="45">
                  <c:v>2.4394252413511273E-3</c:v>
                </c:pt>
                <c:pt idx="46">
                  <c:v>2.4990602236986156E-3</c:v>
                </c:pt>
                <c:pt idx="47">
                  <c:v>2.5542428445816034E-3</c:v>
                </c:pt>
                <c:pt idx="48">
                  <c:v>2.605956988334655E-3</c:v>
                </c:pt>
                <c:pt idx="49">
                  <c:v>2.6491782480478278E-3</c:v>
                </c:pt>
                <c:pt idx="50">
                  <c:v>2.7126981061696997E-3</c:v>
                </c:pt>
                <c:pt idx="51">
                  <c:v>2.7664873301982869E-3</c:v>
                </c:pt>
                <c:pt idx="52">
                  <c:v>2.8290979731082906E-3</c:v>
                </c:pt>
                <c:pt idx="53">
                  <c:v>2.8869808095693577E-3</c:v>
                </c:pt>
                <c:pt idx="54">
                  <c:v>2.9519627147912967E-3</c:v>
                </c:pt>
                <c:pt idx="55">
                  <c:v>2.9925254654884327E-3</c:v>
                </c:pt>
                <c:pt idx="56">
                  <c:v>3.0388365244865406E-3</c:v>
                </c:pt>
                <c:pt idx="57">
                  <c:v>3.0810551244020452E-3</c:v>
                </c:pt>
                <c:pt idx="58">
                  <c:v>3.1242187041044226E-3</c:v>
                </c:pt>
                <c:pt idx="59">
                  <c:v>3.1741695368289937E-3</c:v>
                </c:pt>
                <c:pt idx="60">
                  <c:v>3.2180170333385456E-3</c:v>
                </c:pt>
                <c:pt idx="61">
                  <c:v>3.2580242699384678E-3</c:v>
                </c:pt>
                <c:pt idx="62">
                  <c:v>3.3141280919313418E-3</c:v>
                </c:pt>
                <c:pt idx="63">
                  <c:v>3.3738397407531728E-3</c:v>
                </c:pt>
              </c:numCache>
            </c:numRef>
          </c:xVal>
          <c:yVal>
            <c:numRef>
              <c:f>Sheet2!$L$6:$L$69</c:f>
              <c:numCache>
                <c:formatCode>General</c:formatCode>
                <c:ptCount val="64"/>
                <c:pt idx="0">
                  <c:v>1.0100401396441994</c:v>
                </c:pt>
                <c:pt idx="1">
                  <c:v>-0.93994927550789498</c:v>
                </c:pt>
                <c:pt idx="2">
                  <c:v>1.6719352879123839</c:v>
                </c:pt>
                <c:pt idx="3">
                  <c:v>-1.1885527538333482</c:v>
                </c:pt>
                <c:pt idx="4">
                  <c:v>0.59641002819829858</c:v>
                </c:pt>
                <c:pt idx="5">
                  <c:v>-1.5347921399453441</c:v>
                </c:pt>
                <c:pt idx="6">
                  <c:v>0.9670427324586881</c:v>
                </c:pt>
                <c:pt idx="7">
                  <c:v>1.7849188421702524</c:v>
                </c:pt>
                <c:pt idx="8">
                  <c:v>1.4662924508251183</c:v>
                </c:pt>
                <c:pt idx="9">
                  <c:v>1.5142282961297198</c:v>
                </c:pt>
                <c:pt idx="10">
                  <c:v>0.82589384031772706</c:v>
                </c:pt>
                <c:pt idx="11">
                  <c:v>1.849354714059106</c:v>
                </c:pt>
                <c:pt idx="12">
                  <c:v>5.7443616308908152E-2</c:v>
                </c:pt>
                <c:pt idx="13">
                  <c:v>-0.86150880232052196</c:v>
                </c:pt>
                <c:pt idx="14">
                  <c:v>1.4421783359554694</c:v>
                </c:pt>
                <c:pt idx="15">
                  <c:v>2.9132123175335427</c:v>
                </c:pt>
                <c:pt idx="16">
                  <c:v>1.1939862071724927</c:v>
                </c:pt>
                <c:pt idx="17">
                  <c:v>0.73428523382241773</c:v>
                </c:pt>
                <c:pt idx="18">
                  <c:v>1.9077755657071536</c:v>
                </c:pt>
                <c:pt idx="19">
                  <c:v>0.77408207548751418</c:v>
                </c:pt>
                <c:pt idx="20">
                  <c:v>-0.85024704720499744</c:v>
                </c:pt>
                <c:pt idx="21">
                  <c:v>-0.55611804508134211</c:v>
                </c:pt>
                <c:pt idx="22">
                  <c:v>0.79999409277488065</c:v>
                </c:pt>
                <c:pt idx="23">
                  <c:v>0.9837648577728958</c:v>
                </c:pt>
                <c:pt idx="24">
                  <c:v>0.94345705251471801</c:v>
                </c:pt>
                <c:pt idx="25">
                  <c:v>0.60848565803344301</c:v>
                </c:pt>
                <c:pt idx="26">
                  <c:v>0.13240861127080822</c:v>
                </c:pt>
                <c:pt idx="27">
                  <c:v>1.5650363965877354</c:v>
                </c:pt>
                <c:pt idx="28">
                  <c:v>1.57178710262601</c:v>
                </c:pt>
                <c:pt idx="29">
                  <c:v>0.44892445829017169</c:v>
                </c:pt>
                <c:pt idx="30">
                  <c:v>2.5526656038504334</c:v>
                </c:pt>
                <c:pt idx="31">
                  <c:v>-0.17309944159553903</c:v>
                </c:pt>
                <c:pt idx="32">
                  <c:v>0.94554047111816675</c:v>
                </c:pt>
                <c:pt idx="33">
                  <c:v>-0.19942008011393431</c:v>
                </c:pt>
                <c:pt idx="34">
                  <c:v>-0.58109096508572544</c:v>
                </c:pt>
                <c:pt idx="35">
                  <c:v>0.35221260667396054</c:v>
                </c:pt>
                <c:pt idx="36">
                  <c:v>0.88966782466019234</c:v>
                </c:pt>
                <c:pt idx="37">
                  <c:v>1.02953049153684</c:v>
                </c:pt>
                <c:pt idx="38">
                  <c:v>-0.1059544693996477</c:v>
                </c:pt>
                <c:pt idx="39">
                  <c:v>7.0935457158819465E-2</c:v>
                </c:pt>
                <c:pt idx="40">
                  <c:v>0.14266331441869939</c:v>
                </c:pt>
                <c:pt idx="41">
                  <c:v>-0.96532905567201022</c:v>
                </c:pt>
                <c:pt idx="42">
                  <c:v>-0.89266409780935241</c:v>
                </c:pt>
                <c:pt idx="43">
                  <c:v>0.53725019852753886</c:v>
                </c:pt>
                <c:pt idx="44">
                  <c:v>1.6549279584680228</c:v>
                </c:pt>
                <c:pt idx="45">
                  <c:v>-0.20853624627379988</c:v>
                </c:pt>
                <c:pt idx="46">
                  <c:v>-0.73658332958734496</c:v>
                </c:pt>
                <c:pt idx="47">
                  <c:v>-0.8731472208760539</c:v>
                </c:pt>
                <c:pt idx="48">
                  <c:v>1.2475017892191325</c:v>
                </c:pt>
                <c:pt idx="49">
                  <c:v>-0.76599125658952083</c:v>
                </c:pt>
                <c:pt idx="50">
                  <c:v>-0.87515310297244597</c:v>
                </c:pt>
                <c:pt idx="51">
                  <c:v>-1.7023041180572285</c:v>
                </c:pt>
                <c:pt idx="52">
                  <c:v>-0.41488063431641198</c:v>
                </c:pt>
                <c:pt idx="53">
                  <c:v>0.92674694216889308</c:v>
                </c:pt>
                <c:pt idx="54">
                  <c:v>0.50027730414692317</c:v>
                </c:pt>
                <c:pt idx="55">
                  <c:v>0.86915346482916489</c:v>
                </c:pt>
                <c:pt idx="56">
                  <c:v>1.8522585324496006</c:v>
                </c:pt>
                <c:pt idx="57">
                  <c:v>-2.4033446683835495</c:v>
                </c:pt>
                <c:pt idx="58">
                  <c:v>-0.41945143039892813</c:v>
                </c:pt>
                <c:pt idx="59">
                  <c:v>0.34933320275411994</c:v>
                </c:pt>
                <c:pt idx="60">
                  <c:v>-0.76484475614039493</c:v>
                </c:pt>
                <c:pt idx="61">
                  <c:v>-0.77554296304624737</c:v>
                </c:pt>
                <c:pt idx="62">
                  <c:v>0.40431559621919849</c:v>
                </c:pt>
                <c:pt idx="63">
                  <c:v>-0.92808834277522911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D2-48C9-86BC-278BEE7BA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8387680"/>
        <c:axId val="388388072"/>
      </c:scatterChart>
      <c:valAx>
        <c:axId val="388387680"/>
        <c:scaling>
          <c:orientation val="minMax"/>
          <c:max val="3.700000000000001E-3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8388072"/>
        <c:crosses val="autoZero"/>
        <c:crossBetween val="midCat"/>
      </c:valAx>
      <c:valAx>
        <c:axId val="388388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8387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n1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Sheet2!$D$6:$D$69</c:f>
              <c:numCache>
                <c:formatCode>0.000000</c:formatCode>
                <c:ptCount val="64"/>
                <c:pt idx="0">
                  <c:v>0</c:v>
                </c:pt>
                <c:pt idx="1">
                  <c:v>5.8995366692543029E-5</c:v>
                </c:pt>
                <c:pt idx="2">
                  <c:v>1.0522220075130463E-4</c:v>
                </c:pt>
                <c:pt idx="3">
                  <c:v>1.5080260634422302E-4</c:v>
                </c:pt>
                <c:pt idx="4">
                  <c:v>2.0830337643623352E-4</c:v>
                </c:pt>
                <c:pt idx="5">
                  <c:v>2.5072481572628022E-4</c:v>
                </c:pt>
                <c:pt idx="6">
                  <c:v>3.0446395933628081E-4</c:v>
                </c:pt>
                <c:pt idx="7">
                  <c:v>3.7163585424423214E-4</c:v>
                </c:pt>
                <c:pt idx="8">
                  <c:v>4.1947690248489379E-4</c:v>
                </c:pt>
                <c:pt idx="9">
                  <c:v>4.8303326904773711E-4</c:v>
                </c:pt>
                <c:pt idx="10">
                  <c:v>5.3440034568309779E-4</c:v>
                </c:pt>
                <c:pt idx="11">
                  <c:v>5.8309029698371884E-4</c:v>
                </c:pt>
                <c:pt idx="12">
                  <c:v>6.5067160964012139E-4</c:v>
                </c:pt>
                <c:pt idx="13">
                  <c:v>7.0962388217449181E-4</c:v>
                </c:pt>
                <c:pt idx="14">
                  <c:v>7.6845314323902123E-4</c:v>
                </c:pt>
                <c:pt idx="15">
                  <c:v>8.2130683422088611E-4</c:v>
                </c:pt>
                <c:pt idx="16">
                  <c:v>8.6424604892730702E-4</c:v>
                </c:pt>
                <c:pt idx="17">
                  <c:v>9.2107725203037256E-4</c:v>
                </c:pt>
                <c:pt idx="18">
                  <c:v>9.8191181123256682E-4</c:v>
                </c:pt>
                <c:pt idx="19">
                  <c:v>1.0493233382701875E-3</c:v>
                </c:pt>
                <c:pt idx="20">
                  <c:v>1.1143678534030915E-3</c:v>
                </c:pt>
                <c:pt idx="21">
                  <c:v>1.1550467294454574E-3</c:v>
                </c:pt>
                <c:pt idx="22">
                  <c:v>1.2113475471735001E-3</c:v>
                </c:pt>
                <c:pt idx="23">
                  <c:v>1.2788324666023255E-3</c:v>
                </c:pt>
                <c:pt idx="24">
                  <c:v>1.3317403006553651E-3</c:v>
                </c:pt>
                <c:pt idx="25">
                  <c:v>1.3920787316560746E-3</c:v>
                </c:pt>
                <c:pt idx="26">
                  <c:v>1.4471523493528368E-3</c:v>
                </c:pt>
                <c:pt idx="27">
                  <c:v>1.5025644743442536E-3</c:v>
                </c:pt>
                <c:pt idx="28">
                  <c:v>1.5564538753032684E-3</c:v>
                </c:pt>
                <c:pt idx="29">
                  <c:v>1.6070580548048019E-3</c:v>
                </c:pt>
                <c:pt idx="30">
                  <c:v>1.6592030793428421E-3</c:v>
                </c:pt>
                <c:pt idx="31">
                  <c:v>1.7072950267791747E-3</c:v>
                </c:pt>
                <c:pt idx="32">
                  <c:v>1.7489628314971922E-3</c:v>
                </c:pt>
                <c:pt idx="33">
                  <c:v>1.7962781864404678E-3</c:v>
                </c:pt>
                <c:pt idx="34">
                  <c:v>1.8656505244970321E-3</c:v>
                </c:pt>
                <c:pt idx="35">
                  <c:v>1.9074780118465424E-3</c:v>
                </c:pt>
                <c:pt idx="36">
                  <c:v>1.9591867554187774E-3</c:v>
                </c:pt>
                <c:pt idx="37">
                  <c:v>2.0101366180181502E-3</c:v>
                </c:pt>
                <c:pt idx="38">
                  <c:v>2.0648334604501722E-3</c:v>
                </c:pt>
                <c:pt idx="39">
                  <c:v>2.1095033526420592E-3</c:v>
                </c:pt>
                <c:pt idx="40">
                  <c:v>2.1637371277809141E-3</c:v>
                </c:pt>
                <c:pt idx="41">
                  <c:v>2.2114551573991772E-3</c:v>
                </c:pt>
                <c:pt idx="42">
                  <c:v>2.2703177136182782E-3</c:v>
                </c:pt>
                <c:pt idx="43">
                  <c:v>2.3265798199176785E-3</c:v>
                </c:pt>
                <c:pt idx="44">
                  <c:v>2.3712688863277431E-3</c:v>
                </c:pt>
                <c:pt idx="45">
                  <c:v>2.4394252413511273E-3</c:v>
                </c:pt>
                <c:pt idx="46">
                  <c:v>2.4990602236986156E-3</c:v>
                </c:pt>
                <c:pt idx="47">
                  <c:v>2.5542428445816034E-3</c:v>
                </c:pt>
                <c:pt idx="48">
                  <c:v>2.605956988334655E-3</c:v>
                </c:pt>
                <c:pt idx="49">
                  <c:v>2.6491782480478278E-3</c:v>
                </c:pt>
                <c:pt idx="50">
                  <c:v>2.7126981061696997E-3</c:v>
                </c:pt>
                <c:pt idx="51">
                  <c:v>2.7664873301982869E-3</c:v>
                </c:pt>
                <c:pt idx="52">
                  <c:v>2.8290979731082906E-3</c:v>
                </c:pt>
                <c:pt idx="53">
                  <c:v>2.8869808095693577E-3</c:v>
                </c:pt>
                <c:pt idx="54">
                  <c:v>2.9519627147912967E-3</c:v>
                </c:pt>
                <c:pt idx="55">
                  <c:v>2.9925254654884327E-3</c:v>
                </c:pt>
                <c:pt idx="56">
                  <c:v>3.0388365244865406E-3</c:v>
                </c:pt>
                <c:pt idx="57">
                  <c:v>3.0810551244020452E-3</c:v>
                </c:pt>
                <c:pt idx="58">
                  <c:v>3.1242187041044226E-3</c:v>
                </c:pt>
                <c:pt idx="59">
                  <c:v>3.1741695368289937E-3</c:v>
                </c:pt>
                <c:pt idx="60">
                  <c:v>3.2180170333385456E-3</c:v>
                </c:pt>
                <c:pt idx="61">
                  <c:v>3.2580242699384678E-3</c:v>
                </c:pt>
                <c:pt idx="62">
                  <c:v>3.3141280919313418E-3</c:v>
                </c:pt>
                <c:pt idx="63">
                  <c:v>3.3738397407531728E-3</c:v>
                </c:pt>
              </c:numCache>
            </c:numRef>
          </c:xVal>
          <c:yVal>
            <c:numRef>
              <c:f>Sheet2!$K$6:$K$69</c:f>
              <c:numCache>
                <c:formatCode>General</c:formatCode>
                <c:ptCount val="64"/>
                <c:pt idx="0">
                  <c:v>0.3029333584576519</c:v>
                </c:pt>
                <c:pt idx="1">
                  <c:v>-1.6386115168073778</c:v>
                </c:pt>
                <c:pt idx="2">
                  <c:v>0.98289026909630517</c:v>
                </c:pt>
                <c:pt idx="3">
                  <c:v>-1.8684513118328874</c:v>
                </c:pt>
                <c:pt idx="4">
                  <c:v>-7.2494101359175847E-2</c:v>
                </c:pt>
                <c:pt idx="5">
                  <c:v>-2.1937578563243512</c:v>
                </c:pt>
                <c:pt idx="6">
                  <c:v>0.32049965771778643</c:v>
                </c:pt>
                <c:pt idx="7">
                  <c:v>1.1487833678699515</c:v>
                </c:pt>
                <c:pt idx="8">
                  <c:v>0.84057941704968608</c:v>
                </c:pt>
                <c:pt idx="9">
                  <c:v>0.9000863145878647</c:v>
                </c:pt>
                <c:pt idx="10">
                  <c:v>0.22375165237369352</c:v>
                </c:pt>
                <c:pt idx="11">
                  <c:v>1.2613359911728819</c:v>
                </c:pt>
                <c:pt idx="12">
                  <c:v>-0.52218108701082455</c:v>
                </c:pt>
                <c:pt idx="13">
                  <c:v>-1.4295070882403202</c:v>
                </c:pt>
                <c:pt idx="14">
                  <c:v>0.88282003308687773</c:v>
                </c:pt>
                <c:pt idx="15">
                  <c:v>2.366061474038049</c:v>
                </c:pt>
                <c:pt idx="16">
                  <c:v>0.65635498908065426</c:v>
                </c:pt>
                <c:pt idx="17">
                  <c:v>0.20832700616048672</c:v>
                </c:pt>
                <c:pt idx="18">
                  <c:v>1.3932867122664314</c:v>
                </c:pt>
                <c:pt idx="19">
                  <c:v>0.2746894490509118</c:v>
                </c:pt>
                <c:pt idx="20">
                  <c:v>-1.336960478097369</c:v>
                </c:pt>
                <c:pt idx="21">
                  <c:v>-1.0290389164978764</c:v>
                </c:pt>
                <c:pt idx="22">
                  <c:v>0.33786521278195186</c:v>
                </c:pt>
                <c:pt idx="23">
                  <c:v>0.53663077036623397</c:v>
                </c:pt>
                <c:pt idx="24">
                  <c:v>0.51108903227907831</c:v>
                </c:pt>
                <c:pt idx="25">
                  <c:v>0.1874278727695842</c:v>
                </c:pt>
                <c:pt idx="26">
                  <c:v>-0.27355814422205549</c:v>
                </c:pt>
                <c:pt idx="27">
                  <c:v>1.1718248811298981</c:v>
                </c:pt>
                <c:pt idx="28">
                  <c:v>1.1893007466479069</c:v>
                </c:pt>
                <c:pt idx="29">
                  <c:v>8.1951898076903146E-2</c:v>
                </c:pt>
                <c:pt idx="30">
                  <c:v>2.1984942709126769</c:v>
                </c:pt>
                <c:pt idx="31">
                  <c:v>-0.51087551216414684</c:v>
                </c:pt>
                <c:pt idx="32">
                  <c:v>0.61745013011575589</c:v>
                </c:pt>
                <c:pt idx="33">
                  <c:v>-0.51104168532058014</c:v>
                </c:pt>
                <c:pt idx="34">
                  <c:v>-0.87703488121104656</c:v>
                </c:pt>
                <c:pt idx="35">
                  <c:v>6.7957482019563933E-2</c:v>
                </c:pt>
                <c:pt idx="36">
                  <c:v>0.6165546072931124</c:v>
                </c:pt>
                <c:pt idx="37">
                  <c:v>0.76932670176066775</c:v>
                </c:pt>
                <c:pt idx="38">
                  <c:v>-0.35143467800612455</c:v>
                </c:pt>
                <c:pt idx="39">
                  <c:v>-0.16272645570377078</c:v>
                </c:pt>
                <c:pt idx="40">
                  <c:v>-7.4113530644748946E-2</c:v>
                </c:pt>
                <c:pt idx="41">
                  <c:v>-1.1709274958617453</c:v>
                </c:pt>
                <c:pt idx="42">
                  <c:v>-1.083569787399054</c:v>
                </c:pt>
                <c:pt idx="43">
                  <c:v>0.3565911370330867</c:v>
                </c:pt>
                <c:pt idx="44">
                  <c:v>1.4906729357037196</c:v>
                </c:pt>
                <c:pt idx="45">
                  <c:v>-0.36246008431370769</c:v>
                </c:pt>
                <c:pt idx="46">
                  <c:v>-0.87693819283499364</c:v>
                </c:pt>
                <c:pt idx="47">
                  <c:v>-1.0000112673045258</c:v>
                </c:pt>
                <c:pt idx="48">
                  <c:v>1.1314357589361077</c:v>
                </c:pt>
                <c:pt idx="49">
                  <c:v>-0.87132596329634027</c:v>
                </c:pt>
                <c:pt idx="50">
                  <c:v>-0.96774920444755119</c:v>
                </c:pt>
                <c:pt idx="51">
                  <c:v>-1.784480085312901</c:v>
                </c:pt>
                <c:pt idx="52">
                  <c:v>-0.47979113374108229</c:v>
                </c:pt>
                <c:pt idx="53">
                  <c:v>0.87934223313096271</c:v>
                </c:pt>
                <c:pt idx="54">
                  <c:v>0.46724381720695979</c:v>
                </c:pt>
                <c:pt idx="55">
                  <c:v>0.84620737140547564</c:v>
                </c:pt>
                <c:pt idx="56">
                  <c:v>1.844027708121871</c:v>
                </c:pt>
                <c:pt idx="57">
                  <c:v>-2.4033446683835495</c:v>
                </c:pt>
                <c:pt idx="58">
                  <c:v>-0.41945143039892813</c:v>
                </c:pt>
                <c:pt idx="59">
                  <c:v>0.34933320275411994</c:v>
                </c:pt>
                <c:pt idx="60">
                  <c:v>-0.76484475614039493</c:v>
                </c:pt>
                <c:pt idx="61">
                  <c:v>-0.77554296304624737</c:v>
                </c:pt>
                <c:pt idx="62">
                  <c:v>0.40431559621919849</c:v>
                </c:pt>
                <c:pt idx="63">
                  <c:v>-0.92808834277522911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95-449D-9A16-EB33548A3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016688"/>
        <c:axId val="280014728"/>
      </c:scatterChart>
      <c:valAx>
        <c:axId val="280016688"/>
        <c:scaling>
          <c:orientation val="minMax"/>
          <c:max val="3.700000000000001E-3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0014728"/>
        <c:crosses val="autoZero"/>
        <c:crossBetween val="midCat"/>
      </c:valAx>
      <c:valAx>
        <c:axId val="280014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0016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Sheet2!$N$5</c:f>
              <c:strCache>
                <c:ptCount val="1"/>
                <c:pt idx="0">
                  <c:v>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Sheet2!$D$6:$D$70</c:f>
              <c:numCache>
                <c:formatCode>0.000000</c:formatCode>
                <c:ptCount val="65"/>
                <c:pt idx="0">
                  <c:v>0</c:v>
                </c:pt>
                <c:pt idx="1">
                  <c:v>5.8995366692543029E-5</c:v>
                </c:pt>
                <c:pt idx="2">
                  <c:v>1.0522220075130463E-4</c:v>
                </c:pt>
                <c:pt idx="3">
                  <c:v>1.5080260634422302E-4</c:v>
                </c:pt>
                <c:pt idx="4">
                  <c:v>2.0830337643623352E-4</c:v>
                </c:pt>
                <c:pt idx="5">
                  <c:v>2.5072481572628022E-4</c:v>
                </c:pt>
                <c:pt idx="6">
                  <c:v>3.0446395933628081E-4</c:v>
                </c:pt>
                <c:pt idx="7">
                  <c:v>3.7163585424423214E-4</c:v>
                </c:pt>
                <c:pt idx="8">
                  <c:v>4.1947690248489379E-4</c:v>
                </c:pt>
                <c:pt idx="9">
                  <c:v>4.8303326904773711E-4</c:v>
                </c:pt>
                <c:pt idx="10">
                  <c:v>5.3440034568309779E-4</c:v>
                </c:pt>
                <c:pt idx="11">
                  <c:v>5.8309029698371884E-4</c:v>
                </c:pt>
                <c:pt idx="12">
                  <c:v>6.5067160964012139E-4</c:v>
                </c:pt>
                <c:pt idx="13">
                  <c:v>7.0962388217449181E-4</c:v>
                </c:pt>
                <c:pt idx="14">
                  <c:v>7.6845314323902123E-4</c:v>
                </c:pt>
                <c:pt idx="15">
                  <c:v>8.2130683422088611E-4</c:v>
                </c:pt>
                <c:pt idx="16">
                  <c:v>8.6424604892730702E-4</c:v>
                </c:pt>
                <c:pt idx="17">
                  <c:v>9.2107725203037256E-4</c:v>
                </c:pt>
                <c:pt idx="18">
                  <c:v>9.8191181123256682E-4</c:v>
                </c:pt>
                <c:pt idx="19">
                  <c:v>1.0493233382701875E-3</c:v>
                </c:pt>
                <c:pt idx="20">
                  <c:v>1.1143678534030915E-3</c:v>
                </c:pt>
                <c:pt idx="21">
                  <c:v>1.1550467294454574E-3</c:v>
                </c:pt>
                <c:pt idx="22">
                  <c:v>1.2113475471735001E-3</c:v>
                </c:pt>
                <c:pt idx="23">
                  <c:v>1.2788324666023255E-3</c:v>
                </c:pt>
                <c:pt idx="24">
                  <c:v>1.3317403006553651E-3</c:v>
                </c:pt>
                <c:pt idx="25">
                  <c:v>1.3920787316560746E-3</c:v>
                </c:pt>
                <c:pt idx="26">
                  <c:v>1.4471523493528368E-3</c:v>
                </c:pt>
                <c:pt idx="27">
                  <c:v>1.5025644743442536E-3</c:v>
                </c:pt>
                <c:pt idx="28">
                  <c:v>1.5564538753032684E-3</c:v>
                </c:pt>
                <c:pt idx="29">
                  <c:v>1.6070580548048019E-3</c:v>
                </c:pt>
                <c:pt idx="30">
                  <c:v>1.6592030793428421E-3</c:v>
                </c:pt>
                <c:pt idx="31">
                  <c:v>1.7072950267791747E-3</c:v>
                </c:pt>
                <c:pt idx="32">
                  <c:v>1.7489628314971922E-3</c:v>
                </c:pt>
                <c:pt idx="33">
                  <c:v>1.7962781864404678E-3</c:v>
                </c:pt>
                <c:pt idx="34">
                  <c:v>1.8656505244970321E-3</c:v>
                </c:pt>
                <c:pt idx="35">
                  <c:v>1.9074780118465424E-3</c:v>
                </c:pt>
                <c:pt idx="36">
                  <c:v>1.9591867554187774E-3</c:v>
                </c:pt>
                <c:pt idx="37">
                  <c:v>2.0101366180181502E-3</c:v>
                </c:pt>
                <c:pt idx="38">
                  <c:v>2.0648334604501722E-3</c:v>
                </c:pt>
                <c:pt idx="39">
                  <c:v>2.1095033526420592E-3</c:v>
                </c:pt>
                <c:pt idx="40">
                  <c:v>2.1637371277809141E-3</c:v>
                </c:pt>
                <c:pt idx="41">
                  <c:v>2.2114551573991772E-3</c:v>
                </c:pt>
                <c:pt idx="42">
                  <c:v>2.2703177136182782E-3</c:v>
                </c:pt>
                <c:pt idx="43">
                  <c:v>2.3265798199176785E-3</c:v>
                </c:pt>
                <c:pt idx="44">
                  <c:v>2.3712688863277431E-3</c:v>
                </c:pt>
                <c:pt idx="45">
                  <c:v>2.4394252413511273E-3</c:v>
                </c:pt>
                <c:pt idx="46">
                  <c:v>2.4990602236986156E-3</c:v>
                </c:pt>
                <c:pt idx="47">
                  <c:v>2.5542428445816034E-3</c:v>
                </c:pt>
                <c:pt idx="48">
                  <c:v>2.605956988334655E-3</c:v>
                </c:pt>
                <c:pt idx="49">
                  <c:v>2.6491782480478278E-3</c:v>
                </c:pt>
                <c:pt idx="50">
                  <c:v>2.7126981061696997E-3</c:v>
                </c:pt>
                <c:pt idx="51">
                  <c:v>2.7664873301982869E-3</c:v>
                </c:pt>
                <c:pt idx="52">
                  <c:v>2.8290979731082906E-3</c:v>
                </c:pt>
                <c:pt idx="53">
                  <c:v>2.8869808095693577E-3</c:v>
                </c:pt>
                <c:pt idx="54">
                  <c:v>2.9519627147912967E-3</c:v>
                </c:pt>
                <c:pt idx="55">
                  <c:v>2.9925254654884327E-3</c:v>
                </c:pt>
                <c:pt idx="56">
                  <c:v>3.0388365244865406E-3</c:v>
                </c:pt>
                <c:pt idx="57">
                  <c:v>3.0810551244020452E-3</c:v>
                </c:pt>
                <c:pt idx="58">
                  <c:v>3.1242187041044226E-3</c:v>
                </c:pt>
                <c:pt idx="59">
                  <c:v>3.1741695368289937E-3</c:v>
                </c:pt>
                <c:pt idx="60">
                  <c:v>3.2180170333385456E-3</c:v>
                </c:pt>
                <c:pt idx="61">
                  <c:v>3.2580242699384678E-3</c:v>
                </c:pt>
                <c:pt idx="62">
                  <c:v>3.3141280919313418E-3</c:v>
                </c:pt>
                <c:pt idx="63">
                  <c:v>3.3738397407531728E-3</c:v>
                </c:pt>
              </c:numCache>
            </c:numRef>
          </c:xVal>
          <c:yVal>
            <c:numRef>
              <c:f>Sheet2!$N$6:$N$69</c:f>
              <c:numCache>
                <c:formatCode>0.0000</c:formatCode>
                <c:ptCount val="64"/>
                <c:pt idx="0">
                  <c:v>2.8620207344422237</c:v>
                </c:pt>
                <c:pt idx="1">
                  <c:v>2.1117064133531431</c:v>
                </c:pt>
                <c:pt idx="2">
                  <c:v>3.4871017916406362</c:v>
                </c:pt>
                <c:pt idx="3">
                  <c:v>5.8662403945413093</c:v>
                </c:pt>
                <c:pt idx="4">
                  <c:v>3.5164097547495623</c:v>
                </c:pt>
                <c:pt idx="5">
                  <c:v>5.3835765778498432</c:v>
                </c:pt>
                <c:pt idx="6">
                  <c:v>3.3731173703647097</c:v>
                </c:pt>
                <c:pt idx="7">
                  <c:v>1.8106579489158783</c:v>
                </c:pt>
                <c:pt idx="8">
                  <c:v>-0.97791622540412926</c:v>
                </c:pt>
                <c:pt idx="9">
                  <c:v>2.2451069472380576</c:v>
                </c:pt>
                <c:pt idx="10">
                  <c:v>6.3864692930128948</c:v>
                </c:pt>
                <c:pt idx="11">
                  <c:v>6.2257611016240197</c:v>
                </c:pt>
                <c:pt idx="12">
                  <c:v>3.3123194861214382</c:v>
                </c:pt>
                <c:pt idx="13">
                  <c:v>5.272047114861115</c:v>
                </c:pt>
                <c:pt idx="14">
                  <c:v>1.4013147196217699</c:v>
                </c:pt>
                <c:pt idx="15">
                  <c:v>5.5484792624540731</c:v>
                </c:pt>
                <c:pt idx="16">
                  <c:v>-1.0612880856632088</c:v>
                </c:pt>
                <c:pt idx="17">
                  <c:v>6.3450735004758263</c:v>
                </c:pt>
                <c:pt idx="18">
                  <c:v>-0.96976393386794291</c:v>
                </c:pt>
                <c:pt idx="19">
                  <c:v>-0.78750160103976985</c:v>
                </c:pt>
                <c:pt idx="20">
                  <c:v>-0.3202894489734619</c:v>
                </c:pt>
                <c:pt idx="21">
                  <c:v>4.1202302142850344</c:v>
                </c:pt>
                <c:pt idx="22">
                  <c:v>6.8569446311952085</c:v>
                </c:pt>
                <c:pt idx="23">
                  <c:v>1.6241115658176424</c:v>
                </c:pt>
                <c:pt idx="24">
                  <c:v>3.3495474955645315</c:v>
                </c:pt>
                <c:pt idx="25">
                  <c:v>3.8393593562815749</c:v>
                </c:pt>
                <c:pt idx="26">
                  <c:v>2.2804558131940484</c:v>
                </c:pt>
                <c:pt idx="27">
                  <c:v>3.5154286219062092</c:v>
                </c:pt>
                <c:pt idx="28">
                  <c:v>3.5987541137085923</c:v>
                </c:pt>
                <c:pt idx="29">
                  <c:v>6.3576531053201437</c:v>
                </c:pt>
                <c:pt idx="30">
                  <c:v>5.1466718679264005</c:v>
                </c:pt>
                <c:pt idx="31">
                  <c:v>3.1475531771789393</c:v>
                </c:pt>
                <c:pt idx="32">
                  <c:v>-0.34254476043726784</c:v>
                </c:pt>
                <c:pt idx="33">
                  <c:v>-1.7169829679714468</c:v>
                </c:pt>
                <c:pt idx="34">
                  <c:v>2.8899093834541132</c:v>
                </c:pt>
                <c:pt idx="35">
                  <c:v>3.5323869952893716</c:v>
                </c:pt>
                <c:pt idx="36">
                  <c:v>2.3808855729423266</c:v>
                </c:pt>
                <c:pt idx="37">
                  <c:v>-0.49771556792294186</c:v>
                </c:pt>
                <c:pt idx="38">
                  <c:v>2.1505478156027169</c:v>
                </c:pt>
                <c:pt idx="39">
                  <c:v>2.3970716341847695</c:v>
                </c:pt>
                <c:pt idx="40">
                  <c:v>-7.1050238306243782E-2</c:v>
                </c:pt>
                <c:pt idx="41">
                  <c:v>2.3812872670170133</c:v>
                </c:pt>
                <c:pt idx="42">
                  <c:v>4.3311864151237005</c:v>
                </c:pt>
                <c:pt idx="43">
                  <c:v>3.3408931924099567</c:v>
                </c:pt>
                <c:pt idx="44">
                  <c:v>-1.5497134880594867</c:v>
                </c:pt>
                <c:pt idx="45">
                  <c:v>4.8911021305975915</c:v>
                </c:pt>
                <c:pt idx="46">
                  <c:v>2.5818721896368535</c:v>
                </c:pt>
                <c:pt idx="47">
                  <c:v>3.6076192149011495</c:v>
                </c:pt>
                <c:pt idx="48">
                  <c:v>1.668015426255999</c:v>
                </c:pt>
                <c:pt idx="49">
                  <c:v>-2.0714307871940556</c:v>
                </c:pt>
                <c:pt idx="50">
                  <c:v>7.4725821265848404</c:v>
                </c:pt>
                <c:pt idx="51">
                  <c:v>-2.9091554269475273</c:v>
                </c:pt>
                <c:pt idx="52">
                  <c:v>-0.66502402780441427</c:v>
                </c:pt>
                <c:pt idx="53">
                  <c:v>2.7670805868657711</c:v>
                </c:pt>
                <c:pt idx="54">
                  <c:v>1.3619984428044012</c:v>
                </c:pt>
                <c:pt idx="55">
                  <c:v>3.7439615372594686</c:v>
                </c:pt>
                <c:pt idx="56">
                  <c:v>7.3126312081247544</c:v>
                </c:pt>
                <c:pt idx="57">
                  <c:v>-2.3946476860169295</c:v>
                </c:pt>
                <c:pt idx="58">
                  <c:v>-1.2826358434626322</c:v>
                </c:pt>
                <c:pt idx="59">
                  <c:v>0.94129395286387962</c:v>
                </c:pt>
                <c:pt idx="60">
                  <c:v>1.1527323215956695</c:v>
                </c:pt>
                <c:pt idx="61">
                  <c:v>7.9035890790046137</c:v>
                </c:pt>
                <c:pt idx="62">
                  <c:v>2.5621590181973932</c:v>
                </c:pt>
                <c:pt idx="63">
                  <c:v>-1.1873381941064791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97-4C65-AC31-7C601A443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5446616"/>
        <c:axId val="615449752"/>
      </c:scatterChart>
      <c:valAx>
        <c:axId val="615446616"/>
        <c:scaling>
          <c:orientation val="minMax"/>
          <c:max val="3.700000000000001E-3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15449752"/>
        <c:crosses val="autoZero"/>
        <c:crossBetween val="midCat"/>
      </c:valAx>
      <c:valAx>
        <c:axId val="615449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15446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Sheet2!$O$5</c:f>
              <c:strCache>
                <c:ptCount val="1"/>
                <c:pt idx="0">
                  <c:v>y2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Sheet2!$D$6:$D$69</c:f>
              <c:numCache>
                <c:formatCode>0.000000</c:formatCode>
                <c:ptCount val="64"/>
                <c:pt idx="0">
                  <c:v>0</c:v>
                </c:pt>
                <c:pt idx="1">
                  <c:v>5.8995366692543029E-5</c:v>
                </c:pt>
                <c:pt idx="2">
                  <c:v>1.0522220075130463E-4</c:v>
                </c:pt>
                <c:pt idx="3">
                  <c:v>1.5080260634422302E-4</c:v>
                </c:pt>
                <c:pt idx="4">
                  <c:v>2.0830337643623352E-4</c:v>
                </c:pt>
                <c:pt idx="5">
                  <c:v>2.5072481572628022E-4</c:v>
                </c:pt>
                <c:pt idx="6">
                  <c:v>3.0446395933628081E-4</c:v>
                </c:pt>
                <c:pt idx="7">
                  <c:v>3.7163585424423214E-4</c:v>
                </c:pt>
                <c:pt idx="8">
                  <c:v>4.1947690248489379E-4</c:v>
                </c:pt>
                <c:pt idx="9">
                  <c:v>4.8303326904773711E-4</c:v>
                </c:pt>
                <c:pt idx="10">
                  <c:v>5.3440034568309779E-4</c:v>
                </c:pt>
                <c:pt idx="11">
                  <c:v>5.8309029698371884E-4</c:v>
                </c:pt>
                <c:pt idx="12">
                  <c:v>6.5067160964012139E-4</c:v>
                </c:pt>
                <c:pt idx="13">
                  <c:v>7.0962388217449181E-4</c:v>
                </c:pt>
                <c:pt idx="14">
                  <c:v>7.6845314323902123E-4</c:v>
                </c:pt>
                <c:pt idx="15">
                  <c:v>8.2130683422088611E-4</c:v>
                </c:pt>
                <c:pt idx="16">
                  <c:v>8.6424604892730702E-4</c:v>
                </c:pt>
                <c:pt idx="17">
                  <c:v>9.2107725203037256E-4</c:v>
                </c:pt>
                <c:pt idx="18">
                  <c:v>9.8191181123256682E-4</c:v>
                </c:pt>
                <c:pt idx="19">
                  <c:v>1.0493233382701875E-3</c:v>
                </c:pt>
                <c:pt idx="20">
                  <c:v>1.1143678534030915E-3</c:v>
                </c:pt>
                <c:pt idx="21">
                  <c:v>1.1550467294454574E-3</c:v>
                </c:pt>
                <c:pt idx="22">
                  <c:v>1.2113475471735001E-3</c:v>
                </c:pt>
                <c:pt idx="23">
                  <c:v>1.2788324666023255E-3</c:v>
                </c:pt>
                <c:pt idx="24">
                  <c:v>1.3317403006553651E-3</c:v>
                </c:pt>
                <c:pt idx="25">
                  <c:v>1.3920787316560746E-3</c:v>
                </c:pt>
                <c:pt idx="26">
                  <c:v>1.4471523493528368E-3</c:v>
                </c:pt>
                <c:pt idx="27">
                  <c:v>1.5025644743442536E-3</c:v>
                </c:pt>
                <c:pt idx="28">
                  <c:v>1.5564538753032684E-3</c:v>
                </c:pt>
                <c:pt idx="29">
                  <c:v>1.6070580548048019E-3</c:v>
                </c:pt>
                <c:pt idx="30">
                  <c:v>1.6592030793428421E-3</c:v>
                </c:pt>
                <c:pt idx="31">
                  <c:v>1.7072950267791747E-3</c:v>
                </c:pt>
                <c:pt idx="32">
                  <c:v>1.7489628314971922E-3</c:v>
                </c:pt>
                <c:pt idx="33">
                  <c:v>1.7962781864404678E-3</c:v>
                </c:pt>
                <c:pt idx="34">
                  <c:v>1.8656505244970321E-3</c:v>
                </c:pt>
                <c:pt idx="35">
                  <c:v>1.9074780118465424E-3</c:v>
                </c:pt>
                <c:pt idx="36">
                  <c:v>1.9591867554187774E-3</c:v>
                </c:pt>
                <c:pt idx="37">
                  <c:v>2.0101366180181502E-3</c:v>
                </c:pt>
                <c:pt idx="38">
                  <c:v>2.0648334604501722E-3</c:v>
                </c:pt>
                <c:pt idx="39">
                  <c:v>2.1095033526420592E-3</c:v>
                </c:pt>
                <c:pt idx="40">
                  <c:v>2.1637371277809141E-3</c:v>
                </c:pt>
                <c:pt idx="41">
                  <c:v>2.2114551573991772E-3</c:v>
                </c:pt>
                <c:pt idx="42">
                  <c:v>2.2703177136182782E-3</c:v>
                </c:pt>
                <c:pt idx="43">
                  <c:v>2.3265798199176785E-3</c:v>
                </c:pt>
                <c:pt idx="44">
                  <c:v>2.3712688863277431E-3</c:v>
                </c:pt>
                <c:pt idx="45">
                  <c:v>2.4394252413511273E-3</c:v>
                </c:pt>
                <c:pt idx="46">
                  <c:v>2.4990602236986156E-3</c:v>
                </c:pt>
                <c:pt idx="47">
                  <c:v>2.5542428445816034E-3</c:v>
                </c:pt>
                <c:pt idx="48">
                  <c:v>2.605956988334655E-3</c:v>
                </c:pt>
                <c:pt idx="49">
                  <c:v>2.6491782480478278E-3</c:v>
                </c:pt>
                <c:pt idx="50">
                  <c:v>2.7126981061696997E-3</c:v>
                </c:pt>
                <c:pt idx="51">
                  <c:v>2.7664873301982869E-3</c:v>
                </c:pt>
                <c:pt idx="52">
                  <c:v>2.8290979731082906E-3</c:v>
                </c:pt>
                <c:pt idx="53">
                  <c:v>2.8869808095693577E-3</c:v>
                </c:pt>
                <c:pt idx="54">
                  <c:v>2.9519627147912967E-3</c:v>
                </c:pt>
                <c:pt idx="55">
                  <c:v>2.9925254654884327E-3</c:v>
                </c:pt>
                <c:pt idx="56">
                  <c:v>3.0388365244865406E-3</c:v>
                </c:pt>
                <c:pt idx="57">
                  <c:v>3.0810551244020452E-3</c:v>
                </c:pt>
                <c:pt idx="58">
                  <c:v>3.1242187041044226E-3</c:v>
                </c:pt>
                <c:pt idx="59">
                  <c:v>3.1741695368289937E-3</c:v>
                </c:pt>
                <c:pt idx="60">
                  <c:v>3.2180170333385456E-3</c:v>
                </c:pt>
                <c:pt idx="61">
                  <c:v>3.2580242699384678E-3</c:v>
                </c:pt>
                <c:pt idx="62">
                  <c:v>3.3141280919313418E-3</c:v>
                </c:pt>
                <c:pt idx="63">
                  <c:v>3.3738397407531728E-3</c:v>
                </c:pt>
              </c:numCache>
            </c:numRef>
          </c:xVal>
          <c:yVal>
            <c:numRef>
              <c:f>Sheet2!$O$6:$O$69</c:f>
              <c:numCache>
                <c:formatCode>0.0000</c:formatCode>
                <c:ptCount val="64"/>
                <c:pt idx="0">
                  <c:v>3.5691275156287712</c:v>
                </c:pt>
                <c:pt idx="1">
                  <c:v>2.8065185431663338</c:v>
                </c:pt>
                <c:pt idx="2">
                  <c:v>4.1736127255926485</c:v>
                </c:pt>
                <c:pt idx="3">
                  <c:v>6.5430951768520789</c:v>
                </c:pt>
                <c:pt idx="4">
                  <c:v>4.1837962886527098</c:v>
                </c:pt>
                <c:pt idx="5">
                  <c:v>6.0416008034615194</c:v>
                </c:pt>
                <c:pt idx="6">
                  <c:v>4.017910455055091</c:v>
                </c:pt>
                <c:pt idx="7">
                  <c:v>2.4443631393011716</c:v>
                </c:pt>
                <c:pt idx="8">
                  <c:v>-0.3551211787424281</c:v>
                </c:pt>
                <c:pt idx="9">
                  <c:v>2.8592076385440781</c:v>
                </c:pt>
                <c:pt idx="10">
                  <c:v>6.9872018333436934</c:v>
                </c:pt>
                <c:pt idx="11">
                  <c:v>6.8182372569427434</c:v>
                </c:pt>
                <c:pt idx="12">
                  <c:v>3.8918073983067729</c:v>
                </c:pt>
                <c:pt idx="13">
                  <c:v>5.838853650110333</c:v>
                </c:pt>
                <c:pt idx="14">
                  <c:v>1.9582825782075266</c:v>
                </c:pt>
                <c:pt idx="15">
                  <c:v>6.0911161263006868</c:v>
                </c:pt>
                <c:pt idx="16">
                  <c:v>-0.53010164720238595</c:v>
                </c:pt>
                <c:pt idx="17">
                  <c:v>6.8630539522006941</c:v>
                </c:pt>
                <c:pt idx="18">
                  <c:v>-0.46298696988290222</c:v>
                </c:pt>
                <c:pt idx="19">
                  <c:v>-0.29093414978678889</c:v>
                </c:pt>
                <c:pt idx="20">
                  <c:v>0.16355535164946255</c:v>
                </c:pt>
                <c:pt idx="21">
                  <c:v>4.5915919120489663</c:v>
                </c:pt>
                <c:pt idx="22">
                  <c:v>7.3163268398613077</c:v>
                </c:pt>
                <c:pt idx="23">
                  <c:v>2.0701649825414843</c:v>
                </c:pt>
                <c:pt idx="24">
                  <c:v>3.7813786938144363</c:v>
                </c:pt>
                <c:pt idx="25">
                  <c:v>4.2616561739361343</c:v>
                </c:pt>
                <c:pt idx="26">
                  <c:v>2.6925388937034929</c:v>
                </c:pt>
                <c:pt idx="27">
                  <c:v>3.9176396364579289</c:v>
                </c:pt>
                <c:pt idx="28">
                  <c:v>3.9913854795067549</c:v>
                </c:pt>
                <c:pt idx="29">
                  <c:v>6.7372158058765947</c:v>
                </c:pt>
                <c:pt idx="30">
                  <c:v>5.5102014372188197</c:v>
                </c:pt>
                <c:pt idx="31">
                  <c:v>3.5001042793365178</c:v>
                </c:pt>
                <c:pt idx="32">
                  <c:v>-1.8745112633216654E-3</c:v>
                </c:pt>
                <c:pt idx="33">
                  <c:v>-1.3921238852431228</c:v>
                </c:pt>
                <c:pt idx="34">
                  <c:v>3.2018031621192873</c:v>
                </c:pt>
                <c:pt idx="35">
                  <c:v>3.8330459207001311</c:v>
                </c:pt>
                <c:pt idx="36">
                  <c:v>2.6658057570141986</c:v>
                </c:pt>
                <c:pt idx="37">
                  <c:v>-0.22294296195969537</c:v>
                </c:pt>
                <c:pt idx="38">
                  <c:v>2.4146725362207229</c:v>
                </c:pt>
                <c:pt idx="39">
                  <c:v>2.6444495129599734</c:v>
                </c:pt>
                <c:pt idx="40">
                  <c:v>0.16046253948375849</c:v>
                </c:pt>
                <c:pt idx="41">
                  <c:v>2.5969502910269902</c:v>
                </c:pt>
                <c:pt idx="42">
                  <c:v>4.5296627109759191</c:v>
                </c:pt>
                <c:pt idx="43">
                  <c:v>3.5277356151063599</c:v>
                </c:pt>
                <c:pt idx="44">
                  <c:v>-1.3776770516098242</c:v>
                </c:pt>
                <c:pt idx="45">
                  <c:v>5.0485667365885591</c:v>
                </c:pt>
                <c:pt idx="46">
                  <c:v>2.7221585358496547</c:v>
                </c:pt>
                <c:pt idx="47">
                  <c:v>3.7347991076992657</c:v>
                </c:pt>
                <c:pt idx="48">
                  <c:v>1.7847931064926734</c:v>
                </c:pt>
                <c:pt idx="49">
                  <c:v>-1.971229454939702</c:v>
                </c:pt>
                <c:pt idx="50">
                  <c:v>7.5615537553647538</c:v>
                </c:pt>
                <c:pt idx="51">
                  <c:v>-2.8320738265778491</c:v>
                </c:pt>
                <c:pt idx="52">
                  <c:v>-0.60254358596433288</c:v>
                </c:pt>
                <c:pt idx="53">
                  <c:v>2.8167736995102257</c:v>
                </c:pt>
                <c:pt idx="54">
                  <c:v>1.3976632040860868</c:v>
                </c:pt>
                <c:pt idx="55">
                  <c:v>3.7626551818495098</c:v>
                </c:pt>
                <c:pt idx="56">
                  <c:v>7.3171513337729372</c:v>
                </c:pt>
                <c:pt idx="57">
                  <c:v>-2.3946476860169295</c:v>
                </c:pt>
                <c:pt idx="58">
                  <c:v>-1.2826358434626322</c:v>
                </c:pt>
                <c:pt idx="59">
                  <c:v>0.94129395286387962</c:v>
                </c:pt>
                <c:pt idx="60">
                  <c:v>1.1527323215956695</c:v>
                </c:pt>
                <c:pt idx="61">
                  <c:v>7.9035890790046137</c:v>
                </c:pt>
                <c:pt idx="62">
                  <c:v>2.5621590181973932</c:v>
                </c:pt>
                <c:pt idx="63">
                  <c:v>-1.1873381941064791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39D-4EA2-9004-C6758DE71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825432"/>
        <c:axId val="619823864"/>
      </c:scatterChart>
      <c:valAx>
        <c:axId val="619825432"/>
        <c:scaling>
          <c:orientation val="minMax"/>
          <c:max val="3.700000000000001E-3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19823864"/>
        <c:crosses val="autoZero"/>
        <c:crossBetween val="midCat"/>
      </c:valAx>
      <c:valAx>
        <c:axId val="61982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19825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12250</xdr:colOff>
      <xdr:row>12</xdr:row>
      <xdr:rowOff>76465</xdr:rowOff>
    </xdr:from>
    <xdr:to>
      <xdr:col>16</xdr:col>
      <xdr:colOff>1</xdr:colOff>
      <xdr:row>36</xdr:row>
      <xdr:rowOff>141719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586740</xdr:colOff>
          <xdr:row>2</xdr:row>
          <xdr:rowOff>0</xdr:rowOff>
        </xdr:from>
        <xdr:to>
          <xdr:col>10</xdr:col>
          <xdr:colOff>586740</xdr:colOff>
          <xdr:row>3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681975</xdr:colOff>
      <xdr:row>2</xdr:row>
      <xdr:rowOff>186990</xdr:rowOff>
    </xdr:from>
    <xdr:to>
      <xdr:col>22</xdr:col>
      <xdr:colOff>750375</xdr:colOff>
      <xdr:row>15</xdr:row>
      <xdr:rowOff>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411480</xdr:colOff>
          <xdr:row>0</xdr:row>
          <xdr:rowOff>137160</xdr:rowOff>
        </xdr:from>
        <xdr:to>
          <xdr:col>10</xdr:col>
          <xdr:colOff>495300</xdr:colOff>
          <xdr:row>1</xdr:row>
          <xdr:rowOff>190500</xdr:rowOff>
        </xdr:to>
        <xdr:sp macro="" textlink="">
          <xdr:nvSpPr>
            <xdr:cNvPr id="2049" name="Button 1" descr="Recalc_time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Recalc_time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617220</xdr:colOff>
          <xdr:row>0</xdr:row>
          <xdr:rowOff>106680</xdr:rowOff>
        </xdr:from>
        <xdr:to>
          <xdr:col>12</xdr:col>
          <xdr:colOff>259080</xdr:colOff>
          <xdr:row>1</xdr:row>
          <xdr:rowOff>175260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calc_s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601980</xdr:colOff>
          <xdr:row>0</xdr:row>
          <xdr:rowOff>99060</xdr:rowOff>
        </xdr:from>
        <xdr:to>
          <xdr:col>14</xdr:col>
          <xdr:colOff>541020</xdr:colOff>
          <xdr:row>1</xdr:row>
          <xdr:rowOff>160020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Calc_y1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733425</xdr:colOff>
      <xdr:row>30</xdr:row>
      <xdr:rowOff>157162</xdr:rowOff>
    </xdr:from>
    <xdr:to>
      <xdr:col>23</xdr:col>
      <xdr:colOff>9525</xdr:colOff>
      <xdr:row>45</xdr:row>
      <xdr:rowOff>42862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714374</xdr:colOff>
      <xdr:row>15</xdr:row>
      <xdr:rowOff>176212</xdr:rowOff>
    </xdr:from>
    <xdr:to>
      <xdr:col>23</xdr:col>
      <xdr:colOff>57149</xdr:colOff>
      <xdr:row>30</xdr:row>
      <xdr:rowOff>61912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76200</xdr:colOff>
          <xdr:row>0</xdr:row>
          <xdr:rowOff>137160</xdr:rowOff>
        </xdr:from>
        <xdr:to>
          <xdr:col>16</xdr:col>
          <xdr:colOff>617220</xdr:colOff>
          <xdr:row>1</xdr:row>
          <xdr:rowOff>182880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Calc_y2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695325</xdr:colOff>
      <xdr:row>45</xdr:row>
      <xdr:rowOff>157162</xdr:rowOff>
    </xdr:from>
    <xdr:to>
      <xdr:col>23</xdr:col>
      <xdr:colOff>9525</xdr:colOff>
      <xdr:row>60</xdr:row>
      <xdr:rowOff>42862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742950</xdr:colOff>
      <xdr:row>60</xdr:row>
      <xdr:rowOff>185737</xdr:rowOff>
    </xdr:from>
    <xdr:to>
      <xdr:col>23</xdr:col>
      <xdr:colOff>19050</xdr:colOff>
      <xdr:row>75</xdr:row>
      <xdr:rowOff>61912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1"/>
  <dimension ref="A1:AC207"/>
  <sheetViews>
    <sheetView tabSelected="1" zoomScale="70" zoomScaleNormal="70" workbookViewId="0">
      <selection activeCell="I7" sqref="I7"/>
    </sheetView>
  </sheetViews>
  <sheetFormatPr defaultColWidth="8.6640625" defaultRowHeight="14.4" x14ac:dyDescent="0.3"/>
  <cols>
    <col min="7" max="7" width="9.5546875" customWidth="1"/>
    <col min="19" max="19" width="16.5546875" customWidth="1"/>
  </cols>
  <sheetData>
    <row r="1" spans="1:29" x14ac:dyDescent="0.3"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</row>
    <row r="6" spans="1:29" ht="15.6" x14ac:dyDescent="0.3">
      <c r="A6" s="1" t="s">
        <v>0</v>
      </c>
      <c r="B6" s="2" t="s">
        <v>1</v>
      </c>
      <c r="C6" s="2" t="s">
        <v>2</v>
      </c>
      <c r="D6" s="3" t="s">
        <v>3</v>
      </c>
      <c r="E6" s="2" t="s">
        <v>4</v>
      </c>
      <c r="F6" s="3" t="s">
        <v>5</v>
      </c>
      <c r="G6" s="2" t="s">
        <v>6</v>
      </c>
      <c r="H6" s="2" t="s">
        <v>7</v>
      </c>
      <c r="I6" s="2" t="s">
        <v>8</v>
      </c>
      <c r="P6" s="4"/>
      <c r="Q6" s="2" t="s">
        <v>9</v>
      </c>
      <c r="R6" s="5" t="s">
        <v>10</v>
      </c>
      <c r="S6" s="5" t="s">
        <v>11</v>
      </c>
      <c r="T6" s="6" t="s">
        <v>8</v>
      </c>
      <c r="U6" s="6" t="s">
        <v>0</v>
      </c>
      <c r="V6" s="6" t="s">
        <v>1</v>
      </c>
      <c r="W6" s="6" t="s">
        <v>2</v>
      </c>
      <c r="X6" s="6" t="s">
        <v>3</v>
      </c>
      <c r="Y6" s="6" t="s">
        <v>4</v>
      </c>
      <c r="Z6" s="6" t="s">
        <v>5</v>
      </c>
      <c r="AA6" s="6" t="s">
        <v>6</v>
      </c>
      <c r="AB6" s="6" t="s">
        <v>7</v>
      </c>
    </row>
    <row r="7" spans="1:29" ht="15.6" x14ac:dyDescent="0.3">
      <c r="A7" s="7">
        <v>1</v>
      </c>
      <c r="B7" s="7">
        <f t="shared" ref="B7:B38" ca="1" si="0">RAND()</f>
        <v>1.8065239222618046E-2</v>
      </c>
      <c r="C7" s="7">
        <f ca="1">-PI()+2*PI()*B7</f>
        <v>-3.028085407935555</v>
      </c>
      <c r="D7">
        <f t="shared" ref="D7:D38" ca="1" si="1">RAND()</f>
        <v>0.81138649195638568</v>
      </c>
      <c r="E7" s="7">
        <f t="shared" ref="E7:E38" ca="1" si="2">2*SQRT(2*LN(1/(1-D7)))</f>
        <v>3.6530045591374436</v>
      </c>
      <c r="F7">
        <f t="shared" ref="F7:F38" ca="1" si="3">RAND()</f>
        <v>0.68369899586046357</v>
      </c>
      <c r="G7" s="7">
        <f t="shared" ref="G7:G38" ca="1" si="4">1+(5-1)*F7</f>
        <v>3.7347959834418543</v>
      </c>
      <c r="H7" s="7">
        <v>0</v>
      </c>
      <c r="I7" s="8">
        <f ca="1">H57/200</f>
        <v>0.7487716943663143</v>
      </c>
      <c r="O7">
        <f ca="1">COS(G7 + C7)</f>
        <v>0.76050192724306354</v>
      </c>
      <c r="P7" s="9"/>
      <c r="Q7" s="7">
        <v>0</v>
      </c>
      <c r="R7" s="10">
        <f ca="1">COS(Q7 + C7)</f>
        <v>-0.99356496607005262</v>
      </c>
      <c r="S7" s="7">
        <f ca="1">E7*R7</f>
        <v>-3.6294973508531418</v>
      </c>
      <c r="T7" s="11">
        <f ca="1">AB57/200</f>
        <v>0.76642961039882029</v>
      </c>
      <c r="U7" s="7">
        <v>1</v>
      </c>
      <c r="V7" s="7">
        <f ca="1">RAND()</f>
        <v>0.22277419765968787</v>
      </c>
      <c r="W7" s="7">
        <f ca="1" xml:space="preserve"> -PI() + 2*PI()*V7</f>
        <v>-1.7418610880357213</v>
      </c>
      <c r="X7" s="7">
        <f ca="1">RAND()</f>
        <v>0.19787851764493525</v>
      </c>
      <c r="Y7" s="7">
        <f ca="1">SQRT(2*0.8* LN(1 / (1-X7)))</f>
        <v>0.59396324240276577</v>
      </c>
      <c r="Z7" s="7">
        <f ca="1">RAND()</f>
        <v>0.96210926177198997</v>
      </c>
      <c r="AA7" s="7">
        <f ca="1">1 + (5 - 1)*Z7</f>
        <v>4.8484370470879599</v>
      </c>
      <c r="AB7" s="7">
        <v>0</v>
      </c>
    </row>
    <row r="8" spans="1:29" x14ac:dyDescent="0.3">
      <c r="A8" s="7">
        <v>2</v>
      </c>
      <c r="B8" s="7">
        <f t="shared" ca="1" si="0"/>
        <v>5.7292999489551133E-2</v>
      </c>
      <c r="C8" s="7">
        <f t="shared" ref="C8:C38" ca="1" si="5">-PI()+2*PI()*B8</f>
        <v>-2.7816101209927977</v>
      </c>
      <c r="D8">
        <f t="shared" ca="1" si="1"/>
        <v>0.49081060018595024</v>
      </c>
      <c r="E8" s="7">
        <f t="shared" ca="1" si="2"/>
        <v>2.3236785145084817</v>
      </c>
      <c r="F8">
        <f t="shared" ca="1" si="3"/>
        <v>0.85860404918149213</v>
      </c>
      <c r="G8" s="7">
        <f t="shared" ca="1" si="4"/>
        <v>4.4344161967259685</v>
      </c>
      <c r="H8" s="7">
        <f t="shared" ref="H8:H39" ca="1" si="6">H7+G7</f>
        <v>3.7347959834418543</v>
      </c>
      <c r="P8" s="9"/>
      <c r="Q8" s="55">
        <f ca="1">Q7+$I$7</f>
        <v>0.7487716943663143</v>
      </c>
      <c r="R8" s="10">
        <f t="shared" ref="R8:R71" ca="1" si="7">COS(Q8 + C8)</f>
        <v>-0.44577700867842734</v>
      </c>
      <c r="S8" s="7">
        <f t="shared" ref="S8:S71" ca="1" si="8">E8*R8</f>
        <v>-1.0358424573279226</v>
      </c>
      <c r="U8" s="7">
        <v>2</v>
      </c>
      <c r="V8" s="7">
        <f t="shared" ref="V8:V57" ca="1" si="9">RAND()</f>
        <v>0.33301548349568433</v>
      </c>
      <c r="W8" s="7">
        <f t="shared" ref="W8:W57" ca="1" si="10" xml:space="preserve"> -PI() + 2*PI()*V8</f>
        <v>-1.0491946606264033</v>
      </c>
      <c r="X8" s="7">
        <f t="shared" ref="X8:X57" ca="1" si="11">RAND()</f>
        <v>0.48880752431857777</v>
      </c>
      <c r="Y8" s="7">
        <f t="shared" ref="Y8:Y57" ca="1" si="12">SQRT(2*0.8* LN(1 / (1-X8)))</f>
        <v>1.0361537298761736</v>
      </c>
      <c r="Z8" s="7">
        <f t="shared" ref="Z8:Z57" ca="1" si="13">RAND()</f>
        <v>0.89066117677627121</v>
      </c>
      <c r="AA8" s="7">
        <f t="shared" ref="AA8:AA57" ca="1" si="14">1 + (5 - 1)*Z8</f>
        <v>4.5626447071050844</v>
      </c>
      <c r="AB8" s="7">
        <v>1.77109619704812</v>
      </c>
      <c r="AC8" s="7"/>
    </row>
    <row r="9" spans="1:29" x14ac:dyDescent="0.3">
      <c r="A9" s="7">
        <v>3</v>
      </c>
      <c r="B9" s="7">
        <f t="shared" ca="1" si="0"/>
        <v>0.49446166390291924</v>
      </c>
      <c r="C9" s="7">
        <f t="shared" ca="1" si="5"/>
        <v>-3.4798391991400113E-2</v>
      </c>
      <c r="D9">
        <f t="shared" ca="1" si="1"/>
        <v>0.24881777460181653</v>
      </c>
      <c r="E9" s="7">
        <f t="shared" ca="1" si="2"/>
        <v>1.5128965938980392</v>
      </c>
      <c r="F9">
        <f t="shared" ca="1" si="3"/>
        <v>0.88543969492430785</v>
      </c>
      <c r="G9" s="7">
        <f t="shared" ca="1" si="4"/>
        <v>4.541758779697231</v>
      </c>
      <c r="H9" s="7">
        <f ca="1">H8+G8</f>
        <v>8.1692121801678219</v>
      </c>
      <c r="P9" s="9"/>
      <c r="Q9" s="55">
        <f t="shared" ref="Q9:Q72" ca="1" si="15">Q8+$I$7</f>
        <v>1.4975433887326286</v>
      </c>
      <c r="R9" s="10">
        <f t="shared" ca="1" si="7"/>
        <v>0.10784120125564058</v>
      </c>
      <c r="S9" s="7">
        <f t="shared" ca="1" si="8"/>
        <v>0.16315258606153157</v>
      </c>
      <c r="U9" s="7">
        <v>3</v>
      </c>
      <c r="V9" s="7">
        <f t="shared" ca="1" si="9"/>
        <v>0.65146687985429541</v>
      </c>
      <c r="W9" s="7">
        <f t="shared" ca="1" si="10"/>
        <v>0.95169447402484497</v>
      </c>
      <c r="X9" s="7">
        <f t="shared" ca="1" si="11"/>
        <v>0.93652880552476259</v>
      </c>
      <c r="Y9" s="7">
        <f t="shared" ca="1" si="12"/>
        <v>2.1003501065550263</v>
      </c>
      <c r="Z9" s="7">
        <f t="shared" ca="1" si="13"/>
        <v>3.5689815282386683E-2</v>
      </c>
      <c r="AA9" s="7">
        <f t="shared" ca="1" si="14"/>
        <v>1.1427592611295467</v>
      </c>
      <c r="AB9" s="7">
        <v>6.5842946694203999</v>
      </c>
      <c r="AC9" s="7"/>
    </row>
    <row r="10" spans="1:29" x14ac:dyDescent="0.3">
      <c r="A10" s="7">
        <v>4</v>
      </c>
      <c r="B10" s="7">
        <f t="shared" ca="1" si="0"/>
        <v>8.1720715161388124E-2</v>
      </c>
      <c r="C10" s="7">
        <f t="shared" ca="1" si="5"/>
        <v>-2.628126256795551</v>
      </c>
      <c r="D10">
        <f t="shared" ca="1" si="1"/>
        <v>0.92968652098134885</v>
      </c>
      <c r="E10" s="7">
        <f t="shared" ca="1" si="2"/>
        <v>4.6085067107335469</v>
      </c>
      <c r="F10">
        <f t="shared" ca="1" si="3"/>
        <v>0.41845273423353846</v>
      </c>
      <c r="G10" s="7">
        <f t="shared" ca="1" si="4"/>
        <v>2.6738109369341538</v>
      </c>
      <c r="H10" s="7">
        <f t="shared" ca="1" si="6"/>
        <v>12.710970959865053</v>
      </c>
      <c r="P10" s="9"/>
      <c r="Q10" s="55">
        <f t="shared" ca="1" si="15"/>
        <v>2.2463150830989429</v>
      </c>
      <c r="R10" s="10">
        <f t="shared" ca="1" si="7"/>
        <v>0.92799131137389024</v>
      </c>
      <c r="S10" s="7">
        <f t="shared" ca="1" si="8"/>
        <v>4.2766541859689973</v>
      </c>
      <c r="U10" s="7">
        <v>4</v>
      </c>
      <c r="V10" s="7">
        <f t="shared" ca="1" si="9"/>
        <v>0.63383267338018734</v>
      </c>
      <c r="W10" s="7">
        <f t="shared" ca="1" si="10"/>
        <v>0.84089548700295769</v>
      </c>
      <c r="X10" s="7">
        <f t="shared" ca="1" si="11"/>
        <v>0.30596623388309296</v>
      </c>
      <c r="Y10" s="7">
        <f t="shared" ca="1" si="12"/>
        <v>0.76444454638571513</v>
      </c>
      <c r="Z10" s="7">
        <f t="shared" ca="1" si="13"/>
        <v>0.71008783948324827</v>
      </c>
      <c r="AA10" s="7">
        <f t="shared" ca="1" si="14"/>
        <v>3.8403513579329931</v>
      </c>
      <c r="AB10" s="7">
        <v>9.7752576395503006</v>
      </c>
      <c r="AC10" s="7"/>
    </row>
    <row r="11" spans="1:29" x14ac:dyDescent="0.3">
      <c r="A11" s="7">
        <v>5</v>
      </c>
      <c r="B11" s="7">
        <f t="shared" ca="1" si="0"/>
        <v>0.25458523283864054</v>
      </c>
      <c r="C11" s="7">
        <f t="shared" ca="1" si="5"/>
        <v>-1.5419864591931529</v>
      </c>
      <c r="D11">
        <f t="shared" ca="1" si="1"/>
        <v>0.46413305017701445</v>
      </c>
      <c r="E11" s="7">
        <f t="shared" ca="1" si="2"/>
        <v>2.2340445414846699</v>
      </c>
      <c r="F11">
        <f t="shared" ca="1" si="3"/>
        <v>0.34751413065983949</v>
      </c>
      <c r="G11" s="7">
        <f t="shared" ca="1" si="4"/>
        <v>2.390056522639358</v>
      </c>
      <c r="H11" s="7">
        <f t="shared" ca="1" si="6"/>
        <v>15.384781896799208</v>
      </c>
      <c r="P11" s="9"/>
      <c r="Q11" s="55">
        <f t="shared" ca="1" si="15"/>
        <v>2.9950867774652572</v>
      </c>
      <c r="R11" s="10">
        <f t="shared" ca="1" si="7"/>
        <v>0.11742446893855653</v>
      </c>
      <c r="S11" s="7">
        <f t="shared" ca="1" si="8"/>
        <v>0.26233149386891841</v>
      </c>
      <c r="U11" s="7">
        <v>5</v>
      </c>
      <c r="V11" s="7">
        <f t="shared" ca="1" si="9"/>
        <v>0.60059238327624809</v>
      </c>
      <c r="W11" s="7">
        <f t="shared" ca="1" si="10"/>
        <v>0.6320405846154995</v>
      </c>
      <c r="X11" s="7">
        <f t="shared" ca="1" si="11"/>
        <v>0.94589743210721078</v>
      </c>
      <c r="Y11" s="7">
        <f t="shared" ca="1" si="12"/>
        <v>2.160323541911398</v>
      </c>
      <c r="Z11" s="7">
        <f t="shared" ca="1" si="13"/>
        <v>0.77534564355680524</v>
      </c>
      <c r="AA11" s="7">
        <f t="shared" ca="1" si="14"/>
        <v>4.1013825742272214</v>
      </c>
      <c r="AB11" s="7">
        <v>14.7249054764763</v>
      </c>
      <c r="AC11" s="7"/>
    </row>
    <row r="12" spans="1:29" x14ac:dyDescent="0.3">
      <c r="A12" s="7">
        <v>6</v>
      </c>
      <c r="B12" s="7">
        <f t="shared" ca="1" si="0"/>
        <v>0.51898754061099217</v>
      </c>
      <c r="C12" s="7">
        <f t="shared" ca="1" si="5"/>
        <v>0.11930223618646174</v>
      </c>
      <c r="D12">
        <f t="shared" ca="1" si="1"/>
        <v>0.70977621678191527</v>
      </c>
      <c r="E12" s="7">
        <f t="shared" ca="1" si="2"/>
        <v>3.1459217883649888</v>
      </c>
      <c r="F12">
        <f t="shared" ca="1" si="3"/>
        <v>0.24963958708973222</v>
      </c>
      <c r="G12" s="7">
        <f t="shared" ca="1" si="4"/>
        <v>1.9985583483589289</v>
      </c>
      <c r="H12" s="7">
        <f t="shared" ca="1" si="6"/>
        <v>17.774838419438566</v>
      </c>
      <c r="P12" s="9"/>
      <c r="Q12" s="55">
        <f t="shared" ca="1" si="15"/>
        <v>3.7438584718315715</v>
      </c>
      <c r="R12" s="10">
        <f t="shared" ca="1" si="7"/>
        <v>-0.75077085424203072</v>
      </c>
      <c r="S12" s="7">
        <f t="shared" ca="1" si="8"/>
        <v>-2.3618663884293998</v>
      </c>
      <c r="U12" s="7">
        <v>6</v>
      </c>
      <c r="V12" s="7">
        <f t="shared" ca="1" si="9"/>
        <v>0.67503288359838731</v>
      </c>
      <c r="W12" s="7">
        <f t="shared" ca="1" si="10"/>
        <v>1.0997640424986619</v>
      </c>
      <c r="X12" s="7">
        <f t="shared" ca="1" si="11"/>
        <v>0.87282547122429155</v>
      </c>
      <c r="Y12" s="7">
        <f t="shared" ca="1" si="12"/>
        <v>1.8164558430534588</v>
      </c>
      <c r="Z12" s="7">
        <f t="shared" ca="1" si="13"/>
        <v>0.77481408182532951</v>
      </c>
      <c r="AA12" s="7">
        <f t="shared" ca="1" si="14"/>
        <v>4.0992563273013181</v>
      </c>
      <c r="AB12" s="7">
        <v>18.611822547004198</v>
      </c>
      <c r="AC12" s="7"/>
    </row>
    <row r="13" spans="1:29" x14ac:dyDescent="0.3">
      <c r="A13" s="7">
        <v>7</v>
      </c>
      <c r="B13" s="7">
        <f t="shared" ca="1" si="0"/>
        <v>0.36563388053400492</v>
      </c>
      <c r="C13" s="7">
        <f t="shared" ca="1" si="5"/>
        <v>-0.84424722761147741</v>
      </c>
      <c r="D13">
        <f t="shared" ca="1" si="1"/>
        <v>0.91463596923619672</v>
      </c>
      <c r="E13" s="7">
        <f t="shared" ca="1" si="2"/>
        <v>4.4369633330435994</v>
      </c>
      <c r="F13">
        <f t="shared" ca="1" si="3"/>
        <v>0.7079455815136193</v>
      </c>
      <c r="G13" s="7">
        <f t="shared" ca="1" si="4"/>
        <v>3.8317823260544772</v>
      </c>
      <c r="H13" s="7">
        <f t="shared" ca="1" si="6"/>
        <v>19.773396767797497</v>
      </c>
      <c r="P13" s="9"/>
      <c r="Q13" s="55">
        <f t="shared" ca="1" si="15"/>
        <v>4.4926301661978858</v>
      </c>
      <c r="R13" s="10">
        <f t="shared" ca="1" si="7"/>
        <v>-0.87430691916783343</v>
      </c>
      <c r="S13" s="7">
        <f t="shared" ca="1" si="8"/>
        <v>-3.8792677421739912</v>
      </c>
      <c r="U13" s="7">
        <v>7</v>
      </c>
      <c r="V13" s="7">
        <f t="shared" ca="1" si="9"/>
        <v>0.70584724528063592</v>
      </c>
      <c r="W13" s="7">
        <f t="shared" ca="1" si="10"/>
        <v>1.2933763870706843</v>
      </c>
      <c r="X13" s="7">
        <f t="shared" ca="1" si="11"/>
        <v>0.95606025035432884</v>
      </c>
      <c r="Y13" s="7">
        <f t="shared" ca="1" si="12"/>
        <v>2.236045047733171</v>
      </c>
      <c r="Z13" s="7">
        <f t="shared" ca="1" si="13"/>
        <v>0.7272539041725149</v>
      </c>
      <c r="AA13" s="7">
        <f t="shared" ca="1" si="14"/>
        <v>3.9090156166900596</v>
      </c>
      <c r="AB13" s="7">
        <v>22.958146058084601</v>
      </c>
      <c r="AC13" s="7"/>
    </row>
    <row r="14" spans="1:29" x14ac:dyDescent="0.3">
      <c r="A14" s="7">
        <v>8</v>
      </c>
      <c r="B14" s="7">
        <f t="shared" ca="1" si="0"/>
        <v>0.38846511455909294</v>
      </c>
      <c r="C14" s="7">
        <f t="shared" ca="1" si="5"/>
        <v>-0.70079435344026564</v>
      </c>
      <c r="D14">
        <f t="shared" ca="1" si="1"/>
        <v>0.39270127744843808</v>
      </c>
      <c r="E14" s="7">
        <f t="shared" ca="1" si="2"/>
        <v>1.9974673555662612</v>
      </c>
      <c r="F14">
        <f t="shared" ca="1" si="3"/>
        <v>5.6871665573119179E-2</v>
      </c>
      <c r="G14" s="7">
        <f t="shared" ca="1" si="4"/>
        <v>1.2274866622924767</v>
      </c>
      <c r="H14" s="7">
        <f t="shared" ca="1" si="6"/>
        <v>23.605179093851973</v>
      </c>
      <c r="P14" s="9"/>
      <c r="Q14" s="55">
        <f t="shared" ca="1" si="15"/>
        <v>5.2414018605642001</v>
      </c>
      <c r="R14" s="10">
        <f t="shared" ca="1" si="7"/>
        <v>-0.17093787258428775</v>
      </c>
      <c r="S14" s="7">
        <f t="shared" ca="1" si="8"/>
        <v>-0.34144282031705975</v>
      </c>
      <c r="U14" s="7">
        <v>8</v>
      </c>
      <c r="V14" s="7">
        <f t="shared" ca="1" si="9"/>
        <v>0.95137337298821012</v>
      </c>
      <c r="W14" s="7">
        <f t="shared" ca="1" si="10"/>
        <v>2.8360625452116128</v>
      </c>
      <c r="X14" s="7">
        <f t="shared" ca="1" si="11"/>
        <v>0.44536233869881925</v>
      </c>
      <c r="Y14" s="7">
        <f t="shared" ca="1" si="12"/>
        <v>0.971135616452108</v>
      </c>
      <c r="Z14" s="7">
        <f t="shared" ca="1" si="13"/>
        <v>0.30662868622540829</v>
      </c>
      <c r="AA14" s="7">
        <f t="shared" ca="1" si="14"/>
        <v>2.2265147449016331</v>
      </c>
      <c r="AB14" s="7">
        <v>26.938421015010999</v>
      </c>
      <c r="AC14" s="7"/>
    </row>
    <row r="15" spans="1:29" x14ac:dyDescent="0.3">
      <c r="A15" s="7">
        <v>9</v>
      </c>
      <c r="B15" s="7">
        <f t="shared" ca="1" si="0"/>
        <v>0.44337774622374782</v>
      </c>
      <c r="C15" s="7">
        <f t="shared" ca="1" si="5"/>
        <v>-0.35576811298634148</v>
      </c>
      <c r="D15">
        <f t="shared" ca="1" si="1"/>
        <v>0.12554267722621293</v>
      </c>
      <c r="E15" s="7">
        <f t="shared" ca="1" si="2"/>
        <v>1.0359605690330944</v>
      </c>
      <c r="F15">
        <f t="shared" ca="1" si="3"/>
        <v>0.8598157274141347</v>
      </c>
      <c r="G15" s="7">
        <f t="shared" ca="1" si="4"/>
        <v>4.4392629096565388</v>
      </c>
      <c r="H15" s="7">
        <f t="shared" ca="1" si="6"/>
        <v>24.832665756144451</v>
      </c>
      <c r="P15" s="9"/>
      <c r="Q15" s="55">
        <f t="shared" ca="1" si="15"/>
        <v>5.9901735549305144</v>
      </c>
      <c r="R15" s="10">
        <f t="shared" ca="1" si="7"/>
        <v>0.79682161476215141</v>
      </c>
      <c r="S15" s="7">
        <f t="shared" ca="1" si="8"/>
        <v>0.82547577344686751</v>
      </c>
      <c r="U15" s="7">
        <v>9</v>
      </c>
      <c r="V15" s="7">
        <f t="shared" ca="1" si="9"/>
        <v>0.77993570362526465</v>
      </c>
      <c r="W15" s="7">
        <f t="shared" ca="1" si="10"/>
        <v>1.7588878999732422</v>
      </c>
      <c r="X15" s="7">
        <f t="shared" ca="1" si="11"/>
        <v>0.35458414415976713</v>
      </c>
      <c r="Y15" s="7">
        <f t="shared" ca="1" si="12"/>
        <v>0.83700459468621879</v>
      </c>
      <c r="Z15" s="7">
        <f t="shared" ca="1" si="13"/>
        <v>0.24552386133587678</v>
      </c>
      <c r="AA15" s="7">
        <f t="shared" ca="1" si="14"/>
        <v>1.9820954453435071</v>
      </c>
      <c r="AB15" s="7">
        <v>31.8045641879716</v>
      </c>
      <c r="AC15" s="7"/>
    </row>
    <row r="16" spans="1:29" x14ac:dyDescent="0.3">
      <c r="A16" s="7">
        <v>10</v>
      </c>
      <c r="B16" s="7">
        <f t="shared" ca="1" si="0"/>
        <v>0.6992826413301092</v>
      </c>
      <c r="C16" s="7">
        <f t="shared" ca="1" si="5"/>
        <v>1.2521297639812818</v>
      </c>
      <c r="D16">
        <f t="shared" ca="1" si="1"/>
        <v>0.33387621867260531</v>
      </c>
      <c r="E16" s="7">
        <f t="shared" ca="1" si="2"/>
        <v>1.8028416854782057</v>
      </c>
      <c r="F16">
        <f t="shared" ca="1" si="3"/>
        <v>0.68007551602360516</v>
      </c>
      <c r="G16" s="7">
        <f t="shared" ca="1" si="4"/>
        <v>3.7203020640944207</v>
      </c>
      <c r="H16" s="7">
        <f t="shared" ca="1" si="6"/>
        <v>29.271928665800989</v>
      </c>
      <c r="P16" s="9"/>
      <c r="Q16" s="55">
        <f t="shared" ca="1" si="15"/>
        <v>6.7389452492968287</v>
      </c>
      <c r="R16" s="10">
        <f t="shared" ca="1" si="7"/>
        <v>-0.13666434692778662</v>
      </c>
      <c r="S16" s="7">
        <f t="shared" ca="1" si="8"/>
        <v>-0.24638418156006905</v>
      </c>
      <c r="U16" s="7">
        <v>10</v>
      </c>
      <c r="V16" s="7">
        <f t="shared" ca="1" si="9"/>
        <v>0.27465143068250675</v>
      </c>
      <c r="W16" s="7">
        <f t="shared" ca="1" si="10"/>
        <v>-1.4159068197296141</v>
      </c>
      <c r="X16" s="7">
        <f t="shared" ca="1" si="11"/>
        <v>0.45007129594022444</v>
      </c>
      <c r="Y16" s="7">
        <f t="shared" ca="1" si="12"/>
        <v>0.97813425511258678</v>
      </c>
      <c r="Z16" s="7">
        <f t="shared" ca="1" si="13"/>
        <v>0.92463207354282351</v>
      </c>
      <c r="AA16" s="7">
        <f t="shared" ca="1" si="14"/>
        <v>4.698528294171294</v>
      </c>
      <c r="AB16" s="7">
        <v>35.382201623115598</v>
      </c>
      <c r="AC16" s="7"/>
    </row>
    <row r="17" spans="1:29" x14ac:dyDescent="0.3">
      <c r="A17" s="7">
        <v>11</v>
      </c>
      <c r="B17" s="7">
        <f t="shared" ca="1" si="0"/>
        <v>0.29242434752422497</v>
      </c>
      <c r="C17" s="7">
        <f t="shared" ca="1" si="5"/>
        <v>-1.3042362897640056</v>
      </c>
      <c r="D17">
        <f t="shared" ca="1" si="1"/>
        <v>0.77236033987742603</v>
      </c>
      <c r="E17" s="7">
        <f t="shared" ca="1" si="2"/>
        <v>3.4409200377762197</v>
      </c>
      <c r="F17">
        <f t="shared" ca="1" si="3"/>
        <v>0.3015648234252889</v>
      </c>
      <c r="G17" s="7">
        <f t="shared" ca="1" si="4"/>
        <v>2.2062592937011556</v>
      </c>
      <c r="H17" s="7">
        <f t="shared" ca="1" si="6"/>
        <v>32.992230729895411</v>
      </c>
      <c r="P17" s="9"/>
      <c r="Q17" s="55">
        <f t="shared" ca="1" si="15"/>
        <v>7.487716943663143</v>
      </c>
      <c r="R17" s="10">
        <f t="shared" ca="1" si="7"/>
        <v>0.9950336073527557</v>
      </c>
      <c r="S17" s="7">
        <f t="shared" ca="1" si="8"/>
        <v>3.4238310778008523</v>
      </c>
      <c r="U17" s="7">
        <v>11</v>
      </c>
      <c r="V17" s="7">
        <f t="shared" ca="1" si="9"/>
        <v>4.6039904928695252E-3</v>
      </c>
      <c r="W17" s="7">
        <f t="shared" ca="1" si="10"/>
        <v>-3.1126649281706009</v>
      </c>
      <c r="X17" s="7">
        <f t="shared" ca="1" si="11"/>
        <v>0.89938148797514839</v>
      </c>
      <c r="Y17" s="7">
        <f t="shared" ca="1" si="12"/>
        <v>1.9168386565775586</v>
      </c>
      <c r="Z17" s="7">
        <f t="shared" ca="1" si="13"/>
        <v>0.66186965870762215</v>
      </c>
      <c r="AA17" s="7">
        <f t="shared" ca="1" si="14"/>
        <v>3.6474786348304886</v>
      </c>
      <c r="AB17" s="7">
        <v>38.3750814378946</v>
      </c>
      <c r="AC17" s="7"/>
    </row>
    <row r="18" spans="1:29" x14ac:dyDescent="0.3">
      <c r="A18" s="7">
        <v>12</v>
      </c>
      <c r="B18" s="7">
        <f t="shared" ca="1" si="0"/>
        <v>2.8145457010144259E-2</v>
      </c>
      <c r="C18" s="7">
        <f t="shared" ca="1" si="5"/>
        <v>-2.9647495316398</v>
      </c>
      <c r="D18">
        <f t="shared" ca="1" si="1"/>
        <v>0.77849011887732911</v>
      </c>
      <c r="E18" s="7">
        <f t="shared" ca="1" si="2"/>
        <v>3.4725069681223832</v>
      </c>
      <c r="F18">
        <f t="shared" ca="1" si="3"/>
        <v>0.73973492139929786</v>
      </c>
      <c r="G18" s="7">
        <f t="shared" ca="1" si="4"/>
        <v>3.9589396855971914</v>
      </c>
      <c r="H18" s="7">
        <f t="shared" ca="1" si="6"/>
        <v>35.19849002359657</v>
      </c>
      <c r="P18" s="9"/>
      <c r="Q18" s="55">
        <f t="shared" ca="1" si="15"/>
        <v>8.2364886380294564</v>
      </c>
      <c r="R18" s="10">
        <f t="shared" ca="1" si="7"/>
        <v>0.53063547672625488</v>
      </c>
      <c r="S18" s="7">
        <f t="shared" ca="1" si="8"/>
        <v>1.8426353904648629</v>
      </c>
      <c r="U18" s="7">
        <v>12</v>
      </c>
      <c r="V18" s="7">
        <f t="shared" ca="1" si="9"/>
        <v>0.49782010762899076</v>
      </c>
      <c r="W18" s="7">
        <f t="shared" ca="1" si="10"/>
        <v>-1.369666771675826E-2</v>
      </c>
      <c r="X18" s="7">
        <f t="shared" ca="1" si="11"/>
        <v>0.95988264282982183</v>
      </c>
      <c r="Y18" s="7">
        <f t="shared" ca="1" si="12"/>
        <v>2.2683725236157484</v>
      </c>
      <c r="Z18" s="7">
        <f t="shared" ca="1" si="13"/>
        <v>0.25747691026829123</v>
      </c>
      <c r="AA18" s="7">
        <f t="shared" ca="1" si="14"/>
        <v>2.0299076410731649</v>
      </c>
      <c r="AB18" s="7">
        <v>40.103473915840503</v>
      </c>
      <c r="AC18" s="7"/>
    </row>
    <row r="19" spans="1:29" x14ac:dyDescent="0.3">
      <c r="A19" s="7">
        <v>13</v>
      </c>
      <c r="B19" s="7">
        <f t="shared" ca="1" si="0"/>
        <v>0.13188952214086513</v>
      </c>
      <c r="C19" s="7">
        <f t="shared" ca="1" si="5"/>
        <v>-2.3129063459033725</v>
      </c>
      <c r="D19">
        <f t="shared" ca="1" si="1"/>
        <v>2.7592735639090593E-2</v>
      </c>
      <c r="E19" s="7">
        <f t="shared" ca="1" si="2"/>
        <v>0.47312210702978469</v>
      </c>
      <c r="F19">
        <f t="shared" ca="1" si="3"/>
        <v>0.64038048326677532</v>
      </c>
      <c r="G19" s="7">
        <f t="shared" ca="1" si="4"/>
        <v>3.5615219330671013</v>
      </c>
      <c r="H19" s="7">
        <f t="shared" ca="1" si="6"/>
        <v>39.157429709193764</v>
      </c>
      <c r="P19" s="9"/>
      <c r="Q19" s="55">
        <f t="shared" ca="1" si="15"/>
        <v>8.9852603323957716</v>
      </c>
      <c r="R19" s="10">
        <f t="shared" ca="1" si="7"/>
        <v>0.92522479871585772</v>
      </c>
      <c r="S19" s="7">
        <f t="shared" ca="1" si="8"/>
        <v>0.43774430624465505</v>
      </c>
      <c r="U19" s="7">
        <v>13</v>
      </c>
      <c r="V19" s="7">
        <f t="shared" ca="1" si="9"/>
        <v>0.68392588837515966</v>
      </c>
      <c r="W19" s="7">
        <f t="shared" ca="1" si="10"/>
        <v>1.1556404394487556</v>
      </c>
      <c r="X19" s="7">
        <f t="shared" ca="1" si="11"/>
        <v>0.82147095286144733</v>
      </c>
      <c r="Y19" s="7">
        <f t="shared" ca="1" si="12"/>
        <v>1.6603633153903925</v>
      </c>
      <c r="Z19" s="7">
        <f t="shared" ca="1" si="13"/>
        <v>0.65979559183111647</v>
      </c>
      <c r="AA19" s="7">
        <f t="shared" ca="1" si="14"/>
        <v>3.6391823673244659</v>
      </c>
      <c r="AB19" s="7">
        <v>41.263729369904098</v>
      </c>
      <c r="AC19" s="7"/>
    </row>
    <row r="20" spans="1:29" x14ac:dyDescent="0.3">
      <c r="A20" s="7">
        <v>14</v>
      </c>
      <c r="B20" s="7">
        <f t="shared" ca="1" si="0"/>
        <v>0.74490792323418631</v>
      </c>
      <c r="C20" s="7">
        <f t="shared" ca="1" si="5"/>
        <v>1.5388018648769055</v>
      </c>
      <c r="D20">
        <f t="shared" ca="1" si="1"/>
        <v>0.55664733836339719</v>
      </c>
      <c r="E20" s="7">
        <f t="shared" ca="1" si="2"/>
        <v>2.5509053290285011</v>
      </c>
      <c r="F20">
        <f t="shared" ca="1" si="3"/>
        <v>0.63257145458007469</v>
      </c>
      <c r="G20" s="7">
        <f t="shared" ca="1" si="4"/>
        <v>3.5302858183202988</v>
      </c>
      <c r="H20" s="7">
        <f t="shared" ca="1" si="6"/>
        <v>42.718951642260862</v>
      </c>
      <c r="P20" s="9"/>
      <c r="Q20" s="55">
        <f t="shared" ca="1" si="15"/>
        <v>9.7340320267620868</v>
      </c>
      <c r="R20" s="10">
        <f t="shared" ca="1" si="7"/>
        <v>0.27372094177036632</v>
      </c>
      <c r="S20" s="7">
        <f t="shared" ca="1" si="8"/>
        <v>0.69823620902872752</v>
      </c>
      <c r="U20" s="7">
        <v>14</v>
      </c>
      <c r="V20" s="7">
        <f t="shared" ca="1" si="9"/>
        <v>0.90547064794908461</v>
      </c>
      <c r="W20" s="7">
        <f t="shared" ca="1" si="10"/>
        <v>2.5476472176862748</v>
      </c>
      <c r="X20" s="7">
        <f t="shared" ca="1" si="11"/>
        <v>0.81434496620090446</v>
      </c>
      <c r="Y20" s="7">
        <f t="shared" ca="1" si="12"/>
        <v>1.6413969583346066</v>
      </c>
      <c r="Z20" s="7">
        <f t="shared" ca="1" si="13"/>
        <v>0.88973240177899315</v>
      </c>
      <c r="AA20" s="7">
        <f t="shared" ca="1" si="14"/>
        <v>4.5589296071159726</v>
      </c>
      <c r="AB20" s="7">
        <v>43.060826943904402</v>
      </c>
      <c r="AC20" s="7"/>
    </row>
    <row r="21" spans="1:29" x14ac:dyDescent="0.3">
      <c r="A21" s="7">
        <v>15</v>
      </c>
      <c r="B21" s="7">
        <f t="shared" ca="1" si="0"/>
        <v>8.6910262237632763E-3</v>
      </c>
      <c r="C21" s="7">
        <f t="shared" ca="1" si="5"/>
        <v>-3.0869853253163311</v>
      </c>
      <c r="D21">
        <f t="shared" ca="1" si="1"/>
        <v>6.020499777924071E-3</v>
      </c>
      <c r="E21" s="7">
        <f t="shared" ca="1" si="2"/>
        <v>0.21979437767639046</v>
      </c>
      <c r="F21">
        <f t="shared" ca="1" si="3"/>
        <v>0.87271596314832522</v>
      </c>
      <c r="G21" s="7">
        <f t="shared" ca="1" si="4"/>
        <v>4.4908638525933009</v>
      </c>
      <c r="H21" s="7">
        <f t="shared" ca="1" si="6"/>
        <v>46.249237460581163</v>
      </c>
      <c r="P21" s="9"/>
      <c r="Q21" s="55">
        <f t="shared" ca="1" si="15"/>
        <v>10.482803721128402</v>
      </c>
      <c r="R21" s="10">
        <f t="shared" ca="1" si="7"/>
        <v>0.44230152398668054</v>
      </c>
      <c r="S21" s="7">
        <f t="shared" ca="1" si="8"/>
        <v>9.721538820997154E-2</v>
      </c>
      <c r="U21" s="7">
        <v>15</v>
      </c>
      <c r="V21" s="7">
        <f t="shared" ca="1" si="9"/>
        <v>0.13040011916103633</v>
      </c>
      <c r="W21" s="7">
        <f t="shared" ca="1" si="10"/>
        <v>-2.3222645408227023</v>
      </c>
      <c r="X21" s="7">
        <f t="shared" ca="1" si="11"/>
        <v>0.34102938367223412</v>
      </c>
      <c r="Y21" s="7">
        <f t="shared" ca="1" si="12"/>
        <v>0.81689787243910761</v>
      </c>
      <c r="Z21" s="7">
        <f t="shared" ca="1" si="13"/>
        <v>0.5021540116824269</v>
      </c>
      <c r="AA21" s="7">
        <f t="shared" ca="1" si="14"/>
        <v>3.0086160467297076</v>
      </c>
      <c r="AB21" s="7">
        <v>44.478818166830898</v>
      </c>
      <c r="AC21" s="7"/>
    </row>
    <row r="22" spans="1:29" x14ac:dyDescent="0.3">
      <c r="A22" s="7">
        <v>16</v>
      </c>
      <c r="B22" s="7">
        <f t="shared" ca="1" si="0"/>
        <v>0.98987707961858129</v>
      </c>
      <c r="C22" s="7">
        <f t="shared" ca="1" si="5"/>
        <v>3.0779884689835146</v>
      </c>
      <c r="D22">
        <f t="shared" ca="1" si="1"/>
        <v>4.0755159059249313E-2</v>
      </c>
      <c r="E22" s="7">
        <f t="shared" ca="1" si="2"/>
        <v>0.5769501059282337</v>
      </c>
      <c r="F22">
        <f t="shared" ca="1" si="3"/>
        <v>0.40248499562327078</v>
      </c>
      <c r="G22" s="7">
        <f t="shared" ca="1" si="4"/>
        <v>2.6099399824930831</v>
      </c>
      <c r="H22" s="7">
        <f t="shared" ca="1" si="6"/>
        <v>50.740101313174463</v>
      </c>
      <c r="P22" s="9"/>
      <c r="Q22" s="55">
        <f t="shared" ca="1" si="15"/>
        <v>11.231575415494717</v>
      </c>
      <c r="R22" s="10">
        <f t="shared" ca="1" si="7"/>
        <v>-0.17154425162771694</v>
      </c>
      <c r="S22" s="7">
        <f t="shared" ca="1" si="8"/>
        <v>-9.897247414799086E-2</v>
      </c>
      <c r="U22" s="7">
        <v>16</v>
      </c>
      <c r="V22" s="7">
        <f t="shared" ca="1" si="9"/>
        <v>0.76123117947325725</v>
      </c>
      <c r="W22" s="7">
        <f t="shared" ca="1" si="10"/>
        <v>1.6413639086435632</v>
      </c>
      <c r="X22" s="7">
        <f t="shared" ca="1" si="11"/>
        <v>0.42196733743743486</v>
      </c>
      <c r="Y22" s="7">
        <f t="shared" ca="1" si="12"/>
        <v>0.9364826979993196</v>
      </c>
      <c r="Z22" s="7">
        <f t="shared" ca="1" si="13"/>
        <v>0.35536627337777948</v>
      </c>
      <c r="AA22" s="7">
        <f t="shared" ca="1" si="14"/>
        <v>2.4214650935111179</v>
      </c>
      <c r="AB22" s="7">
        <v>48.109676281123598</v>
      </c>
      <c r="AC22" s="7"/>
    </row>
    <row r="23" spans="1:29" x14ac:dyDescent="0.3">
      <c r="A23" s="7">
        <v>17</v>
      </c>
      <c r="B23" s="7">
        <f t="shared" ca="1" si="0"/>
        <v>0.12851681886778721</v>
      </c>
      <c r="C23" s="7">
        <f t="shared" ca="1" si="5"/>
        <v>-2.3340976655542525</v>
      </c>
      <c r="D23">
        <f t="shared" ca="1" si="1"/>
        <v>0.60000197686161971</v>
      </c>
      <c r="E23" s="7">
        <f t="shared" ca="1" si="2"/>
        <v>2.70746475366224</v>
      </c>
      <c r="F23">
        <f t="shared" ca="1" si="3"/>
        <v>0.38957872764137425</v>
      </c>
      <c r="G23" s="7">
        <f t="shared" ca="1" si="4"/>
        <v>2.558314910565497</v>
      </c>
      <c r="H23" s="7">
        <f t="shared" ca="1" si="6"/>
        <v>53.350041295667545</v>
      </c>
      <c r="P23" s="9"/>
      <c r="Q23" s="55">
        <f t="shared" ca="1" si="15"/>
        <v>11.980347109861032</v>
      </c>
      <c r="R23" s="10">
        <f t="shared" ca="1" si="7"/>
        <v>-0.97557527161123492</v>
      </c>
      <c r="S23" s="7">
        <f t="shared" ca="1" si="8"/>
        <v>-2.6413356624318851</v>
      </c>
      <c r="U23" s="7">
        <v>17</v>
      </c>
      <c r="V23" s="7">
        <f t="shared" ca="1" si="9"/>
        <v>0.33445669259920197</v>
      </c>
      <c r="W23" s="7">
        <f t="shared" ca="1" si="10"/>
        <v>-1.0401392767626079</v>
      </c>
      <c r="X23" s="7">
        <f t="shared" ca="1" si="11"/>
        <v>0.5139419920753856</v>
      </c>
      <c r="Y23" s="7">
        <f t="shared" ca="1" si="12"/>
        <v>1.0743759523255536</v>
      </c>
      <c r="Z23" s="7">
        <f t="shared" ca="1" si="13"/>
        <v>0.77799898809650181</v>
      </c>
      <c r="AA23" s="7">
        <f t="shared" ca="1" si="14"/>
        <v>4.1119959523860068</v>
      </c>
      <c r="AB23" s="7">
        <v>52.083364455752999</v>
      </c>
      <c r="AC23" s="7"/>
    </row>
    <row r="24" spans="1:29" x14ac:dyDescent="0.3">
      <c r="A24" s="7">
        <v>18</v>
      </c>
      <c r="B24" s="7">
        <f t="shared" ca="1" si="0"/>
        <v>0.47562341674310482</v>
      </c>
      <c r="C24" s="7">
        <f t="shared" ca="1" si="5"/>
        <v>-0.15316258975896391</v>
      </c>
      <c r="D24">
        <f t="shared" ca="1" si="1"/>
        <v>2.4237830741506095E-2</v>
      </c>
      <c r="E24" s="7">
        <f t="shared" ca="1" si="2"/>
        <v>0.44304763899187044</v>
      </c>
      <c r="F24">
        <f t="shared" ca="1" si="3"/>
        <v>0.95847301351266456</v>
      </c>
      <c r="G24" s="7">
        <f t="shared" ca="1" si="4"/>
        <v>4.8338920540506578</v>
      </c>
      <c r="H24" s="7">
        <f t="shared" ca="1" si="6"/>
        <v>55.908356206233044</v>
      </c>
      <c r="P24" s="9"/>
      <c r="Q24" s="55">
        <f t="shared" ca="1" si="15"/>
        <v>12.729118804227348</v>
      </c>
      <c r="R24" s="10">
        <f t="shared" ca="1" si="7"/>
        <v>0.99995405848704788</v>
      </c>
      <c r="S24" s="7">
        <f t="shared" ca="1" si="8"/>
        <v>0.44302728471302527</v>
      </c>
      <c r="U24" s="7">
        <v>18</v>
      </c>
      <c r="V24" s="7">
        <f t="shared" ca="1" si="9"/>
        <v>0.9358292298400599</v>
      </c>
      <c r="W24" s="7">
        <f t="shared" ca="1" si="10"/>
        <v>2.7383958133704596</v>
      </c>
      <c r="X24" s="7">
        <f t="shared" ca="1" si="11"/>
        <v>0.47328128763941535</v>
      </c>
      <c r="Y24" s="7">
        <f t="shared" ca="1" si="12"/>
        <v>1.0127891196681627</v>
      </c>
      <c r="Z24" s="7">
        <f t="shared" ca="1" si="13"/>
        <v>0.55171087871805846</v>
      </c>
      <c r="AA24" s="7">
        <f t="shared" ca="1" si="14"/>
        <v>3.2068435148722338</v>
      </c>
      <c r="AB24" s="7">
        <v>54.283308215415801</v>
      </c>
      <c r="AC24" s="7"/>
    </row>
    <row r="25" spans="1:29" x14ac:dyDescent="0.3">
      <c r="A25" s="7">
        <v>19</v>
      </c>
      <c r="B25" s="7">
        <f t="shared" ca="1" si="0"/>
        <v>0.82404003666327819</v>
      </c>
      <c r="C25" s="7">
        <f t="shared" ca="1" si="5"/>
        <v>2.0360035973006436</v>
      </c>
      <c r="D25">
        <f t="shared" ca="1" si="1"/>
        <v>0.88311233474754891</v>
      </c>
      <c r="E25" s="7">
        <f t="shared" ca="1" si="2"/>
        <v>4.1439516710000968</v>
      </c>
      <c r="F25">
        <f t="shared" ca="1" si="3"/>
        <v>4.4180228366434204E-2</v>
      </c>
      <c r="G25" s="7">
        <f t="shared" ca="1" si="4"/>
        <v>1.1767209134657368</v>
      </c>
      <c r="H25" s="7">
        <f t="shared" ca="1" si="6"/>
        <v>60.742248260283702</v>
      </c>
      <c r="P25" s="9"/>
      <c r="Q25" s="55">
        <f t="shared" ca="1" si="15"/>
        <v>13.477890498593663</v>
      </c>
      <c r="R25" s="10">
        <f t="shared" ca="1" si="7"/>
        <v>-0.98122760781938001</v>
      </c>
      <c r="S25" s="7">
        <f t="shared" ca="1" si="8"/>
        <v>-4.0661597850545474</v>
      </c>
      <c r="U25" s="7">
        <v>19</v>
      </c>
      <c r="V25" s="7">
        <f t="shared" ca="1" si="9"/>
        <v>0.25442887172670881</v>
      </c>
      <c r="W25" s="7">
        <f t="shared" ca="1" si="10"/>
        <v>-1.5429689050342568</v>
      </c>
      <c r="X25" s="7">
        <f t="shared" ca="1" si="11"/>
        <v>0.247046096724021</v>
      </c>
      <c r="Y25" s="7">
        <f t="shared" ca="1" si="12"/>
        <v>0.67379672956770631</v>
      </c>
      <c r="Z25" s="7">
        <f t="shared" ca="1" si="13"/>
        <v>0.86646526214376718</v>
      </c>
      <c r="AA25" s="7">
        <f t="shared" ca="1" si="14"/>
        <v>4.4658610485750687</v>
      </c>
      <c r="AB25" s="7">
        <v>57.738171306010599</v>
      </c>
      <c r="AC25" s="7"/>
    </row>
    <row r="26" spans="1:29" x14ac:dyDescent="0.3">
      <c r="A26" s="7">
        <v>20</v>
      </c>
      <c r="B26" s="7">
        <f t="shared" ca="1" si="0"/>
        <v>0.40913578251219074</v>
      </c>
      <c r="C26" s="7">
        <f t="shared" ca="1" si="5"/>
        <v>-0.57091671626777352</v>
      </c>
      <c r="D26">
        <f t="shared" ca="1" si="1"/>
        <v>0.80082718775607042</v>
      </c>
      <c r="E26" s="7">
        <f t="shared" ca="1" si="2"/>
        <v>3.5928622883330834</v>
      </c>
      <c r="F26">
        <f t="shared" ca="1" si="3"/>
        <v>0.48514876512623928</v>
      </c>
      <c r="G26" s="7">
        <f t="shared" ca="1" si="4"/>
        <v>2.9405950605049571</v>
      </c>
      <c r="H26" s="7">
        <f t="shared" ca="1" si="6"/>
        <v>61.918969173749439</v>
      </c>
      <c r="P26" s="9"/>
      <c r="Q26" s="55">
        <f t="shared" ca="1" si="15"/>
        <v>14.226662192959978</v>
      </c>
      <c r="R26" s="10">
        <f t="shared" ca="1" si="7"/>
        <v>0.46303954035100359</v>
      </c>
      <c r="S26" s="7">
        <f t="shared" ca="1" si="8"/>
        <v>1.6636373025342059</v>
      </c>
      <c r="U26" s="7">
        <v>20</v>
      </c>
      <c r="V26" s="7">
        <f t="shared" ca="1" si="9"/>
        <v>0.55516984549011428</v>
      </c>
      <c r="W26" s="7">
        <f t="shared" ca="1" si="10"/>
        <v>0.34664236258285408</v>
      </c>
      <c r="X26" s="7">
        <f t="shared" ca="1" si="11"/>
        <v>0.34786927673431489</v>
      </c>
      <c r="Y26" s="7">
        <f t="shared" ca="1" si="12"/>
        <v>0.82705283153696207</v>
      </c>
      <c r="Z26" s="7">
        <f t="shared" ca="1" si="13"/>
        <v>0.61092183956605428</v>
      </c>
      <c r="AA26" s="7">
        <f t="shared" ca="1" si="14"/>
        <v>3.4436873582642171</v>
      </c>
      <c r="AB26" s="7">
        <v>60.533861845220898</v>
      </c>
      <c r="AC26" s="7"/>
    </row>
    <row r="27" spans="1:29" x14ac:dyDescent="0.3">
      <c r="A27" s="7">
        <v>21</v>
      </c>
      <c r="B27" s="7">
        <f t="shared" ca="1" si="0"/>
        <v>0.15349707573460059</v>
      </c>
      <c r="C27" s="7">
        <f t="shared" ca="1" si="5"/>
        <v>-2.1771420826391186</v>
      </c>
      <c r="D27">
        <f t="shared" ca="1" si="1"/>
        <v>0.22701781831553425</v>
      </c>
      <c r="E27" s="7">
        <f t="shared" ca="1" si="2"/>
        <v>1.435268007088198</v>
      </c>
      <c r="F27">
        <f t="shared" ca="1" si="3"/>
        <v>0.72043671958454158</v>
      </c>
      <c r="G27" s="7">
        <f t="shared" ca="1" si="4"/>
        <v>3.8817468783381663</v>
      </c>
      <c r="H27" s="7">
        <f t="shared" ca="1" si="6"/>
        <v>64.859564234254393</v>
      </c>
      <c r="P27" s="9"/>
      <c r="Q27" s="55">
        <f t="shared" ca="1" si="15"/>
        <v>14.975433887326293</v>
      </c>
      <c r="R27" s="10">
        <f t="shared" ca="1" si="7"/>
        <v>0.97322661017430845</v>
      </c>
      <c r="S27" s="7">
        <f t="shared" ca="1" si="8"/>
        <v>1.3968410172300822</v>
      </c>
      <c r="U27" s="7">
        <v>21</v>
      </c>
      <c r="V27" s="7">
        <f t="shared" ca="1" si="9"/>
        <v>1.1711020397128569E-2</v>
      </c>
      <c r="W27" s="7">
        <f t="shared" ca="1" si="10"/>
        <v>-3.0680101422984745</v>
      </c>
      <c r="X27" s="7">
        <f t="shared" ca="1" si="11"/>
        <v>0.52756164128594685</v>
      </c>
      <c r="Y27" s="7">
        <f t="shared" ca="1" si="12"/>
        <v>1.0953341030437991</v>
      </c>
      <c r="Z27" s="7">
        <f t="shared" ca="1" si="13"/>
        <v>0.54066687652232726</v>
      </c>
      <c r="AA27" s="7">
        <f t="shared" ca="1" si="14"/>
        <v>3.162667506089309</v>
      </c>
      <c r="AB27" s="7">
        <v>64.647932799407698</v>
      </c>
      <c r="AC27" s="7"/>
    </row>
    <row r="28" spans="1:29" x14ac:dyDescent="0.3">
      <c r="A28" s="7">
        <v>22</v>
      </c>
      <c r="B28" s="7">
        <f t="shared" ca="1" si="0"/>
        <v>0.54819242147354974</v>
      </c>
      <c r="C28" s="7">
        <f t="shared" ca="1" si="5"/>
        <v>0.30280191452001359</v>
      </c>
      <c r="D28">
        <f t="shared" ca="1" si="1"/>
        <v>0.23829070126075858</v>
      </c>
      <c r="E28" s="7">
        <f t="shared" ca="1" si="2"/>
        <v>1.4756430294669212</v>
      </c>
      <c r="F28">
        <f t="shared" ca="1" si="3"/>
        <v>0.74547753536989536</v>
      </c>
      <c r="G28" s="7">
        <f t="shared" ca="1" si="4"/>
        <v>3.9819101414795814</v>
      </c>
      <c r="H28" s="7">
        <f t="shared" ca="1" si="6"/>
        <v>68.741311112592555</v>
      </c>
      <c r="P28" s="9"/>
      <c r="Q28" s="55">
        <f t="shared" ca="1" si="15"/>
        <v>15.724205581692608</v>
      </c>
      <c r="R28" s="10">
        <f t="shared" ca="1" si="7"/>
        <v>-0.94953563830144205</v>
      </c>
      <c r="S28" s="7">
        <f t="shared" ca="1" si="8"/>
        <v>-1.4011756458899467</v>
      </c>
      <c r="U28" s="7">
        <v>22</v>
      </c>
      <c r="V28" s="7">
        <f t="shared" ca="1" si="9"/>
        <v>8.9289016317136372E-2</v>
      </c>
      <c r="W28" s="7">
        <f t="shared" ca="1" si="10"/>
        <v>-2.5805732181734435</v>
      </c>
      <c r="X28" s="7">
        <f t="shared" ca="1" si="11"/>
        <v>0.52142921894924898</v>
      </c>
      <c r="Y28" s="7">
        <f t="shared" ca="1" si="12"/>
        <v>1.0858737725887184</v>
      </c>
      <c r="Z28" s="7">
        <f t="shared" ca="1" si="13"/>
        <v>0.79425406448307301</v>
      </c>
      <c r="AA28" s="7">
        <f t="shared" ca="1" si="14"/>
        <v>4.1770162579322925</v>
      </c>
      <c r="AB28" s="7">
        <v>67.994395775864604</v>
      </c>
      <c r="AC28" s="7"/>
    </row>
    <row r="29" spans="1:29" x14ac:dyDescent="0.3">
      <c r="A29" s="7">
        <v>23</v>
      </c>
      <c r="B29" s="7">
        <f t="shared" ca="1" si="0"/>
        <v>0.18633803076350641</v>
      </c>
      <c r="C29" s="7">
        <f t="shared" ca="1" si="5"/>
        <v>-1.9707962765277518</v>
      </c>
      <c r="D29">
        <f t="shared" ca="1" si="1"/>
        <v>0.29540898479555777</v>
      </c>
      <c r="E29" s="7">
        <f t="shared" ca="1" si="2"/>
        <v>1.673649341486154</v>
      </c>
      <c r="F29">
        <f t="shared" ca="1" si="3"/>
        <v>0.21913004486684218</v>
      </c>
      <c r="G29" s="7">
        <f t="shared" ca="1" si="4"/>
        <v>1.8765201794673687</v>
      </c>
      <c r="H29" s="7">
        <f t="shared" ca="1" si="6"/>
        <v>72.723221254072143</v>
      </c>
      <c r="P29" s="9"/>
      <c r="Q29" s="55">
        <f t="shared" ca="1" si="15"/>
        <v>16.472977276058923</v>
      </c>
      <c r="R29" s="10">
        <f t="shared" ca="1" si="7"/>
        <v>-0.35696242670573208</v>
      </c>
      <c r="S29" s="7">
        <f t="shared" ca="1" si="8"/>
        <v>-0.59742993039134795</v>
      </c>
      <c r="U29" s="7">
        <v>23</v>
      </c>
      <c r="V29" s="7">
        <f t="shared" ca="1" si="9"/>
        <v>7.1908407424592702E-2</v>
      </c>
      <c r="W29" s="7">
        <f t="shared" ca="1" si="10"/>
        <v>-2.6897788045969087</v>
      </c>
      <c r="X29" s="7">
        <f t="shared" ca="1" si="11"/>
        <v>0.14685279622790448</v>
      </c>
      <c r="Y29" s="7">
        <f t="shared" ca="1" si="12"/>
        <v>0.50410026708656663</v>
      </c>
      <c r="Z29" s="7">
        <f t="shared" ca="1" si="13"/>
        <v>0.38187713918181687</v>
      </c>
      <c r="AA29" s="7">
        <f t="shared" ca="1" si="14"/>
        <v>2.5275085567272675</v>
      </c>
      <c r="AB29" s="7">
        <v>71.505353663158203</v>
      </c>
      <c r="AC29" s="7"/>
    </row>
    <row r="30" spans="1:29" x14ac:dyDescent="0.3">
      <c r="A30" s="7">
        <v>24</v>
      </c>
      <c r="B30" s="7">
        <f t="shared" ca="1" si="0"/>
        <v>0.68899146329312211</v>
      </c>
      <c r="C30" s="7">
        <f t="shared" ca="1" si="5"/>
        <v>1.1874683853457153</v>
      </c>
      <c r="D30">
        <f t="shared" ca="1" si="1"/>
        <v>0.67462112039493027</v>
      </c>
      <c r="E30" s="7">
        <f t="shared" ca="1" si="2"/>
        <v>2.9970185081176854</v>
      </c>
      <c r="F30">
        <f t="shared" ca="1" si="3"/>
        <v>0.14749430774264272</v>
      </c>
      <c r="G30" s="7">
        <f t="shared" ca="1" si="4"/>
        <v>1.5899772309705709</v>
      </c>
      <c r="H30" s="7">
        <f t="shared" ca="1" si="6"/>
        <v>74.599741433539506</v>
      </c>
      <c r="P30" s="9"/>
      <c r="Q30" s="55">
        <f t="shared" ca="1" si="15"/>
        <v>17.221748970425239</v>
      </c>
      <c r="R30" s="10">
        <f t="shared" ca="1" si="7"/>
        <v>0.90460740284630647</v>
      </c>
      <c r="S30" s="7">
        <f t="shared" ca="1" si="8"/>
        <v>2.7111251289106515</v>
      </c>
      <c r="U30" s="7">
        <v>24</v>
      </c>
      <c r="V30" s="7">
        <f t="shared" ca="1" si="9"/>
        <v>0.87569634196356905</v>
      </c>
      <c r="W30" s="7">
        <f t="shared" ca="1" si="10"/>
        <v>2.3605697357866147</v>
      </c>
      <c r="X30" s="7">
        <f t="shared" ca="1" si="11"/>
        <v>0.81628835744549855</v>
      </c>
      <c r="Y30" s="7">
        <f t="shared" ca="1" si="12"/>
        <v>1.6465177366467942</v>
      </c>
      <c r="Z30" s="7">
        <f t="shared" ca="1" si="13"/>
        <v>0.17080177579005351</v>
      </c>
      <c r="AA30" s="7">
        <f t="shared" ca="1" si="14"/>
        <v>1.683207103160214</v>
      </c>
      <c r="AB30" s="7">
        <v>75.465493796615505</v>
      </c>
      <c r="AC30" s="7"/>
    </row>
    <row r="31" spans="1:29" x14ac:dyDescent="0.3">
      <c r="A31" s="7">
        <v>25</v>
      </c>
      <c r="B31" s="7">
        <f t="shared" ca="1" si="0"/>
        <v>0.36661507583649422</v>
      </c>
      <c r="C31" s="7">
        <f t="shared" ca="1" si="5"/>
        <v>-0.83808219570340281</v>
      </c>
      <c r="D31">
        <f t="shared" ca="1" si="1"/>
        <v>0.56795603644247017</v>
      </c>
      <c r="E31" s="7">
        <f t="shared" ca="1" si="2"/>
        <v>2.5911046731796921</v>
      </c>
      <c r="F31">
        <f t="shared" ca="1" si="3"/>
        <v>0.21966508423588971</v>
      </c>
      <c r="G31" s="7">
        <f t="shared" ca="1" si="4"/>
        <v>1.8786603369435588</v>
      </c>
      <c r="H31" s="7">
        <f t="shared" ca="1" si="6"/>
        <v>76.189718664510082</v>
      </c>
      <c r="P31" s="9"/>
      <c r="Q31" s="55">
        <f t="shared" ca="1" si="15"/>
        <v>17.970520664791554</v>
      </c>
      <c r="R31" s="10">
        <f t="shared" ca="1" si="7"/>
        <v>-0.14579956487240284</v>
      </c>
      <c r="S31" s="7">
        <f t="shared" ca="1" si="8"/>
        <v>-0.37778193388844866</v>
      </c>
      <c r="U31" s="7">
        <v>25</v>
      </c>
      <c r="V31" s="7">
        <f t="shared" ca="1" si="9"/>
        <v>0.35486374954912792</v>
      </c>
      <c r="W31" s="7">
        <f t="shared" ca="1" si="10"/>
        <v>-0.91191795637205608</v>
      </c>
      <c r="X31" s="7">
        <f t="shared" ca="1" si="11"/>
        <v>0.20299153682569082</v>
      </c>
      <c r="Y31" s="7">
        <f t="shared" ca="1" si="12"/>
        <v>0.60251470549351183</v>
      </c>
      <c r="Z31" s="7">
        <f t="shared" ca="1" si="13"/>
        <v>0.79219520479786265</v>
      </c>
      <c r="AA31" s="7">
        <f t="shared" ca="1" si="14"/>
        <v>4.1687808191914506</v>
      </c>
      <c r="AB31" s="7">
        <v>78.653014974726702</v>
      </c>
      <c r="AC31" s="7"/>
    </row>
    <row r="32" spans="1:29" x14ac:dyDescent="0.3">
      <c r="A32" s="7">
        <v>26</v>
      </c>
      <c r="B32" s="7">
        <f t="shared" ca="1" si="0"/>
        <v>0.62814519816880676</v>
      </c>
      <c r="C32" s="7">
        <f t="shared" ca="1" si="5"/>
        <v>0.80516002631986305</v>
      </c>
      <c r="D32">
        <f t="shared" ca="1" si="1"/>
        <v>0.67663332481511917</v>
      </c>
      <c r="E32" s="7">
        <f t="shared" ca="1" si="2"/>
        <v>3.0052865185745374</v>
      </c>
      <c r="F32">
        <f t="shared" ca="1" si="3"/>
        <v>0.6135648151367642</v>
      </c>
      <c r="G32" s="7">
        <f t="shared" ca="1" si="4"/>
        <v>3.4542592605470568</v>
      </c>
      <c r="H32" s="7">
        <f t="shared" ca="1" si="6"/>
        <v>78.068379001453636</v>
      </c>
      <c r="P32" s="9"/>
      <c r="Q32" s="55">
        <f t="shared" ca="1" si="15"/>
        <v>18.719292359157869</v>
      </c>
      <c r="R32" s="10">
        <f t="shared" ca="1" si="7"/>
        <v>0.78077164635457263</v>
      </c>
      <c r="S32" s="7">
        <f t="shared" ca="1" si="8"/>
        <v>2.3464425028746434</v>
      </c>
      <c r="U32" s="7">
        <v>26</v>
      </c>
      <c r="V32" s="7">
        <f t="shared" ca="1" si="9"/>
        <v>0.90190468234340515</v>
      </c>
      <c r="W32" s="7">
        <f t="shared" ca="1" si="10"/>
        <v>2.5252415949867624</v>
      </c>
      <c r="X32" s="7">
        <f t="shared" ca="1" si="11"/>
        <v>0.2367382405366083</v>
      </c>
      <c r="Y32" s="7">
        <f t="shared" ca="1" si="12"/>
        <v>0.65745477763056404</v>
      </c>
      <c r="Z32" s="7">
        <f t="shared" ca="1" si="13"/>
        <v>0.138205205596584</v>
      </c>
      <c r="AA32" s="7">
        <f t="shared" ca="1" si="14"/>
        <v>1.552820822386336</v>
      </c>
      <c r="AB32" s="7">
        <v>81.976671118821699</v>
      </c>
      <c r="AC32" s="7"/>
    </row>
    <row r="33" spans="1:29" x14ac:dyDescent="0.3">
      <c r="A33" s="7">
        <v>27</v>
      </c>
      <c r="B33" s="7">
        <f t="shared" ca="1" si="0"/>
        <v>0.22010973172993931</v>
      </c>
      <c r="C33" s="7">
        <f t="shared" ca="1" si="5"/>
        <v>-1.7586024212169982</v>
      </c>
      <c r="D33">
        <f t="shared" ca="1" si="1"/>
        <v>0.5720258497051468</v>
      </c>
      <c r="E33" s="7">
        <f t="shared" ca="1" si="2"/>
        <v>2.605674548721133</v>
      </c>
      <c r="F33">
        <f t="shared" ca="1" si="3"/>
        <v>0.6730205587726964</v>
      </c>
      <c r="G33" s="7">
        <f t="shared" ca="1" si="4"/>
        <v>3.6920822350907856</v>
      </c>
      <c r="H33" s="7">
        <f t="shared" ca="1" si="6"/>
        <v>81.522638262000697</v>
      </c>
      <c r="P33" s="9"/>
      <c r="Q33" s="55">
        <f t="shared" ca="1" si="15"/>
        <v>19.468064053524184</v>
      </c>
      <c r="R33" s="10">
        <f t="shared" ca="1" si="7"/>
        <v>0.41750882774805037</v>
      </c>
      <c r="S33" s="7">
        <f t="shared" ca="1" si="8"/>
        <v>1.0878921263294905</v>
      </c>
      <c r="U33" s="7">
        <v>27</v>
      </c>
      <c r="V33" s="7">
        <f t="shared" ca="1" si="9"/>
        <v>0.41229643153861384</v>
      </c>
      <c r="W33" s="7">
        <f t="shared" ca="1" si="10"/>
        <v>-0.55105777274380063</v>
      </c>
      <c r="X33" s="7">
        <f t="shared" ca="1" si="11"/>
        <v>0.46390019075350186</v>
      </c>
      <c r="Y33" s="7">
        <f t="shared" ca="1" si="12"/>
        <v>0.99874715436148187</v>
      </c>
      <c r="Z33" s="7">
        <f t="shared" ca="1" si="13"/>
        <v>0.32998738405292838</v>
      </c>
      <c r="AA33" s="7">
        <f t="shared" ca="1" si="14"/>
        <v>2.3199495362117135</v>
      </c>
      <c r="AB33" s="7">
        <v>86.086994287838493</v>
      </c>
      <c r="AC33" s="7"/>
    </row>
    <row r="34" spans="1:29" x14ac:dyDescent="0.3">
      <c r="A34" s="7">
        <v>28</v>
      </c>
      <c r="B34" s="7">
        <f t="shared" ca="1" si="0"/>
        <v>0.6396371241939629</v>
      </c>
      <c r="C34" s="7">
        <f t="shared" ca="1" si="5"/>
        <v>0.87736592707231864</v>
      </c>
      <c r="D34">
        <f t="shared" ca="1" si="1"/>
        <v>0.97958106489317398</v>
      </c>
      <c r="E34" s="7">
        <f t="shared" ca="1" si="2"/>
        <v>5.5794570467917435</v>
      </c>
      <c r="F34">
        <f t="shared" ca="1" si="3"/>
        <v>4.1812830723739869E-2</v>
      </c>
      <c r="G34" s="7">
        <f t="shared" ca="1" si="4"/>
        <v>1.1672513228949595</v>
      </c>
      <c r="H34" s="7">
        <f t="shared" ca="1" si="6"/>
        <v>85.214720497091477</v>
      </c>
      <c r="P34" s="9"/>
      <c r="Q34" s="55">
        <f t="shared" ca="1" si="15"/>
        <v>20.216835747890499</v>
      </c>
      <c r="R34" s="10">
        <f t="shared" ca="1" si="7"/>
        <v>-0.62399864267203742</v>
      </c>
      <c r="S34" s="7">
        <f t="shared" ca="1" si="8"/>
        <v>-3.4815736240449824</v>
      </c>
      <c r="U34" s="7">
        <v>28</v>
      </c>
      <c r="V34" s="7">
        <f t="shared" ca="1" si="9"/>
        <v>0.68424161556932506</v>
      </c>
      <c r="W34" s="7">
        <f t="shared" ca="1" si="10"/>
        <v>1.1576242119162128</v>
      </c>
      <c r="X34" s="7">
        <f t="shared" ca="1" si="11"/>
        <v>0.5847909583915597</v>
      </c>
      <c r="Y34" s="7">
        <f t="shared" ca="1" si="12"/>
        <v>1.1858992677990681</v>
      </c>
      <c r="Z34" s="7">
        <f t="shared" ca="1" si="13"/>
        <v>0.13154495458209503</v>
      </c>
      <c r="AA34" s="7">
        <f t="shared" ca="1" si="14"/>
        <v>1.5261798183283801</v>
      </c>
      <c r="AB34" s="7">
        <v>88.958400751011993</v>
      </c>
      <c r="AC34" s="7"/>
    </row>
    <row r="35" spans="1:29" x14ac:dyDescent="0.3">
      <c r="A35" s="7">
        <v>29</v>
      </c>
      <c r="B35" s="7">
        <f t="shared" ca="1" si="0"/>
        <v>0.51345162288559154</v>
      </c>
      <c r="C35" s="7">
        <f t="shared" ca="1" si="5"/>
        <v>8.4519039272469509E-2</v>
      </c>
      <c r="D35">
        <f t="shared" ca="1" si="1"/>
        <v>0.56494914233579852</v>
      </c>
      <c r="E35" s="7">
        <f t="shared" ca="1" si="2"/>
        <v>2.5803756944395579</v>
      </c>
      <c r="F35">
        <f t="shared" ca="1" si="3"/>
        <v>0.92720114822896682</v>
      </c>
      <c r="G35" s="7">
        <f t="shared" ca="1" si="4"/>
        <v>4.7088045929158673</v>
      </c>
      <c r="H35" s="7">
        <f t="shared" ca="1" si="6"/>
        <v>86.381971819986433</v>
      </c>
      <c r="P35" s="9"/>
      <c r="Q35" s="55">
        <f t="shared" ca="1" si="15"/>
        <v>20.965607442256815</v>
      </c>
      <c r="R35" s="10">
        <f t="shared" ca="1" si="7"/>
        <v>-0.58896231714087632</v>
      </c>
      <c r="S35" s="7">
        <f t="shared" ca="1" si="8"/>
        <v>-1.51974404809112</v>
      </c>
      <c r="U35" s="7">
        <v>29</v>
      </c>
      <c r="V35" s="7">
        <f t="shared" ca="1" si="9"/>
        <v>0.39542451525303934</v>
      </c>
      <c r="W35" s="7">
        <f t="shared" ca="1" si="10"/>
        <v>-0.65706714925328624</v>
      </c>
      <c r="X35" s="7">
        <f t="shared" ca="1" si="11"/>
        <v>0.74016178126437204</v>
      </c>
      <c r="Y35" s="7">
        <f t="shared" ca="1" si="12"/>
        <v>1.4684392134604649</v>
      </c>
      <c r="Z35" s="7">
        <f t="shared" ca="1" si="13"/>
        <v>1.7449490964150827E-2</v>
      </c>
      <c r="AA35" s="7">
        <f t="shared" ca="1" si="14"/>
        <v>1.0697979638566033</v>
      </c>
      <c r="AB35" s="7">
        <v>91.1063542342864</v>
      </c>
      <c r="AC35" s="7"/>
    </row>
    <row r="36" spans="1:29" x14ac:dyDescent="0.3">
      <c r="A36" s="7">
        <v>30</v>
      </c>
      <c r="B36" s="7">
        <f t="shared" ca="1" si="0"/>
        <v>0.92454683584129482</v>
      </c>
      <c r="C36" s="7">
        <f t="shared" ca="1" si="5"/>
        <v>2.6675064411676077</v>
      </c>
      <c r="D36">
        <f t="shared" ca="1" si="1"/>
        <v>0.9942124701727727</v>
      </c>
      <c r="E36" s="7">
        <f t="shared" ca="1" si="2"/>
        <v>6.4199998167292724</v>
      </c>
      <c r="F36">
        <f t="shared" ca="1" si="3"/>
        <v>0.55049385137621365</v>
      </c>
      <c r="G36" s="7">
        <f t="shared" ca="1" si="4"/>
        <v>3.2019754055048546</v>
      </c>
      <c r="H36" s="7">
        <f t="shared" ca="1" si="6"/>
        <v>91.090776412902301</v>
      </c>
      <c r="P36" s="9"/>
      <c r="Q36" s="55">
        <f t="shared" ca="1" si="15"/>
        <v>21.71437913662313</v>
      </c>
      <c r="R36" s="10">
        <f t="shared" ca="1" si="7"/>
        <v>0.73110535625889905</v>
      </c>
      <c r="S36" s="7">
        <f t="shared" ca="1" si="8"/>
        <v>4.6936962531919217</v>
      </c>
      <c r="U36" s="7">
        <v>30</v>
      </c>
      <c r="V36" s="7">
        <f t="shared" ca="1" si="9"/>
        <v>0.21898303957954557</v>
      </c>
      <c r="W36" s="7">
        <f t="shared" ca="1" si="10"/>
        <v>-1.7656816367820667</v>
      </c>
      <c r="X36" s="7">
        <f t="shared" ca="1" si="11"/>
        <v>0.99271749182669244</v>
      </c>
      <c r="Y36" s="7">
        <f t="shared" ca="1" si="12"/>
        <v>2.8063584793991363</v>
      </c>
      <c r="Z36" s="7">
        <f t="shared" ca="1" si="13"/>
        <v>0.26550898289578762</v>
      </c>
      <c r="AA36" s="7">
        <f t="shared" ca="1" si="14"/>
        <v>2.0620359315831505</v>
      </c>
      <c r="AB36" s="7">
        <v>95.847989830453002</v>
      </c>
      <c r="AC36" s="7"/>
    </row>
    <row r="37" spans="1:29" x14ac:dyDescent="0.3">
      <c r="A37" s="7">
        <v>31</v>
      </c>
      <c r="B37" s="7">
        <f t="shared" ca="1" si="0"/>
        <v>0.33715031644071858</v>
      </c>
      <c r="C37" s="7">
        <f t="shared" ca="1" si="5"/>
        <v>-1.0232147390185222</v>
      </c>
      <c r="D37">
        <f t="shared" ca="1" si="1"/>
        <v>0.28558408969679849</v>
      </c>
      <c r="E37" s="7">
        <f t="shared" ca="1" si="2"/>
        <v>1.6402194458222845</v>
      </c>
      <c r="F37">
        <f t="shared" ca="1" si="3"/>
        <v>0.37954162773074063</v>
      </c>
      <c r="G37" s="7">
        <f t="shared" ca="1" si="4"/>
        <v>2.5181665109229625</v>
      </c>
      <c r="H37" s="7">
        <f t="shared" ca="1" si="6"/>
        <v>94.292751818407154</v>
      </c>
      <c r="P37" s="9"/>
      <c r="Q37" s="55">
        <f t="shared" ca="1" si="15"/>
        <v>22.463150830989445</v>
      </c>
      <c r="R37" s="10">
        <f t="shared" ca="1" si="7"/>
        <v>-0.85189014609835811</v>
      </c>
      <c r="S37" s="7">
        <f t="shared" ca="1" si="8"/>
        <v>-1.3972867833349139</v>
      </c>
      <c r="U37" s="7">
        <v>31</v>
      </c>
      <c r="V37" s="7">
        <f t="shared" ca="1" si="9"/>
        <v>0.70570605629658201</v>
      </c>
      <c r="W37" s="7">
        <f t="shared" ca="1" si="10"/>
        <v>1.2924892705205409</v>
      </c>
      <c r="X37" s="7">
        <f t="shared" ca="1" si="11"/>
        <v>0.60026859790830922</v>
      </c>
      <c r="Y37" s="7">
        <f t="shared" ca="1" si="12"/>
        <v>1.2112555153713982</v>
      </c>
      <c r="Z37" s="7">
        <f t="shared" ca="1" si="13"/>
        <v>0.52779072908905378</v>
      </c>
      <c r="AA37" s="7">
        <f t="shared" ca="1" si="14"/>
        <v>3.1111629163562151</v>
      </c>
      <c r="AB37" s="7">
        <v>100.21873127490601</v>
      </c>
      <c r="AC37" s="7"/>
    </row>
    <row r="38" spans="1:29" x14ac:dyDescent="0.3">
      <c r="A38" s="7">
        <v>32</v>
      </c>
      <c r="B38" s="7">
        <f t="shared" ca="1" si="0"/>
        <v>0.27636307493146151</v>
      </c>
      <c r="C38" s="7">
        <f t="shared" ca="1" si="5"/>
        <v>-1.4051522417334632</v>
      </c>
      <c r="D38">
        <f t="shared" ca="1" si="1"/>
        <v>0.88588216272661824</v>
      </c>
      <c r="E38" s="7">
        <f t="shared" ca="1" si="2"/>
        <v>4.1670360729456277</v>
      </c>
      <c r="F38">
        <f t="shared" ca="1" si="3"/>
        <v>0.10952985457022102</v>
      </c>
      <c r="G38" s="7">
        <f t="shared" ca="1" si="4"/>
        <v>1.4381194182808841</v>
      </c>
      <c r="H38" s="7">
        <f t="shared" ca="1" si="6"/>
        <v>96.810918329330121</v>
      </c>
      <c r="P38" s="9"/>
      <c r="Q38" s="55">
        <f t="shared" ca="1" si="15"/>
        <v>23.21192252535576</v>
      </c>
      <c r="R38" s="10">
        <f t="shared" ca="1" si="7"/>
        <v>-0.98305042178218638</v>
      </c>
      <c r="S38" s="7">
        <f t="shared" ca="1" si="8"/>
        <v>-4.0964065690907852</v>
      </c>
      <c r="U38" s="7">
        <v>32</v>
      </c>
      <c r="V38" s="7">
        <f t="shared" ca="1" si="9"/>
        <v>3.9235236516097172E-2</v>
      </c>
      <c r="W38" s="7">
        <f t="shared" ca="1" si="10"/>
        <v>-2.8950703919881353</v>
      </c>
      <c r="X38" s="7">
        <f t="shared" ca="1" si="11"/>
        <v>0.96692511618180166</v>
      </c>
      <c r="Y38" s="7">
        <f t="shared" ca="1" si="12"/>
        <v>2.3354592119459801</v>
      </c>
      <c r="Z38" s="7">
        <f t="shared" ca="1" si="13"/>
        <v>0.17504962445460148</v>
      </c>
      <c r="AA38" s="7">
        <f t="shared" ca="1" si="14"/>
        <v>1.7001984978184059</v>
      </c>
      <c r="AB38" s="7">
        <v>103.20074992784799</v>
      </c>
      <c r="AC38" s="7"/>
    </row>
    <row r="39" spans="1:29" x14ac:dyDescent="0.3">
      <c r="A39" s="7">
        <v>33</v>
      </c>
      <c r="B39" s="7">
        <f t="shared" ref="B39:B56" ca="1" si="16">RAND()</f>
        <v>0.78935741318372055</v>
      </c>
      <c r="C39" s="7">
        <f t="shared" ref="C39:C56" ca="1" si="17">-PI()+2*PI()*B39</f>
        <v>1.8180862470394459</v>
      </c>
      <c r="D39">
        <f t="shared" ref="D39:D56" ca="1" si="18">RAND()</f>
        <v>7.8026955770129969E-2</v>
      </c>
      <c r="E39" s="7">
        <f t="shared" ref="E39:E56" ca="1" si="19">2*SQRT(2*LN(1/(1-D39)))</f>
        <v>0.80617264675070011</v>
      </c>
      <c r="F39">
        <f t="shared" ref="F39:F56" ca="1" si="20">RAND()</f>
        <v>0.25566730268568538</v>
      </c>
      <c r="G39" s="7">
        <f t="shared" ref="G39:G56" ca="1" si="21">1+(5-1)*F39</f>
        <v>2.0226692107427415</v>
      </c>
      <c r="H39" s="7">
        <f t="shared" ca="1" si="6"/>
        <v>98.249037747610998</v>
      </c>
      <c r="P39" s="9"/>
      <c r="Q39" s="55">
        <f t="shared" ca="1" si="15"/>
        <v>23.960694219722075</v>
      </c>
      <c r="R39" s="10">
        <f t="shared" ca="1" si="7"/>
        <v>0.79847454724650091</v>
      </c>
      <c r="S39" s="7">
        <f t="shared" ca="1" si="8"/>
        <v>0.64370833911677861</v>
      </c>
      <c r="U39" s="7">
        <v>33</v>
      </c>
      <c r="V39" s="7">
        <f t="shared" ca="1" si="9"/>
        <v>0.79181092766840433</v>
      </c>
      <c r="W39" s="7">
        <f t="shared" ca="1" si="10"/>
        <v>1.8335021332005628</v>
      </c>
      <c r="X39" s="7">
        <f t="shared" ca="1" si="11"/>
        <v>0.18277145795843552</v>
      </c>
      <c r="Y39" s="7">
        <f t="shared" ca="1" si="12"/>
        <v>0.56827667911913127</v>
      </c>
      <c r="Z39" s="7">
        <f t="shared" ca="1" si="13"/>
        <v>0.45360359750626433</v>
      </c>
      <c r="AA39" s="7">
        <f t="shared" ca="1" si="14"/>
        <v>2.8144143900250573</v>
      </c>
      <c r="AB39" s="7">
        <v>106.727915733158</v>
      </c>
      <c r="AC39" s="7"/>
    </row>
    <row r="40" spans="1:29" x14ac:dyDescent="0.3">
      <c r="A40" s="7">
        <v>34</v>
      </c>
      <c r="B40" s="7">
        <f t="shared" ca="1" si="16"/>
        <v>0.2406833945479393</v>
      </c>
      <c r="C40" s="7">
        <f t="shared" ca="1" si="17"/>
        <v>-1.6293342852840735</v>
      </c>
      <c r="D40">
        <f t="shared" ca="1" si="18"/>
        <v>0.94063541768625258</v>
      </c>
      <c r="E40" s="7">
        <f t="shared" ca="1" si="19"/>
        <v>4.7531526277113887</v>
      </c>
      <c r="F40">
        <f t="shared" ca="1" si="20"/>
        <v>0.80208969697182098</v>
      </c>
      <c r="G40" s="7">
        <f t="shared" ca="1" si="21"/>
        <v>4.2083587878872839</v>
      </c>
      <c r="H40" s="7">
        <f t="shared" ref="H40:H57" ca="1" si="22">H39+G39</f>
        <v>100.27170695835375</v>
      </c>
      <c r="P40" s="9"/>
      <c r="Q40" s="55">
        <f t="shared" ca="1" si="15"/>
        <v>24.709465914088391</v>
      </c>
      <c r="R40" s="10">
        <f t="shared" ca="1" si="7"/>
        <v>-0.46338677955500956</v>
      </c>
      <c r="S40" s="7">
        <f t="shared" ca="1" si="8"/>
        <v>-2.2025480888886118</v>
      </c>
      <c r="U40" s="7">
        <v>34</v>
      </c>
      <c r="V40" s="7">
        <f t="shared" ca="1" si="9"/>
        <v>0.17471549828362731</v>
      </c>
      <c r="W40" s="7">
        <f t="shared" ca="1" si="10"/>
        <v>-2.0438228018375457</v>
      </c>
      <c r="X40" s="7">
        <f t="shared" ca="1" si="11"/>
        <v>0.69425701390724692</v>
      </c>
      <c r="Y40" s="7">
        <f t="shared" ca="1" si="12"/>
        <v>1.3769592265192636</v>
      </c>
      <c r="Z40" s="7">
        <f t="shared" ca="1" si="13"/>
        <v>0.78076787527682601</v>
      </c>
      <c r="AA40" s="7">
        <f t="shared" ca="1" si="14"/>
        <v>4.1230715011073045</v>
      </c>
      <c r="AB40" s="7">
        <v>109.511592705307</v>
      </c>
      <c r="AC40" s="7"/>
    </row>
    <row r="41" spans="1:29" x14ac:dyDescent="0.3">
      <c r="A41" s="7">
        <v>35</v>
      </c>
      <c r="B41" s="7">
        <f t="shared" ca="1" si="16"/>
        <v>0.18171400509828683</v>
      </c>
      <c r="C41" s="7">
        <f t="shared" ca="1" si="17"/>
        <v>-1.9998498866474808</v>
      </c>
      <c r="D41">
        <f t="shared" ca="1" si="18"/>
        <v>0.9867231379311453</v>
      </c>
      <c r="E41" s="7">
        <f t="shared" ca="1" si="19"/>
        <v>5.8799540493786919</v>
      </c>
      <c r="F41">
        <f t="shared" ca="1" si="20"/>
        <v>0.35612236419483956</v>
      </c>
      <c r="G41" s="7">
        <f t="shared" ca="1" si="21"/>
        <v>2.4244894567793582</v>
      </c>
      <c r="H41" s="7">
        <f t="shared" ca="1" si="22"/>
        <v>104.48006574624102</v>
      </c>
      <c r="P41" s="9"/>
      <c r="Q41" s="55">
        <f t="shared" ca="1" si="15"/>
        <v>25.458237608454706</v>
      </c>
      <c r="R41" s="10">
        <f t="shared" ca="1" si="7"/>
        <v>-0.10337218659286554</v>
      </c>
      <c r="S41" s="7">
        <f t="shared" ca="1" si="8"/>
        <v>-0.60782370714984946</v>
      </c>
      <c r="U41" s="7">
        <v>35</v>
      </c>
      <c r="V41" s="7">
        <f t="shared" ca="1" si="9"/>
        <v>0.78970203341933509</v>
      </c>
      <c r="W41" s="7">
        <f t="shared" ca="1" si="10"/>
        <v>1.8202515598404156</v>
      </c>
      <c r="X41" s="7">
        <f t="shared" ca="1" si="11"/>
        <v>0.76374757317419983</v>
      </c>
      <c r="Y41" s="7">
        <f t="shared" ca="1" si="12"/>
        <v>1.5193969542591694</v>
      </c>
      <c r="Z41" s="7">
        <f t="shared" ca="1" si="13"/>
        <v>0.94067440747519537</v>
      </c>
      <c r="AA41" s="7">
        <f t="shared" ca="1" si="14"/>
        <v>4.7626976299007815</v>
      </c>
      <c r="AB41" s="7">
        <v>113.457605863899</v>
      </c>
      <c r="AC41" s="7"/>
    </row>
    <row r="42" spans="1:29" x14ac:dyDescent="0.3">
      <c r="A42" s="7">
        <v>36</v>
      </c>
      <c r="B42" s="7">
        <f t="shared" ca="1" si="16"/>
        <v>0.90010633624196645</v>
      </c>
      <c r="C42" s="7">
        <f t="shared" ca="1" si="17"/>
        <v>2.5139422531849789</v>
      </c>
      <c r="D42">
        <f t="shared" ca="1" si="18"/>
        <v>0.78508118189277787</v>
      </c>
      <c r="E42" s="7">
        <f t="shared" ca="1" si="19"/>
        <v>3.5071297807279049</v>
      </c>
      <c r="F42">
        <f t="shared" ca="1" si="20"/>
        <v>0.53434253682036892</v>
      </c>
      <c r="G42" s="7">
        <f t="shared" ca="1" si="21"/>
        <v>3.1373701472814757</v>
      </c>
      <c r="H42" s="7">
        <f t="shared" ca="1" si="22"/>
        <v>106.90455520302038</v>
      </c>
      <c r="P42" s="9"/>
      <c r="Q42" s="55">
        <f t="shared" ca="1" si="15"/>
        <v>26.207009302821021</v>
      </c>
      <c r="R42" s="10">
        <f t="shared" ca="1" si="7"/>
        <v>-0.90191314430252489</v>
      </c>
      <c r="S42" s="7">
        <f t="shared" ca="1" si="8"/>
        <v>-3.1631264480133292</v>
      </c>
      <c r="U42" s="7">
        <v>36</v>
      </c>
      <c r="V42" s="7">
        <f t="shared" ca="1" si="9"/>
        <v>0.39186166764783537</v>
      </c>
      <c r="W42" s="7">
        <f t="shared" ca="1" si="10"/>
        <v>-0.67945318097802376</v>
      </c>
      <c r="X42" s="7">
        <f t="shared" ca="1" si="11"/>
        <v>0.46846562085868959</v>
      </c>
      <c r="Y42" s="7">
        <f t="shared" ca="1" si="12"/>
        <v>1.0055743831688755</v>
      </c>
      <c r="Z42" s="7">
        <f t="shared" ca="1" si="13"/>
        <v>0.93683205190553476</v>
      </c>
      <c r="AA42" s="7">
        <f t="shared" ca="1" si="14"/>
        <v>4.7473282076221395</v>
      </c>
      <c r="AB42" s="7">
        <v>114.716908291355</v>
      </c>
      <c r="AC42" s="7"/>
    </row>
    <row r="43" spans="1:29" x14ac:dyDescent="0.3">
      <c r="A43" s="7">
        <v>37</v>
      </c>
      <c r="B43" s="7">
        <f t="shared" ca="1" si="16"/>
        <v>0.53310263366517951</v>
      </c>
      <c r="C43" s="7">
        <f t="shared" ca="1" si="17"/>
        <v>0.20798998147400427</v>
      </c>
      <c r="D43">
        <f t="shared" ca="1" si="18"/>
        <v>0.46399180932768491</v>
      </c>
      <c r="E43" s="7">
        <f t="shared" ca="1" si="19"/>
        <v>2.2335726304251216</v>
      </c>
      <c r="F43">
        <f t="shared" ca="1" si="20"/>
        <v>0.38503615502861854</v>
      </c>
      <c r="G43" s="7">
        <f t="shared" ca="1" si="21"/>
        <v>2.5401446201144742</v>
      </c>
      <c r="H43" s="7">
        <f t="shared" ca="1" si="22"/>
        <v>110.04192535030185</v>
      </c>
      <c r="P43" s="9"/>
      <c r="Q43" s="55">
        <f t="shared" ca="1" si="15"/>
        <v>26.955780997187336</v>
      </c>
      <c r="R43" s="10">
        <f t="shared" ca="1" si="7"/>
        <v>-0.44415725426389385</v>
      </c>
      <c r="S43" s="7">
        <f t="shared" ca="1" si="8"/>
        <v>-0.99205748672860494</v>
      </c>
      <c r="U43" s="7">
        <v>37</v>
      </c>
      <c r="V43" s="7">
        <f t="shared" ca="1" si="9"/>
        <v>1.0054040542180065E-2</v>
      </c>
      <c r="W43" s="7">
        <f t="shared" ca="1" si="10"/>
        <v>-3.0784212537773796</v>
      </c>
      <c r="X43" s="7">
        <f t="shared" ca="1" si="11"/>
        <v>0.56952473964771921</v>
      </c>
      <c r="Y43" s="7">
        <f t="shared" ca="1" si="12"/>
        <v>1.1612857867090223</v>
      </c>
      <c r="Z43" s="7">
        <f t="shared" ca="1" si="13"/>
        <v>0.67159870647294673</v>
      </c>
      <c r="AA43" s="7">
        <f t="shared" ca="1" si="14"/>
        <v>3.6863948258917869</v>
      </c>
      <c r="AB43" s="7">
        <v>116.87927776403799</v>
      </c>
      <c r="AC43" s="7"/>
    </row>
    <row r="44" spans="1:29" x14ac:dyDescent="0.3">
      <c r="A44" s="7">
        <v>38</v>
      </c>
      <c r="B44" s="7">
        <f t="shared" ca="1" si="16"/>
        <v>0.46879124128141603</v>
      </c>
      <c r="C44" s="7">
        <f t="shared" ca="1" si="17"/>
        <v>-0.19609041423591966</v>
      </c>
      <c r="D44">
        <f t="shared" ca="1" si="18"/>
        <v>0.17838537979032565</v>
      </c>
      <c r="E44" s="7">
        <f t="shared" ca="1" si="19"/>
        <v>1.2537426393759981</v>
      </c>
      <c r="F44">
        <f t="shared" ca="1" si="20"/>
        <v>0.70673112297871954</v>
      </c>
      <c r="G44" s="7">
        <f t="shared" ca="1" si="21"/>
        <v>3.8269244919148782</v>
      </c>
      <c r="H44" s="7">
        <f t="shared" ca="1" si="22"/>
        <v>112.58206997041633</v>
      </c>
      <c r="P44" s="9"/>
      <c r="Q44" s="55">
        <f t="shared" ca="1" si="15"/>
        <v>27.704552691553651</v>
      </c>
      <c r="R44" s="10">
        <f t="shared" ca="1" si="7"/>
        <v>-0.72077846479368401</v>
      </c>
      <c r="S44" s="7">
        <f t="shared" ca="1" si="8"/>
        <v>-0.90367069485581331</v>
      </c>
      <c r="U44" s="7">
        <v>38</v>
      </c>
      <c r="V44" s="7">
        <f t="shared" ca="1" si="9"/>
        <v>0.3214757787252307</v>
      </c>
      <c r="W44" s="7">
        <f t="shared" ca="1" si="10"/>
        <v>-1.121700764089308</v>
      </c>
      <c r="X44" s="7">
        <f t="shared" ca="1" si="11"/>
        <v>0.84366371497219339</v>
      </c>
      <c r="Y44" s="7">
        <f t="shared" ca="1" si="12"/>
        <v>1.7231347799205143</v>
      </c>
      <c r="Z44" s="7">
        <f t="shared" ca="1" si="13"/>
        <v>0.13352464303966516</v>
      </c>
      <c r="AA44" s="7">
        <f t="shared" ca="1" si="14"/>
        <v>1.5340985721586606</v>
      </c>
      <c r="AB44" s="7">
        <v>119.83409833753601</v>
      </c>
      <c r="AC44" s="7"/>
    </row>
    <row r="45" spans="1:29" x14ac:dyDescent="0.3">
      <c r="A45" s="7">
        <v>39</v>
      </c>
      <c r="B45" s="7">
        <f t="shared" ca="1" si="16"/>
        <v>0.28314572306541741</v>
      </c>
      <c r="C45" s="7">
        <f t="shared" ca="1" si="17"/>
        <v>-1.3625356066344223</v>
      </c>
      <c r="D45">
        <f t="shared" ca="1" si="18"/>
        <v>0.50512631832970722</v>
      </c>
      <c r="E45" s="7">
        <f t="shared" ca="1" si="19"/>
        <v>2.3722609258248926</v>
      </c>
      <c r="F45">
        <f t="shared" ca="1" si="20"/>
        <v>0.80630816737628308</v>
      </c>
      <c r="G45" s="7">
        <f t="shared" ca="1" si="21"/>
        <v>4.2252326695051323</v>
      </c>
      <c r="H45" s="7">
        <f t="shared" ca="1" si="22"/>
        <v>116.40899446233121</v>
      </c>
      <c r="P45" s="9"/>
      <c r="Q45" s="55">
        <f t="shared" ca="1" si="15"/>
        <v>28.453324385919966</v>
      </c>
      <c r="R45" s="10">
        <f t="shared" ca="1" si="7"/>
        <v>-0.377644613980883</v>
      </c>
      <c r="S45" s="7">
        <f t="shared" ca="1" si="8"/>
        <v>-0.89587156159507364</v>
      </c>
      <c r="U45" s="7">
        <v>39</v>
      </c>
      <c r="V45" s="7">
        <f t="shared" ca="1" si="9"/>
        <v>0.43564369161899863</v>
      </c>
      <c r="W45" s="7">
        <f t="shared" ca="1" si="10"/>
        <v>-0.40436261124382611</v>
      </c>
      <c r="X45" s="7">
        <f t="shared" ca="1" si="11"/>
        <v>6.0779616195041575E-2</v>
      </c>
      <c r="Y45" s="7">
        <f t="shared" ca="1" si="12"/>
        <v>0.3167462751767724</v>
      </c>
      <c r="Z45" s="7">
        <f t="shared" ca="1" si="13"/>
        <v>0.24155213080592008</v>
      </c>
      <c r="AA45" s="7">
        <f t="shared" ca="1" si="14"/>
        <v>1.9662085232236803</v>
      </c>
      <c r="AB45" s="7">
        <v>123.27838641006799</v>
      </c>
      <c r="AC45" s="7"/>
    </row>
    <row r="46" spans="1:29" x14ac:dyDescent="0.3">
      <c r="A46" s="7">
        <v>40</v>
      </c>
      <c r="B46" s="7">
        <f t="shared" ca="1" si="16"/>
        <v>7.931103555839436E-2</v>
      </c>
      <c r="C46" s="7">
        <f t="shared" ca="1" si="17"/>
        <v>-2.6432667202720919</v>
      </c>
      <c r="D46">
        <f t="shared" ca="1" si="18"/>
        <v>0.58142093406912632</v>
      </c>
      <c r="E46" s="7">
        <f t="shared" ca="1" si="19"/>
        <v>2.6395294731320038</v>
      </c>
      <c r="F46">
        <f t="shared" ca="1" si="20"/>
        <v>0.27444785681981121</v>
      </c>
      <c r="G46" s="7">
        <f t="shared" ca="1" si="21"/>
        <v>2.0977914272792448</v>
      </c>
      <c r="H46" s="7">
        <f t="shared" ca="1" si="22"/>
        <v>120.63422713183634</v>
      </c>
      <c r="P46" s="9"/>
      <c r="Q46" s="55">
        <f t="shared" ca="1" si="15"/>
        <v>29.202096080286282</v>
      </c>
      <c r="R46" s="10">
        <f t="shared" ca="1" si="7"/>
        <v>0.1442036812858207</v>
      </c>
      <c r="S46" s="7">
        <f t="shared" ca="1" si="8"/>
        <v>0.38062986688805772</v>
      </c>
      <c r="U46" s="7">
        <v>40</v>
      </c>
      <c r="V46" s="7">
        <f t="shared" ca="1" si="9"/>
        <v>8.2427677159862212E-2</v>
      </c>
      <c r="W46" s="7">
        <f t="shared" ca="1" si="10"/>
        <v>-2.6236842835540046</v>
      </c>
      <c r="X46" s="7">
        <f t="shared" ca="1" si="11"/>
        <v>0.28695362630464605</v>
      </c>
      <c r="Y46" s="7">
        <f t="shared" ca="1" si="12"/>
        <v>0.73561818404596613</v>
      </c>
      <c r="Z46" s="7">
        <f t="shared" ca="1" si="13"/>
        <v>2.044579505965749E-2</v>
      </c>
      <c r="AA46" s="7">
        <f t="shared" ca="1" si="14"/>
        <v>1.08178318023863</v>
      </c>
      <c r="AB46" s="7">
        <v>127.51015950690901</v>
      </c>
      <c r="AC46" s="7"/>
    </row>
    <row r="47" spans="1:29" x14ac:dyDescent="0.3">
      <c r="A47" s="7">
        <v>41</v>
      </c>
      <c r="B47" s="7">
        <f t="shared" ca="1" si="16"/>
        <v>0.45826272658565825</v>
      </c>
      <c r="C47" s="7">
        <f t="shared" ca="1" si="17"/>
        <v>-0.26224302307872938</v>
      </c>
      <c r="D47">
        <f t="shared" ca="1" si="18"/>
        <v>0.75154904172241743</v>
      </c>
      <c r="E47" s="7">
        <f t="shared" ca="1" si="19"/>
        <v>3.3376756030715358</v>
      </c>
      <c r="F47">
        <f t="shared" ca="1" si="20"/>
        <v>0.88036103999695181</v>
      </c>
      <c r="G47" s="7">
        <f t="shared" ca="1" si="21"/>
        <v>4.5214441599878068</v>
      </c>
      <c r="H47" s="7">
        <f t="shared" ca="1" si="22"/>
        <v>122.73201855911559</v>
      </c>
      <c r="P47" s="9"/>
      <c r="Q47" s="55">
        <f t="shared" ca="1" si="15"/>
        <v>29.950867774652597</v>
      </c>
      <c r="R47" s="10">
        <f t="shared" ca="1" si="7"/>
        <v>-0.15586733318352805</v>
      </c>
      <c r="S47" s="7">
        <f t="shared" ca="1" si="8"/>
        <v>-0.52023459528248395</v>
      </c>
      <c r="U47" s="7">
        <v>41</v>
      </c>
      <c r="V47" s="7">
        <f t="shared" ca="1" si="9"/>
        <v>0.41843001528374224</v>
      </c>
      <c r="W47" s="7">
        <f t="shared" ca="1" si="10"/>
        <v>-0.51251932947605416</v>
      </c>
      <c r="X47" s="7">
        <f t="shared" ca="1" si="11"/>
        <v>0.83239697530793166</v>
      </c>
      <c r="Y47" s="7">
        <f t="shared" ca="1" si="12"/>
        <v>1.6905180479407076</v>
      </c>
      <c r="Z47" s="7">
        <f t="shared" ca="1" si="13"/>
        <v>0.61196477888653822</v>
      </c>
      <c r="AA47" s="7">
        <f t="shared" ca="1" si="14"/>
        <v>3.4478591155461529</v>
      </c>
      <c r="AB47" s="7">
        <v>129.36688951965601</v>
      </c>
      <c r="AC47" s="7"/>
    </row>
    <row r="48" spans="1:29" x14ac:dyDescent="0.3">
      <c r="A48" s="7">
        <v>42</v>
      </c>
      <c r="B48" s="7">
        <f t="shared" ca="1" si="16"/>
        <v>0.34249989876976594</v>
      </c>
      <c r="C48" s="7">
        <f t="shared" ca="1" si="17"/>
        <v>-0.98960232192910391</v>
      </c>
      <c r="D48">
        <f t="shared" ca="1" si="18"/>
        <v>0.93380467273501688</v>
      </c>
      <c r="E48" s="7">
        <f t="shared" ca="1" si="19"/>
        <v>4.6605968747803299</v>
      </c>
      <c r="F48">
        <f t="shared" ca="1" si="20"/>
        <v>0.29035986019518023</v>
      </c>
      <c r="G48" s="7">
        <f t="shared" ca="1" si="21"/>
        <v>2.1614394407807209</v>
      </c>
      <c r="H48" s="7">
        <f t="shared" ca="1" si="22"/>
        <v>127.2534627191034</v>
      </c>
      <c r="P48" s="9"/>
      <c r="Q48" s="55">
        <f t="shared" ca="1" si="15"/>
        <v>30.699639469018912</v>
      </c>
      <c r="R48" s="10">
        <f t="shared" ca="1" si="7"/>
        <v>-0.13468252569719608</v>
      </c>
      <c r="S48" s="7">
        <f t="shared" ca="1" si="8"/>
        <v>-0.62770095835187356</v>
      </c>
      <c r="U48" s="7">
        <v>42</v>
      </c>
      <c r="V48" s="7">
        <f t="shared" ca="1" si="9"/>
        <v>0.5433049360013672</v>
      </c>
      <c r="W48" s="7">
        <f t="shared" ca="1" si="10"/>
        <v>0.27209293761214282</v>
      </c>
      <c r="X48" s="7">
        <f t="shared" ca="1" si="11"/>
        <v>0.89023196242077052</v>
      </c>
      <c r="Y48" s="7">
        <f t="shared" ca="1" si="12"/>
        <v>1.8801642009194461</v>
      </c>
      <c r="Z48" s="7">
        <f t="shared" ca="1" si="13"/>
        <v>0.86581024529534489</v>
      </c>
      <c r="AA48" s="7">
        <f t="shared" ca="1" si="14"/>
        <v>4.4632409811813796</v>
      </c>
      <c r="AB48" s="7">
        <v>131.17532964933</v>
      </c>
      <c r="AC48" s="7"/>
    </row>
    <row r="49" spans="1:29" x14ac:dyDescent="0.3">
      <c r="A49" s="7">
        <v>43</v>
      </c>
      <c r="B49" s="7">
        <f t="shared" ca="1" si="16"/>
        <v>0.45146878537747759</v>
      </c>
      <c r="C49" s="7">
        <f t="shared" ca="1" si="17"/>
        <v>-0.30493061465581173</v>
      </c>
      <c r="D49">
        <f t="shared" ca="1" si="18"/>
        <v>0.89586529159630679</v>
      </c>
      <c r="E49" s="7">
        <f t="shared" ca="1" si="19"/>
        <v>4.2540051197626703</v>
      </c>
      <c r="F49">
        <f t="shared" ca="1" si="20"/>
        <v>0.78742374236790968</v>
      </c>
      <c r="G49" s="7">
        <f t="shared" ca="1" si="21"/>
        <v>4.1496949694716392</v>
      </c>
      <c r="H49" s="7">
        <f t="shared" ca="1" si="22"/>
        <v>129.41490215988412</v>
      </c>
      <c r="P49" s="9"/>
      <c r="Q49" s="55">
        <f t="shared" ca="1" si="15"/>
        <v>31.448411163385227</v>
      </c>
      <c r="R49" s="10">
        <f t="shared" ca="1" si="7"/>
        <v>0.9631155922963941</v>
      </c>
      <c r="S49" s="7">
        <f t="shared" ca="1" si="8"/>
        <v>4.0970986605521169</v>
      </c>
      <c r="U49" s="7">
        <v>43</v>
      </c>
      <c r="V49" s="7">
        <f t="shared" ca="1" si="9"/>
        <v>0.76640368243774115</v>
      </c>
      <c r="W49" s="7">
        <f t="shared" ca="1" si="10"/>
        <v>1.6738637032713513</v>
      </c>
      <c r="X49" s="7">
        <f t="shared" ca="1" si="11"/>
        <v>0.56552946384255376</v>
      </c>
      <c r="Y49" s="7">
        <f t="shared" ca="1" si="12"/>
        <v>1.1549040808593052</v>
      </c>
      <c r="Z49" s="7">
        <f t="shared" ca="1" si="13"/>
        <v>0.18266411848080433</v>
      </c>
      <c r="AA49" s="7">
        <f t="shared" ca="1" si="14"/>
        <v>1.7306564739232173</v>
      </c>
      <c r="AB49" s="7">
        <v>133.03516841236399</v>
      </c>
      <c r="AC49" s="7"/>
    </row>
    <row r="50" spans="1:29" x14ac:dyDescent="0.3">
      <c r="A50" s="7">
        <v>44</v>
      </c>
      <c r="B50" s="7">
        <f t="shared" ca="1" si="16"/>
        <v>0.20982784946588606</v>
      </c>
      <c r="C50" s="7">
        <f t="shared" ca="1" si="17"/>
        <v>-1.8232053927886478</v>
      </c>
      <c r="D50">
        <f t="shared" ca="1" si="18"/>
        <v>0.58281413104954194</v>
      </c>
      <c r="E50" s="7">
        <f t="shared" ca="1" si="19"/>
        <v>2.6445769833271582</v>
      </c>
      <c r="F50">
        <f t="shared" ca="1" si="20"/>
        <v>0.60701026748050313</v>
      </c>
      <c r="G50" s="7">
        <f t="shared" ca="1" si="21"/>
        <v>3.4280410699220125</v>
      </c>
      <c r="H50" s="7">
        <f t="shared" ca="1" si="22"/>
        <v>133.56459712935577</v>
      </c>
      <c r="P50" s="9"/>
      <c r="Q50" s="55">
        <f t="shared" ca="1" si="15"/>
        <v>32.197182857751542</v>
      </c>
      <c r="R50" s="10">
        <f t="shared" ca="1" si="7"/>
        <v>0.50453840974938136</v>
      </c>
      <c r="S50" s="7">
        <f t="shared" ca="1" si="8"/>
        <v>1.3342906656277007</v>
      </c>
      <c r="U50" s="7">
        <v>44</v>
      </c>
      <c r="V50" s="7">
        <f t="shared" ca="1" si="9"/>
        <v>0.87033395287110427</v>
      </c>
      <c r="W50" s="7">
        <f t="shared" ca="1" si="10"/>
        <v>2.3268768514294598</v>
      </c>
      <c r="X50" s="7">
        <f t="shared" ca="1" si="11"/>
        <v>0.29252758364941245</v>
      </c>
      <c r="Y50" s="7">
        <f t="shared" ca="1" si="12"/>
        <v>0.74410390426618445</v>
      </c>
      <c r="Z50" s="7">
        <f t="shared" ca="1" si="13"/>
        <v>0.23581317974645333</v>
      </c>
      <c r="AA50" s="7">
        <f t="shared" ca="1" si="14"/>
        <v>1.9432527189858133</v>
      </c>
      <c r="AB50" s="7">
        <v>137.45015285457001</v>
      </c>
      <c r="AC50" s="7"/>
    </row>
    <row r="51" spans="1:29" x14ac:dyDescent="0.3">
      <c r="A51" s="7">
        <v>45</v>
      </c>
      <c r="B51" s="7">
        <f t="shared" ca="1" si="16"/>
        <v>0.98382573652036487</v>
      </c>
      <c r="C51" s="7">
        <f t="shared" ca="1" si="17"/>
        <v>3.039966758940098</v>
      </c>
      <c r="D51">
        <f t="shared" ca="1" si="18"/>
        <v>0.53228459134845163</v>
      </c>
      <c r="E51" s="7">
        <f t="shared" ca="1" si="19"/>
        <v>2.4655956995499539</v>
      </c>
      <c r="F51">
        <f t="shared" ca="1" si="20"/>
        <v>0.37814313778936581</v>
      </c>
      <c r="G51" s="7">
        <f t="shared" ca="1" si="21"/>
        <v>2.5125725511574633</v>
      </c>
      <c r="H51" s="7">
        <f t="shared" ca="1" si="22"/>
        <v>136.99263819927779</v>
      </c>
      <c r="P51" s="9"/>
      <c r="Q51" s="55">
        <f t="shared" ca="1" si="15"/>
        <v>32.945954552117854</v>
      </c>
      <c r="R51" s="10">
        <f t="shared" ca="1" si="7"/>
        <v>-0.14191349274531964</v>
      </c>
      <c r="S51" s="7">
        <f t="shared" ca="1" si="8"/>
        <v>-0.3499012974209737</v>
      </c>
      <c r="U51" s="7">
        <v>45</v>
      </c>
      <c r="V51" s="7">
        <f t="shared" ca="1" si="9"/>
        <v>0.61886268801612843</v>
      </c>
      <c r="W51" s="7">
        <f t="shared" ca="1" si="10"/>
        <v>0.74683629491480907</v>
      </c>
      <c r="X51" s="7">
        <f t="shared" ca="1" si="11"/>
        <v>0.72271522486753415</v>
      </c>
      <c r="Y51" s="7">
        <f t="shared" ca="1" si="12"/>
        <v>1.4325977701088957</v>
      </c>
      <c r="Z51" s="7">
        <f t="shared" ca="1" si="13"/>
        <v>0.76692134201948725</v>
      </c>
      <c r="AA51" s="7">
        <f t="shared" ca="1" si="14"/>
        <v>4.0676853680779494</v>
      </c>
      <c r="AB51" s="7">
        <v>138.48492151617799</v>
      </c>
      <c r="AC51" s="7"/>
    </row>
    <row r="52" spans="1:29" x14ac:dyDescent="0.3">
      <c r="A52" s="7">
        <v>46</v>
      </c>
      <c r="B52" s="7">
        <f t="shared" ca="1" si="16"/>
        <v>0.63399795039646845</v>
      </c>
      <c r="C52" s="7">
        <f t="shared" ca="1" si="17"/>
        <v>0.84193395312326968</v>
      </c>
      <c r="D52">
        <f t="shared" ca="1" si="18"/>
        <v>0.21621764523076825</v>
      </c>
      <c r="E52" s="7">
        <f t="shared" ca="1" si="19"/>
        <v>1.396062766167411</v>
      </c>
      <c r="F52">
        <f t="shared" ca="1" si="20"/>
        <v>0.16190403156947486</v>
      </c>
      <c r="G52" s="7">
        <f t="shared" ca="1" si="21"/>
        <v>1.6476161262778994</v>
      </c>
      <c r="H52" s="7">
        <f t="shared" ca="1" si="22"/>
        <v>139.50521075043525</v>
      </c>
      <c r="P52" s="9"/>
      <c r="Q52" s="55">
        <f t="shared" ca="1" si="15"/>
        <v>33.694726246484166</v>
      </c>
      <c r="R52" s="10">
        <f t="shared" ca="1" si="7"/>
        <v>-0.99978245915838082</v>
      </c>
      <c r="S52" s="7">
        <f t="shared" ca="1" si="8"/>
        <v>-1.3957590654983056</v>
      </c>
      <c r="U52" s="7">
        <v>46</v>
      </c>
      <c r="V52" s="7">
        <f t="shared" ca="1" si="9"/>
        <v>0.98411694592635324</v>
      </c>
      <c r="W52" s="7">
        <f t="shared" ca="1" si="10"/>
        <v>3.0417964816011169</v>
      </c>
      <c r="X52" s="7">
        <f t="shared" ca="1" si="11"/>
        <v>2.2901985611744835E-2</v>
      </c>
      <c r="Y52" s="7">
        <f t="shared" ca="1" si="12"/>
        <v>0.1925338834879172</v>
      </c>
      <c r="Z52" s="7">
        <f t="shared" ca="1" si="13"/>
        <v>7.6532507261484639E-2</v>
      </c>
      <c r="AA52" s="7">
        <f t="shared" ca="1" si="14"/>
        <v>1.3061300290459386</v>
      </c>
      <c r="AB52" s="7">
        <v>141.40693128946899</v>
      </c>
      <c r="AC52" s="7"/>
    </row>
    <row r="53" spans="1:29" x14ac:dyDescent="0.3">
      <c r="A53" s="7">
        <v>47</v>
      </c>
      <c r="B53" s="7">
        <f t="shared" ca="1" si="16"/>
        <v>0.83190701475987694</v>
      </c>
      <c r="C53" s="7">
        <f t="shared" ca="1" si="17"/>
        <v>2.0854332784890968</v>
      </c>
      <c r="D53">
        <f t="shared" ca="1" si="18"/>
        <v>0.42429846354210032</v>
      </c>
      <c r="E53" s="7">
        <f t="shared" ca="1" si="19"/>
        <v>2.1017438824981052</v>
      </c>
      <c r="F53">
        <f t="shared" ca="1" si="20"/>
        <v>0.31779569773185035</v>
      </c>
      <c r="G53" s="7">
        <f t="shared" ca="1" si="21"/>
        <v>2.2711827909274014</v>
      </c>
      <c r="H53" s="7">
        <f t="shared" ca="1" si="22"/>
        <v>141.15282687671316</v>
      </c>
      <c r="P53" s="9"/>
      <c r="Q53" s="55">
        <f t="shared" ca="1" si="15"/>
        <v>34.443497940850477</v>
      </c>
      <c r="R53" s="10">
        <f t="shared" ca="1" si="7"/>
        <v>0.38998536853012161</v>
      </c>
      <c r="S53" s="7">
        <f t="shared" ca="1" si="8"/>
        <v>0.8196493625719522</v>
      </c>
      <c r="U53" s="7">
        <v>47</v>
      </c>
      <c r="V53" s="7">
        <f t="shared" ca="1" si="9"/>
        <v>0.53205409412357574</v>
      </c>
      <c r="W53" s="7">
        <f t="shared" ca="1" si="10"/>
        <v>0.20140181323220263</v>
      </c>
      <c r="X53" s="7">
        <f t="shared" ca="1" si="11"/>
        <v>0.69065132834814347</v>
      </c>
      <c r="Y53" s="7">
        <f t="shared" ca="1" si="12"/>
        <v>1.3701306512953648</v>
      </c>
      <c r="Z53" s="7">
        <f t="shared" ca="1" si="13"/>
        <v>0.8819383617565002</v>
      </c>
      <c r="AA53" s="7">
        <f t="shared" ca="1" si="14"/>
        <v>4.5277534470260008</v>
      </c>
      <c r="AB53" s="7">
        <v>142.90839778860001</v>
      </c>
      <c r="AC53" s="7"/>
    </row>
    <row r="54" spans="1:29" x14ac:dyDescent="0.3">
      <c r="A54" s="7">
        <v>48</v>
      </c>
      <c r="B54" s="7">
        <f t="shared" ca="1" si="16"/>
        <v>0.14766750505880577</v>
      </c>
      <c r="C54" s="7">
        <f t="shared" ca="1" si="17"/>
        <v>-2.2137703554564374</v>
      </c>
      <c r="D54">
        <f t="shared" ca="1" si="18"/>
        <v>0.12970156813919242</v>
      </c>
      <c r="E54" s="7">
        <f t="shared" ca="1" si="19"/>
        <v>1.0542071941542075</v>
      </c>
      <c r="F54">
        <f t="shared" ca="1" si="20"/>
        <v>9.184047615397406E-2</v>
      </c>
      <c r="G54" s="7">
        <f t="shared" ca="1" si="21"/>
        <v>1.3673619046158962</v>
      </c>
      <c r="H54" s="7">
        <f t="shared" ca="1" si="22"/>
        <v>143.42400966764058</v>
      </c>
      <c r="P54" s="9"/>
      <c r="Q54" s="55">
        <f t="shared" ca="1" si="15"/>
        <v>35.192269635216789</v>
      </c>
      <c r="R54" s="10">
        <f t="shared" ca="1" si="7"/>
        <v>8.2234902429858068E-3</v>
      </c>
      <c r="S54" s="7">
        <f t="shared" ca="1" si="8"/>
        <v>8.669262575212569E-3</v>
      </c>
      <c r="U54" s="7">
        <v>48</v>
      </c>
      <c r="V54" s="7">
        <f t="shared" ca="1" si="9"/>
        <v>0.38312115477294739</v>
      </c>
      <c r="W54" s="7">
        <f t="shared" ca="1" si="10"/>
        <v>-0.73437144305073376</v>
      </c>
      <c r="X54" s="7">
        <f t="shared" ca="1" si="11"/>
        <v>0.98822294728269999</v>
      </c>
      <c r="Y54" s="7">
        <f t="shared" ca="1" si="12"/>
        <v>2.6658138947315795</v>
      </c>
      <c r="Z54" s="7">
        <f t="shared" ca="1" si="13"/>
        <v>0.73088203766134252</v>
      </c>
      <c r="AA54" s="7">
        <f t="shared" ca="1" si="14"/>
        <v>3.9235281506453701</v>
      </c>
      <c r="AB54" s="7">
        <v>146.41859191636499</v>
      </c>
      <c r="AC54" s="7"/>
    </row>
    <row r="55" spans="1:29" x14ac:dyDescent="0.3">
      <c r="A55" s="7">
        <v>49</v>
      </c>
      <c r="B55" s="7">
        <f t="shared" ca="1" si="16"/>
        <v>6.3647159406930554E-2</v>
      </c>
      <c r="C55" s="7">
        <f t="shared" ca="1" si="17"/>
        <v>-2.7416857567604502</v>
      </c>
      <c r="D55">
        <f t="shared" ca="1" si="18"/>
        <v>0.11140823032182468</v>
      </c>
      <c r="E55" s="7">
        <f t="shared" ca="1" si="19"/>
        <v>0.9720796290241458</v>
      </c>
      <c r="F55">
        <f t="shared" ca="1" si="20"/>
        <v>3.425011661830335E-2</v>
      </c>
      <c r="G55" s="7">
        <f t="shared" ca="1" si="21"/>
        <v>1.1370004664732134</v>
      </c>
      <c r="H55" s="7">
        <f t="shared" ca="1" si="22"/>
        <v>144.79137157225648</v>
      </c>
      <c r="P55" s="9"/>
      <c r="Q55" s="55">
        <f t="shared" ca="1" si="15"/>
        <v>35.941041329583101</v>
      </c>
      <c r="R55" s="10">
        <f t="shared" ca="1" si="7"/>
        <v>-0.2110340463337845</v>
      </c>
      <c r="S55" s="7">
        <f t="shared" ca="1" si="8"/>
        <v>-0.20514189747160963</v>
      </c>
      <c r="U55" s="7">
        <v>49</v>
      </c>
      <c r="V55" s="7">
        <f t="shared" ca="1" si="9"/>
        <v>0.32851503040225416</v>
      </c>
      <c r="W55" s="7">
        <f t="shared" ca="1" si="10"/>
        <v>-1.0774718413786948</v>
      </c>
      <c r="X55" s="7">
        <f t="shared" ca="1" si="11"/>
        <v>0.78158348527744559</v>
      </c>
      <c r="Y55" s="7">
        <f t="shared" ca="1" si="12"/>
        <v>1.5601802055448262</v>
      </c>
      <c r="Z55" s="7">
        <f t="shared" ca="1" si="13"/>
        <v>0.33344917647041306</v>
      </c>
      <c r="AA55" s="7">
        <f t="shared" ca="1" si="14"/>
        <v>2.3337967058816522</v>
      </c>
      <c r="AB55" s="7">
        <v>148.441985824542</v>
      </c>
      <c r="AC55" s="7"/>
    </row>
    <row r="56" spans="1:29" x14ac:dyDescent="0.3">
      <c r="A56" s="7">
        <v>50</v>
      </c>
      <c r="B56" s="7">
        <f t="shared" ca="1" si="16"/>
        <v>0.36711392381922603</v>
      </c>
      <c r="C56" s="7">
        <f t="shared" ca="1" si="17"/>
        <v>-0.83494784138778622</v>
      </c>
      <c r="D56">
        <f t="shared" ca="1" si="18"/>
        <v>0.87423527598445194</v>
      </c>
      <c r="E56" s="7">
        <f t="shared" ca="1" si="19"/>
        <v>4.072682052181217</v>
      </c>
      <c r="F56">
        <f t="shared" ca="1" si="20"/>
        <v>0.70649170863329269</v>
      </c>
      <c r="G56" s="7">
        <f t="shared" ca="1" si="21"/>
        <v>3.8259668345331708</v>
      </c>
      <c r="H56" s="7">
        <f t="shared" ca="1" si="22"/>
        <v>145.92837203872969</v>
      </c>
      <c r="P56" s="9"/>
      <c r="Q56" s="55">
        <f t="shared" ca="1" si="15"/>
        <v>36.689813023949412</v>
      </c>
      <c r="R56" s="10">
        <f t="shared" ca="1" si="7"/>
        <v>-0.27005517362298004</v>
      </c>
      <c r="S56" s="7">
        <f t="shared" ca="1" si="8"/>
        <v>-1.0998488587129933</v>
      </c>
      <c r="U56" s="7">
        <v>50</v>
      </c>
      <c r="V56" s="7">
        <f t="shared" ca="1" si="9"/>
        <v>0.59694678333723394</v>
      </c>
      <c r="W56" s="7">
        <f t="shared" ca="1" si="10"/>
        <v>0.60913460464283098</v>
      </c>
      <c r="X56" s="7">
        <f t="shared" ca="1" si="11"/>
        <v>0.83844322740041566</v>
      </c>
      <c r="Y56" s="7">
        <f t="shared" ca="1" si="12"/>
        <v>1.7078166950669418</v>
      </c>
      <c r="Z56" s="7">
        <f t="shared" ca="1" si="13"/>
        <v>0.2927667382360134</v>
      </c>
      <c r="AA56" s="7">
        <f t="shared" ca="1" si="14"/>
        <v>2.1710669529440536</v>
      </c>
      <c r="AB56" s="7">
        <v>151.11485512682</v>
      </c>
      <c r="AC56" s="7"/>
    </row>
    <row r="57" spans="1:29" x14ac:dyDescent="0.3">
      <c r="A57" s="7">
        <v>51</v>
      </c>
      <c r="H57">
        <f t="shared" ca="1" si="22"/>
        <v>149.75433887326287</v>
      </c>
      <c r="Q57" s="55">
        <f t="shared" ca="1" si="15"/>
        <v>37.438584718315724</v>
      </c>
      <c r="R57" s="10">
        <f t="shared" ca="1" si="7"/>
        <v>0.96625433035530539</v>
      </c>
      <c r="S57" s="7">
        <f t="shared" ca="1" si="8"/>
        <v>0</v>
      </c>
      <c r="U57" s="7">
        <v>51</v>
      </c>
      <c r="V57" s="7">
        <f t="shared" ca="1" si="9"/>
        <v>0.5030649143402619</v>
      </c>
      <c r="W57" s="7">
        <f t="shared" ca="1" si="10"/>
        <v>1.925742475049752E-2</v>
      </c>
      <c r="X57" s="7">
        <f t="shared" ca="1" si="11"/>
        <v>0.81574380755081233</v>
      </c>
      <c r="Y57" s="7">
        <f t="shared" ca="1" si="12"/>
        <v>1.6450790325217299</v>
      </c>
      <c r="Z57" s="7">
        <f t="shared" ca="1" si="13"/>
        <v>0.86449298942397923</v>
      </c>
      <c r="AA57" s="7">
        <f t="shared" ca="1" si="14"/>
        <v>4.4579719576959169</v>
      </c>
      <c r="AB57" s="7">
        <f ca="1">AB56+AA56</f>
        <v>153.28592207976405</v>
      </c>
      <c r="AC57" s="7"/>
    </row>
    <row r="58" spans="1:29" x14ac:dyDescent="0.3">
      <c r="A58" s="7">
        <v>52</v>
      </c>
      <c r="Q58" s="55">
        <f t="shared" ca="1" si="15"/>
        <v>38.187356412682036</v>
      </c>
      <c r="R58" s="10">
        <f t="shared" ca="1" si="7"/>
        <v>0.88315764970498734</v>
      </c>
      <c r="S58" s="7">
        <f t="shared" ca="1" si="8"/>
        <v>0</v>
      </c>
      <c r="Y58" s="7"/>
    </row>
    <row r="59" spans="1:29" x14ac:dyDescent="0.3">
      <c r="A59" s="7">
        <v>53</v>
      </c>
      <c r="Q59" s="55">
        <f t="shared" ca="1" si="15"/>
        <v>38.936128107048347</v>
      </c>
      <c r="R59" s="10">
        <f t="shared" ca="1" si="7"/>
        <v>0.32761680426883466</v>
      </c>
      <c r="S59" s="7">
        <f t="shared" ca="1" si="8"/>
        <v>0</v>
      </c>
      <c r="Y59" s="7"/>
    </row>
    <row r="60" spans="1:29" x14ac:dyDescent="0.3">
      <c r="A60" s="7">
        <v>54</v>
      </c>
      <c r="Q60" s="55">
        <f t="shared" ca="1" si="15"/>
        <v>39.684899801414659</v>
      </c>
      <c r="R60" s="10">
        <f t="shared" ca="1" si="7"/>
        <v>-0.40318227225923831</v>
      </c>
      <c r="S60" s="7">
        <f t="shared" ca="1" si="8"/>
        <v>0</v>
      </c>
      <c r="Y60" s="7"/>
    </row>
    <row r="61" spans="1:29" x14ac:dyDescent="0.3">
      <c r="A61" s="7">
        <v>55</v>
      </c>
      <c r="Q61" s="55">
        <f t="shared" ca="1" si="15"/>
        <v>40.43367149578097</v>
      </c>
      <c r="R61" s="10">
        <f t="shared" ca="1" si="7"/>
        <v>-0.91829945786149558</v>
      </c>
      <c r="S61" s="7">
        <f t="shared" ca="1" si="8"/>
        <v>0</v>
      </c>
      <c r="Y61" s="7"/>
    </row>
    <row r="62" spans="1:29" x14ac:dyDescent="0.3">
      <c r="A62" s="7">
        <v>56</v>
      </c>
      <c r="Q62" s="55">
        <f t="shared" ca="1" si="15"/>
        <v>41.182443190147282</v>
      </c>
      <c r="R62" s="10">
        <f t="shared" ca="1" si="7"/>
        <v>-0.9421734089884789</v>
      </c>
      <c r="S62" s="7">
        <f t="shared" ca="1" si="8"/>
        <v>0</v>
      </c>
      <c r="Y62" s="7"/>
    </row>
    <row r="63" spans="1:29" x14ac:dyDescent="0.3">
      <c r="A63" s="7">
        <v>57</v>
      </c>
      <c r="Q63" s="55">
        <f t="shared" ca="1" si="15"/>
        <v>41.931214884513594</v>
      </c>
      <c r="R63" s="10">
        <f t="shared" ca="1" si="7"/>
        <v>-0.46203278305589068</v>
      </c>
      <c r="S63" s="7">
        <f t="shared" ca="1" si="8"/>
        <v>0</v>
      </c>
      <c r="Y63" s="7"/>
    </row>
    <row r="64" spans="1:29" x14ac:dyDescent="0.3">
      <c r="A64" s="7">
        <v>58</v>
      </c>
      <c r="Q64" s="55">
        <f t="shared" ca="1" si="15"/>
        <v>42.679986578879905</v>
      </c>
      <c r="R64" s="10">
        <f t="shared" ca="1" si="7"/>
        <v>0.2652717465890545</v>
      </c>
      <c r="S64" s="7">
        <f t="shared" ca="1" si="8"/>
        <v>0</v>
      </c>
      <c r="Y64" s="7"/>
    </row>
    <row r="65" spans="1:25" x14ac:dyDescent="0.3">
      <c r="A65" s="7">
        <v>59</v>
      </c>
      <c r="Q65" s="55">
        <f t="shared" ca="1" si="15"/>
        <v>43.428758273246217</v>
      </c>
      <c r="R65" s="10">
        <f t="shared" ca="1" si="7"/>
        <v>0.85066946174803593</v>
      </c>
      <c r="S65" s="7">
        <f t="shared" ca="1" si="8"/>
        <v>0</v>
      </c>
      <c r="Y65" s="7"/>
    </row>
    <row r="66" spans="1:25" x14ac:dyDescent="0.3">
      <c r="A66" s="7">
        <v>60</v>
      </c>
      <c r="Q66" s="55">
        <f t="shared" ca="1" si="15"/>
        <v>44.177529967612529</v>
      </c>
      <c r="R66" s="10">
        <f t="shared" ca="1" si="7"/>
        <v>0.98100253074943022</v>
      </c>
      <c r="S66" s="7">
        <f t="shared" ca="1" si="8"/>
        <v>0</v>
      </c>
      <c r="Y66" s="7"/>
    </row>
    <row r="67" spans="1:25" x14ac:dyDescent="0.3">
      <c r="A67" s="7">
        <v>61</v>
      </c>
      <c r="Q67" s="55">
        <f t="shared" ca="1" si="15"/>
        <v>44.92630166197884</v>
      </c>
      <c r="R67" s="10">
        <f t="shared" ca="1" si="7"/>
        <v>0.58654942884744954</v>
      </c>
      <c r="S67" s="7">
        <f t="shared" ca="1" si="8"/>
        <v>0</v>
      </c>
      <c r="Y67" s="7"/>
    </row>
    <row r="68" spans="1:25" x14ac:dyDescent="0.3">
      <c r="A68" s="7">
        <v>62</v>
      </c>
      <c r="Q68" s="55">
        <f t="shared" ca="1" si="15"/>
        <v>45.675073356345152</v>
      </c>
      <c r="R68" s="10">
        <f t="shared" ca="1" si="7"/>
        <v>-0.12167761263373189</v>
      </c>
      <c r="S68" s="7">
        <f t="shared" ca="1" si="8"/>
        <v>0</v>
      </c>
      <c r="Y68" s="7"/>
    </row>
    <row r="69" spans="1:25" x14ac:dyDescent="0.3">
      <c r="A69" s="7">
        <v>63</v>
      </c>
      <c r="Q69" s="55">
        <f t="shared" ca="1" si="15"/>
        <v>46.423845050711464</v>
      </c>
      <c r="R69" s="10">
        <f t="shared" ca="1" si="7"/>
        <v>-0.76481335575716192</v>
      </c>
      <c r="S69" s="7">
        <f t="shared" ca="1" si="8"/>
        <v>0</v>
      </c>
      <c r="Y69" s="7"/>
    </row>
    <row r="70" spans="1:25" x14ac:dyDescent="0.3">
      <c r="A70" s="7">
        <v>64</v>
      </c>
      <c r="Q70" s="55">
        <f t="shared" ca="1" si="15"/>
        <v>47.172616745077775</v>
      </c>
      <c r="R70" s="10">
        <f t="shared" ca="1" si="7"/>
        <v>-0.99881307747100112</v>
      </c>
      <c r="S70" s="7">
        <f t="shared" ca="1" si="8"/>
        <v>0</v>
      </c>
      <c r="Y70" s="7"/>
    </row>
    <row r="71" spans="1:25" x14ac:dyDescent="0.3">
      <c r="A71" s="7">
        <v>65</v>
      </c>
      <c r="Q71" s="55">
        <f t="shared" ca="1" si="15"/>
        <v>47.921388439444087</v>
      </c>
      <c r="R71" s="10">
        <f t="shared" ca="1" si="7"/>
        <v>-0.69849889688145694</v>
      </c>
      <c r="S71" s="7">
        <f t="shared" ca="1" si="8"/>
        <v>0</v>
      </c>
      <c r="Y71" s="7"/>
    </row>
    <row r="72" spans="1:25" x14ac:dyDescent="0.3">
      <c r="A72" s="7">
        <v>66</v>
      </c>
      <c r="Q72" s="55">
        <f t="shared" ca="1" si="15"/>
        <v>48.670160133810398</v>
      </c>
      <c r="R72" s="10">
        <f t="shared" ref="R72:R135" ca="1" si="23">COS(Q72 + C72)</f>
        <v>-2.4523538073933836E-2</v>
      </c>
      <c r="S72" s="7">
        <f t="shared" ref="S72:S135" ca="1" si="24">E72*R72</f>
        <v>0</v>
      </c>
      <c r="Y72" s="7"/>
    </row>
    <row r="73" spans="1:25" x14ac:dyDescent="0.3">
      <c r="A73" s="7">
        <v>67</v>
      </c>
      <c r="Q73" s="55">
        <f t="shared" ref="Q73:Q136" ca="1" si="25">Q72+$I$7</f>
        <v>49.41893182817671</v>
      </c>
      <c r="R73" s="10">
        <f t="shared" ca="1" si="23"/>
        <v>0.6625706591049757</v>
      </c>
      <c r="S73" s="7">
        <f t="shared" ca="1" si="24"/>
        <v>0</v>
      </c>
      <c r="Y73" s="7"/>
    </row>
    <row r="74" spans="1:25" x14ac:dyDescent="0.3">
      <c r="A74" s="7">
        <v>68</v>
      </c>
      <c r="Q74" s="55">
        <f t="shared" ca="1" si="25"/>
        <v>50.167703522543022</v>
      </c>
      <c r="R74" s="10">
        <f t="shared" ca="1" si="23"/>
        <v>0.99522344737233381</v>
      </c>
      <c r="S74" s="7">
        <f t="shared" ca="1" si="24"/>
        <v>0</v>
      </c>
    </row>
    <row r="75" spans="1:25" x14ac:dyDescent="0.3">
      <c r="A75" s="7">
        <v>69</v>
      </c>
      <c r="Q75" s="55">
        <f t="shared" ca="1" si="25"/>
        <v>50.916475216909333</v>
      </c>
      <c r="R75" s="10">
        <f t="shared" ca="1" si="23"/>
        <v>0.79548260181206887</v>
      </c>
      <c r="S75" s="7">
        <f t="shared" ca="1" si="24"/>
        <v>0</v>
      </c>
    </row>
    <row r="76" spans="1:25" x14ac:dyDescent="0.3">
      <c r="A76" s="7">
        <v>70</v>
      </c>
      <c r="Q76" s="55">
        <f t="shared" ca="1" si="25"/>
        <v>51.665246911275645</v>
      </c>
      <c r="R76" s="10">
        <f t="shared" ca="1" si="23"/>
        <v>0.17019925708384001</v>
      </c>
      <c r="S76" s="7">
        <f t="shared" ca="1" si="24"/>
        <v>0</v>
      </c>
    </row>
    <row r="77" spans="1:25" x14ac:dyDescent="0.3">
      <c r="A77" s="7">
        <v>71</v>
      </c>
      <c r="Q77" s="55">
        <f t="shared" ca="1" si="25"/>
        <v>52.414018605641957</v>
      </c>
      <c r="R77" s="10">
        <f t="shared" ca="1" si="23"/>
        <v>-0.54613198366499693</v>
      </c>
      <c r="S77" s="7">
        <f t="shared" ca="1" si="24"/>
        <v>0</v>
      </c>
    </row>
    <row r="78" spans="1:25" x14ac:dyDescent="0.3">
      <c r="A78" s="7">
        <v>72</v>
      </c>
      <c r="Q78" s="55">
        <f t="shared" ca="1" si="25"/>
        <v>53.162790300008268</v>
      </c>
      <c r="R78" s="10">
        <f t="shared" ca="1" si="23"/>
        <v>-0.97031055045847692</v>
      </c>
      <c r="S78" s="7">
        <f t="shared" ca="1" si="24"/>
        <v>0</v>
      </c>
    </row>
    <row r="79" spans="1:25" x14ac:dyDescent="0.3">
      <c r="A79" s="7">
        <v>73</v>
      </c>
      <c r="Q79" s="55">
        <f t="shared" ca="1" si="25"/>
        <v>53.91156199437458</v>
      </c>
      <c r="R79" s="10">
        <f t="shared" ca="1" si="23"/>
        <v>-0.87542260885748202</v>
      </c>
      <c r="S79" s="7">
        <f t="shared" ca="1" si="24"/>
        <v>0</v>
      </c>
    </row>
    <row r="80" spans="1:25" x14ac:dyDescent="0.3">
      <c r="A80" s="7">
        <v>74</v>
      </c>
      <c r="Q80" s="55">
        <f t="shared" ca="1" si="25"/>
        <v>54.660333688740891</v>
      </c>
      <c r="R80" s="10">
        <f t="shared" ca="1" si="23"/>
        <v>-0.31222835363913271</v>
      </c>
      <c r="S80" s="7">
        <f t="shared" ca="1" si="24"/>
        <v>0</v>
      </c>
    </row>
    <row r="81" spans="1:19" x14ac:dyDescent="0.3">
      <c r="A81" s="7">
        <v>75</v>
      </c>
      <c r="Q81" s="55">
        <f t="shared" ca="1" si="25"/>
        <v>55.409105383107203</v>
      </c>
      <c r="R81" s="10">
        <f t="shared" ca="1" si="23"/>
        <v>0.41799209877829091</v>
      </c>
      <c r="S81" s="7">
        <f t="shared" ca="1" si="24"/>
        <v>0</v>
      </c>
    </row>
    <row r="82" spans="1:19" x14ac:dyDescent="0.3">
      <c r="A82" s="7">
        <v>76</v>
      </c>
      <c r="Q82" s="55">
        <f t="shared" ca="1" si="25"/>
        <v>56.157877077473515</v>
      </c>
      <c r="R82" s="10">
        <f t="shared" ca="1" si="23"/>
        <v>0.92460816067681473</v>
      </c>
      <c r="S82" s="7">
        <f t="shared" ca="1" si="24"/>
        <v>0</v>
      </c>
    </row>
    <row r="83" spans="1:19" x14ac:dyDescent="0.3">
      <c r="A83" s="7">
        <v>77</v>
      </c>
      <c r="Q83" s="55">
        <f t="shared" ca="1" si="25"/>
        <v>56.906648771839826</v>
      </c>
      <c r="R83" s="10">
        <f t="shared" ca="1" si="23"/>
        <v>0.93660615481468101</v>
      </c>
      <c r="S83" s="7">
        <f t="shared" ca="1" si="24"/>
        <v>0</v>
      </c>
    </row>
    <row r="84" spans="1:19" x14ac:dyDescent="0.3">
      <c r="A84" s="7">
        <v>78</v>
      </c>
      <c r="Q84" s="55">
        <f t="shared" ca="1" si="25"/>
        <v>57.655420466206138</v>
      </c>
      <c r="R84" s="10">
        <f t="shared" ca="1" si="23"/>
        <v>0.44756776808384729</v>
      </c>
      <c r="S84" s="7">
        <f t="shared" ca="1" si="24"/>
        <v>0</v>
      </c>
    </row>
    <row r="85" spans="1:19" x14ac:dyDescent="0.3">
      <c r="A85" s="7">
        <v>79</v>
      </c>
      <c r="Q85" s="55">
        <f t="shared" ca="1" si="25"/>
        <v>58.40419216057245</v>
      </c>
      <c r="R85" s="10">
        <f t="shared" ca="1" si="23"/>
        <v>-0.28089647930512268</v>
      </c>
      <c r="S85" s="7">
        <f t="shared" ca="1" si="24"/>
        <v>0</v>
      </c>
    </row>
    <row r="86" spans="1:19" x14ac:dyDescent="0.3">
      <c r="A86" s="7">
        <v>80</v>
      </c>
      <c r="Q86" s="55">
        <f t="shared" ca="1" si="25"/>
        <v>59.152963854938761</v>
      </c>
      <c r="R86" s="10">
        <f t="shared" ca="1" si="23"/>
        <v>-0.85909547948605414</v>
      </c>
      <c r="S86" s="7">
        <f t="shared" ca="1" si="24"/>
        <v>0</v>
      </c>
    </row>
    <row r="87" spans="1:19" x14ac:dyDescent="0.3">
      <c r="A87" s="7">
        <v>81</v>
      </c>
      <c r="Q87" s="55">
        <f t="shared" ca="1" si="25"/>
        <v>59.901735549305073</v>
      </c>
      <c r="R87" s="10">
        <f t="shared" ca="1" si="23"/>
        <v>-0.9777223450513205</v>
      </c>
      <c r="S87" s="7">
        <f t="shared" ca="1" si="24"/>
        <v>0</v>
      </c>
    </row>
    <row r="88" spans="1:19" x14ac:dyDescent="0.3">
      <c r="A88" s="7">
        <v>82</v>
      </c>
      <c r="Q88" s="55">
        <f t="shared" ca="1" si="25"/>
        <v>60.650507243671385</v>
      </c>
      <c r="R88" s="10">
        <f t="shared" ca="1" si="23"/>
        <v>-0.57331777126425876</v>
      </c>
      <c r="S88" s="7">
        <f t="shared" ca="1" si="24"/>
        <v>0</v>
      </c>
    </row>
    <row r="89" spans="1:19" x14ac:dyDescent="0.3">
      <c r="A89" s="7">
        <v>83</v>
      </c>
      <c r="Q89" s="55">
        <f t="shared" ca="1" si="25"/>
        <v>61.399278938037696</v>
      </c>
      <c r="R89" s="10">
        <f t="shared" ca="1" si="23"/>
        <v>0.13778248215859393</v>
      </c>
      <c r="S89" s="7">
        <f t="shared" ca="1" si="24"/>
        <v>0</v>
      </c>
    </row>
    <row r="90" spans="1:19" x14ac:dyDescent="0.3">
      <c r="A90" s="7">
        <v>84</v>
      </c>
      <c r="Q90" s="55">
        <f t="shared" ca="1" si="25"/>
        <v>62.148050632404008</v>
      </c>
      <c r="R90" s="10">
        <f t="shared" ca="1" si="23"/>
        <v>0.77517615587024735</v>
      </c>
      <c r="S90" s="7">
        <f t="shared" ca="1" si="24"/>
        <v>0</v>
      </c>
    </row>
    <row r="91" spans="1:19" x14ac:dyDescent="0.3">
      <c r="A91" s="7">
        <v>85</v>
      </c>
      <c r="Q91" s="55">
        <f t="shared" ca="1" si="25"/>
        <v>62.896822326770319</v>
      </c>
      <c r="R91" s="10">
        <f t="shared" ca="1" si="23"/>
        <v>0.99789024021940287</v>
      </c>
      <c r="S91" s="7">
        <f t="shared" ca="1" si="24"/>
        <v>0</v>
      </c>
    </row>
    <row r="92" spans="1:19" x14ac:dyDescent="0.3">
      <c r="A92" s="7">
        <v>86</v>
      </c>
      <c r="Q92" s="55">
        <f t="shared" ca="1" si="25"/>
        <v>63.645594021136631</v>
      </c>
      <c r="R92" s="10">
        <f t="shared" ca="1" si="23"/>
        <v>0.68678409298716936</v>
      </c>
      <c r="S92" s="7">
        <f t="shared" ca="1" si="24"/>
        <v>0</v>
      </c>
    </row>
    <row r="93" spans="1:19" x14ac:dyDescent="0.3">
      <c r="A93" s="7">
        <v>87</v>
      </c>
      <c r="Q93" s="55">
        <f t="shared" ca="1" si="25"/>
        <v>64.394365715502943</v>
      </c>
      <c r="R93" s="10">
        <f t="shared" ca="1" si="23"/>
        <v>8.2835883512422086E-3</v>
      </c>
      <c r="S93" s="7">
        <f t="shared" ca="1" si="24"/>
        <v>0</v>
      </c>
    </row>
    <row r="94" spans="1:19" x14ac:dyDescent="0.3">
      <c r="A94" s="7">
        <v>88</v>
      </c>
      <c r="Q94" s="55">
        <f t="shared" ca="1" si="25"/>
        <v>65.143137409869254</v>
      </c>
      <c r="R94" s="10">
        <f t="shared" ca="1" si="23"/>
        <v>-0.67464821230679328</v>
      </c>
      <c r="S94" s="7">
        <f t="shared" ca="1" si="24"/>
        <v>0</v>
      </c>
    </row>
    <row r="95" spans="1:19" x14ac:dyDescent="0.3">
      <c r="A95" s="7">
        <v>89</v>
      </c>
      <c r="Q95" s="55">
        <f t="shared" ca="1" si="25"/>
        <v>65.891909104235566</v>
      </c>
      <c r="R95" s="10">
        <f t="shared" ca="1" si="23"/>
        <v>-0.99667773091585354</v>
      </c>
      <c r="S95" s="7">
        <f t="shared" ca="1" si="24"/>
        <v>0</v>
      </c>
    </row>
    <row r="96" spans="1:19" x14ac:dyDescent="0.3">
      <c r="A96" s="7">
        <v>90</v>
      </c>
      <c r="Q96" s="55">
        <f t="shared" ca="1" si="25"/>
        <v>66.640680798601878</v>
      </c>
      <c r="R96" s="10">
        <f t="shared" ca="1" si="23"/>
        <v>-0.78553564839517953</v>
      </c>
      <c r="S96" s="7">
        <f t="shared" ca="1" si="24"/>
        <v>0</v>
      </c>
    </row>
    <row r="97" spans="1:19" x14ac:dyDescent="0.3">
      <c r="A97" s="7">
        <v>91</v>
      </c>
      <c r="Q97" s="55">
        <f t="shared" ca="1" si="25"/>
        <v>67.389452492968189</v>
      </c>
      <c r="R97" s="10">
        <f t="shared" ca="1" si="23"/>
        <v>-0.15417217794956334</v>
      </c>
      <c r="S97" s="7">
        <f t="shared" ca="1" si="24"/>
        <v>0</v>
      </c>
    </row>
    <row r="98" spans="1:19" x14ac:dyDescent="0.3">
      <c r="A98" s="7">
        <v>92</v>
      </c>
      <c r="Q98" s="55">
        <f t="shared" ca="1" si="25"/>
        <v>68.138224187334501</v>
      </c>
      <c r="R98" s="10">
        <f t="shared" ca="1" si="23"/>
        <v>0.55966552104281964</v>
      </c>
      <c r="S98" s="7">
        <f t="shared" ca="1" si="24"/>
        <v>0</v>
      </c>
    </row>
    <row r="99" spans="1:19" x14ac:dyDescent="0.3">
      <c r="A99" s="7">
        <v>93</v>
      </c>
      <c r="Q99" s="55">
        <f t="shared" ca="1" si="25"/>
        <v>68.886995881700813</v>
      </c>
      <c r="R99" s="10">
        <f t="shared" ca="1" si="23"/>
        <v>0.97411079588892646</v>
      </c>
      <c r="S99" s="7">
        <f t="shared" ca="1" si="24"/>
        <v>0</v>
      </c>
    </row>
    <row r="100" spans="1:19" x14ac:dyDescent="0.3">
      <c r="A100" s="7">
        <v>94</v>
      </c>
      <c r="Q100" s="55">
        <f t="shared" ca="1" si="25"/>
        <v>69.635767576067124</v>
      </c>
      <c r="R100" s="10">
        <f t="shared" ca="1" si="23"/>
        <v>0.86745662543629276</v>
      </c>
      <c r="S100" s="7">
        <f t="shared" ca="1" si="24"/>
        <v>0</v>
      </c>
    </row>
    <row r="101" spans="1:19" x14ac:dyDescent="0.3">
      <c r="A101" s="7">
        <v>95</v>
      </c>
      <c r="Q101" s="55">
        <f t="shared" ca="1" si="25"/>
        <v>70.384539270433436</v>
      </c>
      <c r="R101" s="10">
        <f t="shared" ca="1" si="23"/>
        <v>0.2967575349978705</v>
      </c>
      <c r="S101" s="7">
        <f t="shared" ca="1" si="24"/>
        <v>0</v>
      </c>
    </row>
    <row r="102" spans="1:19" x14ac:dyDescent="0.3">
      <c r="A102" s="7">
        <v>96</v>
      </c>
      <c r="Q102" s="55">
        <f t="shared" ca="1" si="25"/>
        <v>71.133310964799747</v>
      </c>
      <c r="R102" s="10">
        <f t="shared" ca="1" si="23"/>
        <v>-0.43269165607411958</v>
      </c>
      <c r="S102" s="7">
        <f t="shared" ca="1" si="24"/>
        <v>0</v>
      </c>
    </row>
    <row r="103" spans="1:19" x14ac:dyDescent="0.3">
      <c r="A103" s="7">
        <v>97</v>
      </c>
      <c r="Q103" s="55">
        <f t="shared" ca="1" si="25"/>
        <v>71.882082659166059</v>
      </c>
      <c r="R103" s="10">
        <f t="shared" ca="1" si="23"/>
        <v>-0.93067294542774381</v>
      </c>
      <c r="S103" s="7">
        <f t="shared" ca="1" si="24"/>
        <v>0</v>
      </c>
    </row>
    <row r="104" spans="1:19" x14ac:dyDescent="0.3">
      <c r="A104" s="7">
        <v>98</v>
      </c>
      <c r="Q104" s="55">
        <f t="shared" ca="1" si="25"/>
        <v>72.630854353532371</v>
      </c>
      <c r="R104" s="10">
        <f t="shared" ca="1" si="23"/>
        <v>-0.93079181742218109</v>
      </c>
      <c r="S104" s="7">
        <f t="shared" ca="1" si="24"/>
        <v>0</v>
      </c>
    </row>
    <row r="105" spans="1:19" x14ac:dyDescent="0.3">
      <c r="A105" s="7">
        <v>99</v>
      </c>
      <c r="Q105" s="55">
        <f t="shared" ca="1" si="25"/>
        <v>73.379626047898682</v>
      </c>
      <c r="R105" s="10">
        <f t="shared" ca="1" si="23"/>
        <v>-0.43298468162128778</v>
      </c>
      <c r="S105" s="7">
        <f t="shared" ca="1" si="24"/>
        <v>0</v>
      </c>
    </row>
    <row r="106" spans="1:19" x14ac:dyDescent="0.3">
      <c r="A106" s="7">
        <v>100</v>
      </c>
      <c r="Q106" s="55">
        <f t="shared" ca="1" si="25"/>
        <v>74.128397742264994</v>
      </c>
      <c r="R106" s="10">
        <f t="shared" ca="1" si="23"/>
        <v>0.29644710957602538</v>
      </c>
      <c r="S106" s="7">
        <f t="shared" ca="1" si="24"/>
        <v>0</v>
      </c>
    </row>
    <row r="107" spans="1:19" x14ac:dyDescent="0.3">
      <c r="A107" s="7">
        <v>101</v>
      </c>
      <c r="Q107" s="55">
        <f t="shared" ca="1" si="25"/>
        <v>74.877169436631306</v>
      </c>
      <c r="R107" s="10">
        <f t="shared" ca="1" si="23"/>
        <v>0.86729486186068872</v>
      </c>
      <c r="S107" s="7">
        <f t="shared" ca="1" si="24"/>
        <v>0</v>
      </c>
    </row>
    <row r="108" spans="1:19" x14ac:dyDescent="0.3">
      <c r="A108" s="7">
        <v>102</v>
      </c>
      <c r="Q108" s="55">
        <f t="shared" ca="1" si="25"/>
        <v>75.625941130997617</v>
      </c>
      <c r="R108" s="10">
        <f t="shared" ca="1" si="23"/>
        <v>0.97418422939751859</v>
      </c>
      <c r="S108" s="7">
        <f t="shared" ca="1" si="24"/>
        <v>0</v>
      </c>
    </row>
    <row r="109" spans="1:19" x14ac:dyDescent="0.3">
      <c r="A109" s="7">
        <v>103</v>
      </c>
      <c r="Q109" s="55">
        <f t="shared" ca="1" si="25"/>
        <v>76.374712825363929</v>
      </c>
      <c r="R109" s="10">
        <f t="shared" ca="1" si="23"/>
        <v>0.55993486846499185</v>
      </c>
      <c r="S109" s="7">
        <f t="shared" ca="1" si="24"/>
        <v>0</v>
      </c>
    </row>
    <row r="110" spans="1:19" x14ac:dyDescent="0.3">
      <c r="A110" s="7">
        <v>104</v>
      </c>
      <c r="Q110" s="55">
        <f t="shared" ca="1" si="25"/>
        <v>77.123484519730241</v>
      </c>
      <c r="R110" s="10">
        <f t="shared" ca="1" si="23"/>
        <v>-0.15385100370624322</v>
      </c>
      <c r="S110" s="7">
        <f t="shared" ca="1" si="24"/>
        <v>0</v>
      </c>
    </row>
    <row r="111" spans="1:19" x14ac:dyDescent="0.3">
      <c r="A111" s="7">
        <v>105</v>
      </c>
      <c r="Q111" s="55">
        <f t="shared" ca="1" si="25"/>
        <v>77.872256214096552</v>
      </c>
      <c r="R111" s="10">
        <f t="shared" ca="1" si="23"/>
        <v>-0.78533445912126421</v>
      </c>
      <c r="S111" s="7">
        <f t="shared" ca="1" si="24"/>
        <v>0</v>
      </c>
    </row>
    <row r="112" spans="1:19" x14ac:dyDescent="0.3">
      <c r="A112" s="7">
        <v>106</v>
      </c>
      <c r="Q112" s="55">
        <f t="shared" ca="1" si="25"/>
        <v>78.621027908462864</v>
      </c>
      <c r="R112" s="10">
        <f t="shared" ca="1" si="23"/>
        <v>-0.99670415258107858</v>
      </c>
      <c r="S112" s="7">
        <f t="shared" ca="1" si="24"/>
        <v>0</v>
      </c>
    </row>
    <row r="113" spans="1:19" x14ac:dyDescent="0.3">
      <c r="A113" s="7">
        <v>107</v>
      </c>
      <c r="Q113" s="55">
        <f t="shared" ca="1" si="25"/>
        <v>79.369799602829175</v>
      </c>
      <c r="R113" s="10">
        <f t="shared" ca="1" si="23"/>
        <v>-0.67488811067185983</v>
      </c>
      <c r="S113" s="7">
        <f t="shared" ca="1" si="24"/>
        <v>0</v>
      </c>
    </row>
    <row r="114" spans="1:19" x14ac:dyDescent="0.3">
      <c r="A114" s="7">
        <v>108</v>
      </c>
      <c r="Q114" s="55">
        <f t="shared" ca="1" si="25"/>
        <v>80.118571297195487</v>
      </c>
      <c r="R114" s="10">
        <f t="shared" ca="1" si="23"/>
        <v>7.9585466396773791E-3</v>
      </c>
      <c r="S114" s="7">
        <f t="shared" ca="1" si="24"/>
        <v>0</v>
      </c>
    </row>
    <row r="115" spans="1:19" x14ac:dyDescent="0.3">
      <c r="A115" s="7">
        <v>109</v>
      </c>
      <c r="Q115" s="55">
        <f t="shared" ca="1" si="25"/>
        <v>80.867342991561799</v>
      </c>
      <c r="R115" s="10">
        <f t="shared" ca="1" si="23"/>
        <v>0.6865477886173299</v>
      </c>
      <c r="S115" s="7">
        <f t="shared" ca="1" si="24"/>
        <v>0</v>
      </c>
    </row>
    <row r="116" spans="1:19" x14ac:dyDescent="0.3">
      <c r="A116" s="7">
        <v>110</v>
      </c>
      <c r="Q116" s="55">
        <f t="shared" ca="1" si="25"/>
        <v>81.61611468592811</v>
      </c>
      <c r="R116" s="10">
        <f t="shared" ca="1" si="23"/>
        <v>0.99786908394103591</v>
      </c>
      <c r="S116" s="7">
        <f t="shared" ca="1" si="24"/>
        <v>0</v>
      </c>
    </row>
    <row r="117" spans="1:19" x14ac:dyDescent="0.3">
      <c r="A117" s="7">
        <v>111</v>
      </c>
      <c r="Q117" s="55">
        <f t="shared" ca="1" si="25"/>
        <v>82.364886380294422</v>
      </c>
      <c r="R117" s="10">
        <f t="shared" ca="1" si="23"/>
        <v>0.77538146521003271</v>
      </c>
      <c r="S117" s="7">
        <f t="shared" ca="1" si="24"/>
        <v>0</v>
      </c>
    </row>
    <row r="118" spans="1:19" x14ac:dyDescent="0.3">
      <c r="A118" s="7">
        <v>112</v>
      </c>
      <c r="Q118" s="55">
        <f t="shared" ca="1" si="25"/>
        <v>83.113658074660734</v>
      </c>
      <c r="R118" s="10">
        <f t="shared" ca="1" si="23"/>
        <v>0.13810442712231705</v>
      </c>
      <c r="S118" s="7">
        <f t="shared" ca="1" si="24"/>
        <v>0</v>
      </c>
    </row>
    <row r="119" spans="1:19" x14ac:dyDescent="0.3">
      <c r="A119" s="7">
        <v>113</v>
      </c>
      <c r="Q119" s="55">
        <f t="shared" ca="1" si="25"/>
        <v>83.862429769027045</v>
      </c>
      <c r="R119" s="10">
        <f t="shared" ca="1" si="23"/>
        <v>-0.57305141476314003</v>
      </c>
      <c r="S119" s="7">
        <f t="shared" ca="1" si="24"/>
        <v>0</v>
      </c>
    </row>
    <row r="120" spans="1:19" x14ac:dyDescent="0.3">
      <c r="A120" s="7">
        <v>114</v>
      </c>
      <c r="Q120" s="55">
        <f t="shared" ca="1" si="25"/>
        <v>84.611201463393357</v>
      </c>
      <c r="R120" s="10">
        <f t="shared" ca="1" si="23"/>
        <v>-0.97765406411547506</v>
      </c>
      <c r="S120" s="7">
        <f t="shared" ca="1" si="24"/>
        <v>0</v>
      </c>
    </row>
    <row r="121" spans="1:19" x14ac:dyDescent="0.3">
      <c r="A121" s="7">
        <v>115</v>
      </c>
      <c r="Q121" s="55">
        <f t="shared" ca="1" si="25"/>
        <v>85.359973157759669</v>
      </c>
      <c r="R121" s="10">
        <f t="shared" ca="1" si="23"/>
        <v>-0.85926180092325766</v>
      </c>
      <c r="S121" s="7">
        <f t="shared" ca="1" si="24"/>
        <v>0</v>
      </c>
    </row>
    <row r="122" spans="1:19" x14ac:dyDescent="0.3">
      <c r="A122" s="7">
        <v>116</v>
      </c>
      <c r="Q122" s="55">
        <f t="shared" ca="1" si="25"/>
        <v>86.10874485212598</v>
      </c>
      <c r="R122" s="10">
        <f t="shared" ca="1" si="23"/>
        <v>-0.28120842965462101</v>
      </c>
      <c r="S122" s="7">
        <f t="shared" ca="1" si="24"/>
        <v>0</v>
      </c>
    </row>
    <row r="123" spans="1:19" x14ac:dyDescent="0.3">
      <c r="A123" s="7">
        <v>117</v>
      </c>
      <c r="Q123" s="55">
        <f t="shared" ca="1" si="25"/>
        <v>86.857516546492292</v>
      </c>
      <c r="R123" s="10">
        <f t="shared" ca="1" si="23"/>
        <v>0.44727706630125907</v>
      </c>
      <c r="S123" s="7">
        <f t="shared" ca="1" si="24"/>
        <v>0</v>
      </c>
    </row>
    <row r="124" spans="1:19" x14ac:dyDescent="0.3">
      <c r="A124" s="7">
        <v>118</v>
      </c>
      <c r="Q124" s="55">
        <f t="shared" ca="1" si="25"/>
        <v>87.606288240858603</v>
      </c>
      <c r="R124" s="10">
        <f t="shared" ca="1" si="23"/>
        <v>0.9364922121818785</v>
      </c>
      <c r="S124" s="7">
        <f t="shared" ca="1" si="24"/>
        <v>0</v>
      </c>
    </row>
    <row r="125" spans="1:19" x14ac:dyDescent="0.3">
      <c r="A125" s="7">
        <v>119</v>
      </c>
      <c r="Q125" s="55">
        <f t="shared" ca="1" si="25"/>
        <v>88.355059935224915</v>
      </c>
      <c r="R125" s="10">
        <f t="shared" ca="1" si="23"/>
        <v>0.9247319306736278</v>
      </c>
      <c r="S125" s="7">
        <f t="shared" ca="1" si="24"/>
        <v>0</v>
      </c>
    </row>
    <row r="126" spans="1:19" x14ac:dyDescent="0.3">
      <c r="A126" s="7">
        <v>120</v>
      </c>
      <c r="Q126" s="55">
        <f t="shared" ca="1" si="25"/>
        <v>89.103831629591227</v>
      </c>
      <c r="R126" s="10">
        <f t="shared" ca="1" si="23"/>
        <v>0.41828737078786143</v>
      </c>
      <c r="S126" s="7">
        <f t="shared" ca="1" si="24"/>
        <v>0</v>
      </c>
    </row>
    <row r="127" spans="1:19" x14ac:dyDescent="0.3">
      <c r="A127" s="7">
        <v>121</v>
      </c>
      <c r="Q127" s="55">
        <f t="shared" ca="1" si="25"/>
        <v>89.852603323957538</v>
      </c>
      <c r="R127" s="10">
        <f t="shared" ca="1" si="23"/>
        <v>-0.31191953503732645</v>
      </c>
      <c r="S127" s="7">
        <f t="shared" ca="1" si="24"/>
        <v>0</v>
      </c>
    </row>
    <row r="128" spans="1:19" x14ac:dyDescent="0.3">
      <c r="A128" s="7">
        <v>122</v>
      </c>
      <c r="Q128" s="55">
        <f t="shared" ca="1" si="25"/>
        <v>90.60137501832385</v>
      </c>
      <c r="R128" s="10">
        <f t="shared" ca="1" si="23"/>
        <v>-0.87526544581783394</v>
      </c>
      <c r="S128" s="7">
        <f t="shared" ca="1" si="24"/>
        <v>0</v>
      </c>
    </row>
    <row r="129" spans="1:19" x14ac:dyDescent="0.3">
      <c r="A129" s="7">
        <v>123</v>
      </c>
      <c r="Q129" s="55">
        <f t="shared" ca="1" si="25"/>
        <v>91.350146712690162</v>
      </c>
      <c r="R129" s="10">
        <f t="shared" ca="1" si="23"/>
        <v>-0.97038911716754528</v>
      </c>
      <c r="S129" s="7">
        <f t="shared" ca="1" si="24"/>
        <v>0</v>
      </c>
    </row>
    <row r="130" spans="1:19" x14ac:dyDescent="0.3">
      <c r="A130" s="7">
        <v>124</v>
      </c>
      <c r="Q130" s="55">
        <f t="shared" ca="1" si="25"/>
        <v>92.098918407056473</v>
      </c>
      <c r="R130" s="10">
        <f t="shared" ca="1" si="23"/>
        <v>-0.54640425095249934</v>
      </c>
      <c r="S130" s="7">
        <f t="shared" ca="1" si="24"/>
        <v>0</v>
      </c>
    </row>
    <row r="131" spans="1:19" x14ac:dyDescent="0.3">
      <c r="A131" s="7">
        <v>125</v>
      </c>
      <c r="Q131" s="55">
        <f t="shared" ca="1" si="25"/>
        <v>92.847690101422785</v>
      </c>
      <c r="R131" s="10">
        <f t="shared" ca="1" si="23"/>
        <v>0.16987893828892234</v>
      </c>
      <c r="S131" s="7">
        <f t="shared" ca="1" si="24"/>
        <v>0</v>
      </c>
    </row>
    <row r="132" spans="1:19" x14ac:dyDescent="0.3">
      <c r="A132" s="7">
        <v>126</v>
      </c>
      <c r="Q132" s="55">
        <f t="shared" ca="1" si="25"/>
        <v>93.596461795789097</v>
      </c>
      <c r="R132" s="10">
        <f t="shared" ca="1" si="23"/>
        <v>0.79528558567915353</v>
      </c>
      <c r="S132" s="7">
        <f t="shared" ca="1" si="24"/>
        <v>0</v>
      </c>
    </row>
    <row r="133" spans="1:19" x14ac:dyDescent="0.3">
      <c r="A133" s="7">
        <v>127</v>
      </c>
      <c r="Q133" s="55">
        <f t="shared" ca="1" si="25"/>
        <v>94.345233490155408</v>
      </c>
      <c r="R133" s="10">
        <f t="shared" ca="1" si="23"/>
        <v>0.99525512745419786</v>
      </c>
      <c r="S133" s="7">
        <f t="shared" ca="1" si="24"/>
        <v>0</v>
      </c>
    </row>
    <row r="134" spans="1:19" x14ac:dyDescent="0.3">
      <c r="A134" s="7">
        <v>128</v>
      </c>
      <c r="Q134" s="55">
        <f t="shared" ca="1" si="25"/>
        <v>95.09400518452172</v>
      </c>
      <c r="R134" s="10">
        <f t="shared" ca="1" si="23"/>
        <v>0.66281408817841192</v>
      </c>
      <c r="S134" s="7">
        <f t="shared" ca="1" si="24"/>
        <v>0</v>
      </c>
    </row>
    <row r="135" spans="1:19" x14ac:dyDescent="0.3">
      <c r="A135" s="7">
        <v>129</v>
      </c>
      <c r="Q135" s="55">
        <f t="shared" ca="1" si="25"/>
        <v>95.842776878888031</v>
      </c>
      <c r="R135" s="10">
        <f t="shared" ca="1" si="23"/>
        <v>-2.4198582110633516E-2</v>
      </c>
      <c r="S135" s="7">
        <f t="shared" ca="1" si="24"/>
        <v>0</v>
      </c>
    </row>
    <row r="136" spans="1:19" x14ac:dyDescent="0.3">
      <c r="A136" s="7">
        <v>130</v>
      </c>
      <c r="Q136" s="55">
        <f t="shared" ca="1" si="25"/>
        <v>96.591548573254343</v>
      </c>
      <c r="R136" s="10">
        <f t="shared" ref="R136:R138" ca="1" si="26">COS(Q136 + C136)</f>
        <v>-0.69826624884558119</v>
      </c>
      <c r="S136" s="7">
        <f t="shared" ref="S136:S199" ca="1" si="27">E136*R136</f>
        <v>0</v>
      </c>
    </row>
    <row r="137" spans="1:19" x14ac:dyDescent="0.3">
      <c r="A137" s="7">
        <v>131</v>
      </c>
      <c r="Q137" s="55">
        <f t="shared" ref="Q137:Q200" ca="1" si="28">Q136+$I$7</f>
        <v>97.340320267620655</v>
      </c>
      <c r="R137" s="10">
        <f t="shared" ca="1" si="26"/>
        <v>-0.99879719216066565</v>
      </c>
      <c r="S137" s="7">
        <f t="shared" ca="1" si="27"/>
        <v>0</v>
      </c>
    </row>
    <row r="138" spans="1:19" x14ac:dyDescent="0.3">
      <c r="A138" s="7">
        <v>132</v>
      </c>
      <c r="Q138" s="55">
        <f t="shared" ca="1" si="28"/>
        <v>98.089091961986966</v>
      </c>
      <c r="R138" s="10">
        <f t="shared" ca="1" si="26"/>
        <v>-0.76502273100078544</v>
      </c>
      <c r="S138" s="7">
        <f t="shared" ca="1" si="27"/>
        <v>0</v>
      </c>
    </row>
    <row r="139" spans="1:19" x14ac:dyDescent="0.3">
      <c r="A139" s="7">
        <v>133</v>
      </c>
      <c r="Q139" s="55">
        <f t="shared" ca="1" si="28"/>
        <v>98.837863656353278</v>
      </c>
      <c r="R139" s="10">
        <f t="shared" ref="R139:R199" si="29">COS(G139 + C139)</f>
        <v>1</v>
      </c>
      <c r="S139" s="7">
        <f t="shared" si="27"/>
        <v>0</v>
      </c>
    </row>
    <row r="140" spans="1:19" x14ac:dyDescent="0.3">
      <c r="A140" s="7">
        <v>134</v>
      </c>
      <c r="Q140" s="55">
        <f t="shared" ca="1" si="28"/>
        <v>99.58663535071959</v>
      </c>
      <c r="R140" s="10">
        <f t="shared" si="29"/>
        <v>1</v>
      </c>
      <c r="S140" s="7">
        <f t="shared" si="27"/>
        <v>0</v>
      </c>
    </row>
    <row r="141" spans="1:19" x14ac:dyDescent="0.3">
      <c r="A141" s="7">
        <v>135</v>
      </c>
      <c r="Q141" s="55">
        <f t="shared" ca="1" si="28"/>
        <v>100.3354070450859</v>
      </c>
      <c r="R141" s="10">
        <f t="shared" si="29"/>
        <v>1</v>
      </c>
      <c r="S141" s="7">
        <f t="shared" si="27"/>
        <v>0</v>
      </c>
    </row>
    <row r="142" spans="1:19" x14ac:dyDescent="0.3">
      <c r="A142" s="7">
        <v>136</v>
      </c>
      <c r="Q142" s="55">
        <f t="shared" ca="1" si="28"/>
        <v>101.08417873945221</v>
      </c>
      <c r="R142" s="10">
        <f t="shared" si="29"/>
        <v>1</v>
      </c>
      <c r="S142" s="7">
        <f t="shared" si="27"/>
        <v>0</v>
      </c>
    </row>
    <row r="143" spans="1:19" x14ac:dyDescent="0.3">
      <c r="A143" s="7">
        <v>137</v>
      </c>
      <c r="Q143" s="55">
        <f t="shared" ca="1" si="28"/>
        <v>101.83295043381852</v>
      </c>
      <c r="R143" s="10">
        <f t="shared" si="29"/>
        <v>1</v>
      </c>
      <c r="S143" s="7">
        <f t="shared" si="27"/>
        <v>0</v>
      </c>
    </row>
    <row r="144" spans="1:19" x14ac:dyDescent="0.3">
      <c r="A144" s="7">
        <v>138</v>
      </c>
      <c r="Q144" s="55">
        <f t="shared" ca="1" si="28"/>
        <v>102.58172212818484</v>
      </c>
      <c r="R144" s="10">
        <f t="shared" si="29"/>
        <v>1</v>
      </c>
      <c r="S144" s="7">
        <f t="shared" si="27"/>
        <v>0</v>
      </c>
    </row>
    <row r="145" spans="1:19" x14ac:dyDescent="0.3">
      <c r="A145" s="7">
        <v>139</v>
      </c>
      <c r="Q145" s="55">
        <f t="shared" ca="1" si="28"/>
        <v>103.33049382255115</v>
      </c>
      <c r="R145" s="10">
        <f t="shared" si="29"/>
        <v>1</v>
      </c>
      <c r="S145" s="7">
        <f t="shared" si="27"/>
        <v>0</v>
      </c>
    </row>
    <row r="146" spans="1:19" x14ac:dyDescent="0.3">
      <c r="A146" s="7">
        <v>140</v>
      </c>
      <c r="Q146" s="55">
        <f t="shared" ca="1" si="28"/>
        <v>104.07926551691746</v>
      </c>
      <c r="R146" s="10">
        <f t="shared" si="29"/>
        <v>1</v>
      </c>
      <c r="S146" s="7">
        <f t="shared" si="27"/>
        <v>0</v>
      </c>
    </row>
    <row r="147" spans="1:19" x14ac:dyDescent="0.3">
      <c r="A147" s="7">
        <v>141</v>
      </c>
      <c r="Q147" s="55">
        <f t="shared" ca="1" si="28"/>
        <v>104.82803721128377</v>
      </c>
      <c r="R147" s="10">
        <f t="shared" si="29"/>
        <v>1</v>
      </c>
      <c r="S147" s="7">
        <f t="shared" si="27"/>
        <v>0</v>
      </c>
    </row>
    <row r="148" spans="1:19" x14ac:dyDescent="0.3">
      <c r="A148" s="7">
        <v>142</v>
      </c>
      <c r="Q148" s="55">
        <f t="shared" ca="1" si="28"/>
        <v>105.57680890565008</v>
      </c>
      <c r="R148" s="10">
        <f t="shared" si="29"/>
        <v>1</v>
      </c>
      <c r="S148" s="7">
        <f t="shared" si="27"/>
        <v>0</v>
      </c>
    </row>
    <row r="149" spans="1:19" x14ac:dyDescent="0.3">
      <c r="A149" s="7">
        <v>143</v>
      </c>
      <c r="Q149" s="55">
        <f t="shared" ca="1" si="28"/>
        <v>106.32558060001639</v>
      </c>
      <c r="R149" s="10">
        <f t="shared" si="29"/>
        <v>1</v>
      </c>
      <c r="S149" s="7">
        <f t="shared" si="27"/>
        <v>0</v>
      </c>
    </row>
    <row r="150" spans="1:19" x14ac:dyDescent="0.3">
      <c r="A150" s="7">
        <v>144</v>
      </c>
      <c r="Q150" s="55">
        <f t="shared" ca="1" si="28"/>
        <v>107.07435229438271</v>
      </c>
      <c r="R150" s="10">
        <f t="shared" si="29"/>
        <v>1</v>
      </c>
      <c r="S150" s="7">
        <f t="shared" si="27"/>
        <v>0</v>
      </c>
    </row>
    <row r="151" spans="1:19" x14ac:dyDescent="0.3">
      <c r="A151" s="7">
        <v>145</v>
      </c>
      <c r="Q151" s="55">
        <f t="shared" ca="1" si="28"/>
        <v>107.82312398874902</v>
      </c>
      <c r="R151" s="10">
        <f t="shared" si="29"/>
        <v>1</v>
      </c>
      <c r="S151" s="7">
        <f t="shared" si="27"/>
        <v>0</v>
      </c>
    </row>
    <row r="152" spans="1:19" x14ac:dyDescent="0.3">
      <c r="A152" s="7">
        <v>146</v>
      </c>
      <c r="Q152" s="55">
        <f t="shared" ca="1" si="28"/>
        <v>108.57189568311533</v>
      </c>
      <c r="R152" s="10">
        <f t="shared" si="29"/>
        <v>1</v>
      </c>
      <c r="S152" s="7">
        <f t="shared" si="27"/>
        <v>0</v>
      </c>
    </row>
    <row r="153" spans="1:19" x14ac:dyDescent="0.3">
      <c r="A153" s="7">
        <v>147</v>
      </c>
      <c r="Q153" s="55">
        <f t="shared" ca="1" si="28"/>
        <v>109.32066737748164</v>
      </c>
      <c r="R153" s="10">
        <f t="shared" si="29"/>
        <v>1</v>
      </c>
      <c r="S153" s="7">
        <f t="shared" si="27"/>
        <v>0</v>
      </c>
    </row>
    <row r="154" spans="1:19" x14ac:dyDescent="0.3">
      <c r="A154" s="7">
        <v>148</v>
      </c>
      <c r="Q154" s="55">
        <f t="shared" ca="1" si="28"/>
        <v>110.06943907184795</v>
      </c>
      <c r="R154" s="10">
        <f t="shared" si="29"/>
        <v>1</v>
      </c>
      <c r="S154" s="7">
        <f t="shared" si="27"/>
        <v>0</v>
      </c>
    </row>
    <row r="155" spans="1:19" x14ac:dyDescent="0.3">
      <c r="A155" s="7">
        <v>149</v>
      </c>
      <c r="Q155" s="55">
        <f t="shared" ca="1" si="28"/>
        <v>110.81821076621426</v>
      </c>
      <c r="R155" s="10">
        <f t="shared" si="29"/>
        <v>1</v>
      </c>
      <c r="S155" s="7">
        <f t="shared" si="27"/>
        <v>0</v>
      </c>
    </row>
    <row r="156" spans="1:19" x14ac:dyDescent="0.3">
      <c r="A156" s="7">
        <v>150</v>
      </c>
      <c r="Q156" s="55">
        <f t="shared" ca="1" si="28"/>
        <v>111.56698246058058</v>
      </c>
      <c r="R156" s="10">
        <f t="shared" si="29"/>
        <v>1</v>
      </c>
      <c r="S156" s="7">
        <f t="shared" si="27"/>
        <v>0</v>
      </c>
    </row>
    <row r="157" spans="1:19" x14ac:dyDescent="0.3">
      <c r="A157" s="7">
        <v>151</v>
      </c>
      <c r="Q157" s="55">
        <f t="shared" ca="1" si="28"/>
        <v>112.31575415494689</v>
      </c>
      <c r="R157" s="10">
        <f t="shared" si="29"/>
        <v>1</v>
      </c>
      <c r="S157" s="7">
        <f t="shared" si="27"/>
        <v>0</v>
      </c>
    </row>
    <row r="158" spans="1:19" x14ac:dyDescent="0.3">
      <c r="A158" s="7">
        <v>152</v>
      </c>
      <c r="Q158" s="55">
        <f t="shared" ca="1" si="28"/>
        <v>113.0645258493132</v>
      </c>
      <c r="R158" s="10">
        <f t="shared" si="29"/>
        <v>1</v>
      </c>
      <c r="S158" s="7">
        <f t="shared" si="27"/>
        <v>0</v>
      </c>
    </row>
    <row r="159" spans="1:19" x14ac:dyDescent="0.3">
      <c r="A159" s="7">
        <v>153</v>
      </c>
      <c r="Q159" s="55">
        <f t="shared" ca="1" si="28"/>
        <v>113.81329754367951</v>
      </c>
      <c r="R159" s="10">
        <f t="shared" si="29"/>
        <v>1</v>
      </c>
      <c r="S159" s="7">
        <f t="shared" si="27"/>
        <v>0</v>
      </c>
    </row>
    <row r="160" spans="1:19" x14ac:dyDescent="0.3">
      <c r="A160" s="7">
        <v>154</v>
      </c>
      <c r="Q160" s="55">
        <f t="shared" ca="1" si="28"/>
        <v>114.56206923804582</v>
      </c>
      <c r="R160" s="10">
        <f t="shared" si="29"/>
        <v>1</v>
      </c>
      <c r="S160" s="7">
        <f t="shared" si="27"/>
        <v>0</v>
      </c>
    </row>
    <row r="161" spans="1:19" x14ac:dyDescent="0.3">
      <c r="A161" s="7">
        <v>155</v>
      </c>
      <c r="Q161" s="55">
        <f t="shared" ca="1" si="28"/>
        <v>115.31084093241213</v>
      </c>
      <c r="R161" s="10">
        <f t="shared" si="29"/>
        <v>1</v>
      </c>
      <c r="S161" s="7">
        <f t="shared" si="27"/>
        <v>0</v>
      </c>
    </row>
    <row r="162" spans="1:19" x14ac:dyDescent="0.3">
      <c r="A162" s="7">
        <v>156</v>
      </c>
      <c r="Q162" s="55">
        <f t="shared" ca="1" si="28"/>
        <v>116.05961262677845</v>
      </c>
      <c r="R162" s="10">
        <f t="shared" si="29"/>
        <v>1</v>
      </c>
      <c r="S162" s="7">
        <f t="shared" si="27"/>
        <v>0</v>
      </c>
    </row>
    <row r="163" spans="1:19" x14ac:dyDescent="0.3">
      <c r="A163" s="7">
        <v>157</v>
      </c>
      <c r="Q163" s="55">
        <f t="shared" ca="1" si="28"/>
        <v>116.80838432114476</v>
      </c>
      <c r="R163" s="10">
        <f t="shared" si="29"/>
        <v>1</v>
      </c>
      <c r="S163" s="7">
        <f t="shared" si="27"/>
        <v>0</v>
      </c>
    </row>
    <row r="164" spans="1:19" x14ac:dyDescent="0.3">
      <c r="A164" s="7">
        <v>158</v>
      </c>
      <c r="Q164" s="55">
        <f t="shared" ca="1" si="28"/>
        <v>117.55715601551107</v>
      </c>
      <c r="R164" s="10">
        <f t="shared" si="29"/>
        <v>1</v>
      </c>
      <c r="S164" s="7">
        <f t="shared" si="27"/>
        <v>0</v>
      </c>
    </row>
    <row r="165" spans="1:19" x14ac:dyDescent="0.3">
      <c r="A165" s="7">
        <v>159</v>
      </c>
      <c r="Q165" s="55">
        <f t="shared" ca="1" si="28"/>
        <v>118.30592770987738</v>
      </c>
      <c r="R165" s="10">
        <f t="shared" si="29"/>
        <v>1</v>
      </c>
      <c r="S165" s="7">
        <f t="shared" si="27"/>
        <v>0</v>
      </c>
    </row>
    <row r="166" spans="1:19" x14ac:dyDescent="0.3">
      <c r="A166" s="7">
        <v>160</v>
      </c>
      <c r="Q166" s="55">
        <f t="shared" ca="1" si="28"/>
        <v>119.05469940424369</v>
      </c>
      <c r="R166" s="10">
        <f t="shared" si="29"/>
        <v>1</v>
      </c>
      <c r="S166" s="7">
        <f t="shared" si="27"/>
        <v>0</v>
      </c>
    </row>
    <row r="167" spans="1:19" x14ac:dyDescent="0.3">
      <c r="A167" s="7">
        <v>161</v>
      </c>
      <c r="Q167" s="55">
        <f t="shared" ca="1" si="28"/>
        <v>119.80347109861</v>
      </c>
      <c r="R167" s="10">
        <f t="shared" si="29"/>
        <v>1</v>
      </c>
      <c r="S167" s="7">
        <f t="shared" si="27"/>
        <v>0</v>
      </c>
    </row>
    <row r="168" spans="1:19" x14ac:dyDescent="0.3">
      <c r="A168" s="7">
        <v>162</v>
      </c>
      <c r="Q168" s="55">
        <f t="shared" ca="1" si="28"/>
        <v>120.55224279297632</v>
      </c>
      <c r="R168" s="10">
        <f t="shared" si="29"/>
        <v>1</v>
      </c>
      <c r="S168" s="7">
        <f t="shared" si="27"/>
        <v>0</v>
      </c>
    </row>
    <row r="169" spans="1:19" x14ac:dyDescent="0.3">
      <c r="A169" s="7">
        <v>163</v>
      </c>
      <c r="Q169" s="55">
        <f t="shared" ca="1" si="28"/>
        <v>121.30101448734263</v>
      </c>
      <c r="R169" s="10">
        <f t="shared" si="29"/>
        <v>1</v>
      </c>
      <c r="S169" s="7">
        <f t="shared" si="27"/>
        <v>0</v>
      </c>
    </row>
    <row r="170" spans="1:19" x14ac:dyDescent="0.3">
      <c r="A170" s="7">
        <v>164</v>
      </c>
      <c r="Q170" s="55">
        <f t="shared" ca="1" si="28"/>
        <v>122.04978618170894</v>
      </c>
      <c r="R170" s="10">
        <f t="shared" si="29"/>
        <v>1</v>
      </c>
      <c r="S170" s="7">
        <f t="shared" si="27"/>
        <v>0</v>
      </c>
    </row>
    <row r="171" spans="1:19" x14ac:dyDescent="0.3">
      <c r="A171" s="7">
        <v>165</v>
      </c>
      <c r="Q171" s="55">
        <f t="shared" ca="1" si="28"/>
        <v>122.79855787607525</v>
      </c>
      <c r="R171" s="10">
        <f t="shared" si="29"/>
        <v>1</v>
      </c>
      <c r="S171" s="7">
        <f t="shared" si="27"/>
        <v>0</v>
      </c>
    </row>
    <row r="172" spans="1:19" x14ac:dyDescent="0.3">
      <c r="A172" s="7">
        <v>166</v>
      </c>
      <c r="Q172" s="55">
        <f t="shared" ca="1" si="28"/>
        <v>123.54732957044156</v>
      </c>
      <c r="R172" s="10">
        <f t="shared" si="29"/>
        <v>1</v>
      </c>
      <c r="S172" s="7">
        <f t="shared" si="27"/>
        <v>0</v>
      </c>
    </row>
    <row r="173" spans="1:19" x14ac:dyDescent="0.3">
      <c r="A173" s="7">
        <v>167</v>
      </c>
      <c r="Q173" s="55">
        <f t="shared" ca="1" si="28"/>
        <v>124.29610126480787</v>
      </c>
      <c r="R173" s="10">
        <f t="shared" si="29"/>
        <v>1</v>
      </c>
      <c r="S173" s="7">
        <f t="shared" si="27"/>
        <v>0</v>
      </c>
    </row>
    <row r="174" spans="1:19" x14ac:dyDescent="0.3">
      <c r="A174" s="7">
        <v>168</v>
      </c>
      <c r="Q174" s="55">
        <f t="shared" ca="1" si="28"/>
        <v>125.04487295917419</v>
      </c>
      <c r="R174" s="10">
        <f t="shared" si="29"/>
        <v>1</v>
      </c>
      <c r="S174" s="7">
        <f t="shared" si="27"/>
        <v>0</v>
      </c>
    </row>
    <row r="175" spans="1:19" x14ac:dyDescent="0.3">
      <c r="A175" s="7">
        <v>169</v>
      </c>
      <c r="Q175" s="55">
        <f t="shared" ca="1" si="28"/>
        <v>125.7936446535405</v>
      </c>
      <c r="R175" s="10">
        <f t="shared" si="29"/>
        <v>1</v>
      </c>
      <c r="S175" s="7">
        <f t="shared" si="27"/>
        <v>0</v>
      </c>
    </row>
    <row r="176" spans="1:19" x14ac:dyDescent="0.3">
      <c r="A176" s="7">
        <v>170</v>
      </c>
      <c r="Q176" s="55">
        <f t="shared" ca="1" si="28"/>
        <v>126.54241634790681</v>
      </c>
      <c r="R176" s="10">
        <f t="shared" si="29"/>
        <v>1</v>
      </c>
      <c r="S176" s="7">
        <f t="shared" si="27"/>
        <v>0</v>
      </c>
    </row>
    <row r="177" spans="1:19" x14ac:dyDescent="0.3">
      <c r="A177" s="7">
        <v>171</v>
      </c>
      <c r="Q177" s="55">
        <f t="shared" ca="1" si="28"/>
        <v>127.29118804227312</v>
      </c>
      <c r="R177" s="10">
        <f t="shared" si="29"/>
        <v>1</v>
      </c>
      <c r="S177" s="7">
        <f t="shared" si="27"/>
        <v>0</v>
      </c>
    </row>
    <row r="178" spans="1:19" x14ac:dyDescent="0.3">
      <c r="A178" s="7">
        <v>172</v>
      </c>
      <c r="Q178" s="55">
        <f t="shared" ca="1" si="28"/>
        <v>128.03995973663945</v>
      </c>
      <c r="R178" s="10">
        <f t="shared" si="29"/>
        <v>1</v>
      </c>
      <c r="S178" s="7">
        <f t="shared" si="27"/>
        <v>0</v>
      </c>
    </row>
    <row r="179" spans="1:19" x14ac:dyDescent="0.3">
      <c r="A179" s="7">
        <v>173</v>
      </c>
      <c r="Q179" s="55">
        <f t="shared" ca="1" si="28"/>
        <v>128.78873143100577</v>
      </c>
      <c r="R179" s="10">
        <f t="shared" si="29"/>
        <v>1</v>
      </c>
      <c r="S179" s="7">
        <f t="shared" si="27"/>
        <v>0</v>
      </c>
    </row>
    <row r="180" spans="1:19" x14ac:dyDescent="0.3">
      <c r="A180" s="7">
        <v>174</v>
      </c>
      <c r="Q180" s="55">
        <f t="shared" ca="1" si="28"/>
        <v>129.5375031253721</v>
      </c>
      <c r="R180" s="10">
        <f t="shared" si="29"/>
        <v>1</v>
      </c>
      <c r="S180" s="7">
        <f t="shared" si="27"/>
        <v>0</v>
      </c>
    </row>
    <row r="181" spans="1:19" x14ac:dyDescent="0.3">
      <c r="A181" s="7">
        <v>175</v>
      </c>
      <c r="Q181" s="55">
        <f t="shared" ca="1" si="28"/>
        <v>130.28627481973842</v>
      </c>
      <c r="R181" s="10">
        <f t="shared" si="29"/>
        <v>1</v>
      </c>
      <c r="S181" s="7">
        <f t="shared" si="27"/>
        <v>0</v>
      </c>
    </row>
    <row r="182" spans="1:19" x14ac:dyDescent="0.3">
      <c r="A182" s="7">
        <v>176</v>
      </c>
      <c r="Q182" s="55">
        <f t="shared" ca="1" si="28"/>
        <v>131.03504651410475</v>
      </c>
      <c r="R182" s="10">
        <f t="shared" si="29"/>
        <v>1</v>
      </c>
      <c r="S182" s="7">
        <f t="shared" si="27"/>
        <v>0</v>
      </c>
    </row>
    <row r="183" spans="1:19" x14ac:dyDescent="0.3">
      <c r="A183" s="7">
        <v>177</v>
      </c>
      <c r="Q183" s="55">
        <f t="shared" ca="1" si="28"/>
        <v>131.78381820847108</v>
      </c>
      <c r="R183" s="10">
        <f t="shared" si="29"/>
        <v>1</v>
      </c>
      <c r="S183" s="7">
        <f t="shared" si="27"/>
        <v>0</v>
      </c>
    </row>
    <row r="184" spans="1:19" x14ac:dyDescent="0.3">
      <c r="A184" s="7">
        <v>178</v>
      </c>
      <c r="Q184" s="55">
        <f t="shared" ca="1" si="28"/>
        <v>132.5325899028374</v>
      </c>
      <c r="R184" s="10">
        <f t="shared" si="29"/>
        <v>1</v>
      </c>
      <c r="S184" s="7">
        <f t="shared" si="27"/>
        <v>0</v>
      </c>
    </row>
    <row r="185" spans="1:19" x14ac:dyDescent="0.3">
      <c r="A185" s="7">
        <v>179</v>
      </c>
      <c r="Q185" s="55">
        <f t="shared" ca="1" si="28"/>
        <v>133.28136159720373</v>
      </c>
      <c r="R185" s="10">
        <f t="shared" si="29"/>
        <v>1</v>
      </c>
      <c r="S185" s="7">
        <f t="shared" si="27"/>
        <v>0</v>
      </c>
    </row>
    <row r="186" spans="1:19" x14ac:dyDescent="0.3">
      <c r="A186" s="7">
        <v>180</v>
      </c>
      <c r="Q186" s="55">
        <f t="shared" ca="1" si="28"/>
        <v>134.03013329157005</v>
      </c>
      <c r="R186" s="10">
        <f t="shared" si="29"/>
        <v>1</v>
      </c>
      <c r="S186" s="7">
        <f t="shared" si="27"/>
        <v>0</v>
      </c>
    </row>
    <row r="187" spans="1:19" x14ac:dyDescent="0.3">
      <c r="A187" s="7">
        <v>181</v>
      </c>
      <c r="Q187" s="55">
        <f t="shared" ca="1" si="28"/>
        <v>134.77890498593638</v>
      </c>
      <c r="R187" s="10">
        <f t="shared" si="29"/>
        <v>1</v>
      </c>
      <c r="S187" s="7">
        <f t="shared" si="27"/>
        <v>0</v>
      </c>
    </row>
    <row r="188" spans="1:19" x14ac:dyDescent="0.3">
      <c r="A188" s="7">
        <v>182</v>
      </c>
      <c r="Q188" s="55">
        <f t="shared" ca="1" si="28"/>
        <v>135.5276766803027</v>
      </c>
      <c r="R188" s="10">
        <f t="shared" si="29"/>
        <v>1</v>
      </c>
      <c r="S188" s="7">
        <f t="shared" si="27"/>
        <v>0</v>
      </c>
    </row>
    <row r="189" spans="1:19" x14ac:dyDescent="0.3">
      <c r="A189" s="7">
        <v>183</v>
      </c>
      <c r="Q189" s="55">
        <f t="shared" ca="1" si="28"/>
        <v>136.27644837466903</v>
      </c>
      <c r="R189" s="10">
        <f t="shared" si="29"/>
        <v>1</v>
      </c>
      <c r="S189" s="7">
        <f t="shared" si="27"/>
        <v>0</v>
      </c>
    </row>
    <row r="190" spans="1:19" x14ac:dyDescent="0.3">
      <c r="A190" s="7">
        <v>184</v>
      </c>
      <c r="Q190" s="55">
        <f t="shared" ca="1" si="28"/>
        <v>137.02522006903536</v>
      </c>
      <c r="R190" s="10">
        <f t="shared" si="29"/>
        <v>1</v>
      </c>
      <c r="S190" s="7">
        <f t="shared" si="27"/>
        <v>0</v>
      </c>
    </row>
    <row r="191" spans="1:19" x14ac:dyDescent="0.3">
      <c r="A191" s="7">
        <v>185</v>
      </c>
      <c r="Q191" s="55">
        <f t="shared" ca="1" si="28"/>
        <v>137.77399176340168</v>
      </c>
      <c r="R191" s="10">
        <f t="shared" si="29"/>
        <v>1</v>
      </c>
      <c r="S191" s="7">
        <f t="shared" si="27"/>
        <v>0</v>
      </c>
    </row>
    <row r="192" spans="1:19" x14ac:dyDescent="0.3">
      <c r="A192" s="7">
        <v>186</v>
      </c>
      <c r="Q192" s="55">
        <f t="shared" ca="1" si="28"/>
        <v>138.52276345776801</v>
      </c>
      <c r="R192" s="10">
        <f t="shared" si="29"/>
        <v>1</v>
      </c>
      <c r="S192" s="7">
        <f t="shared" si="27"/>
        <v>0</v>
      </c>
    </row>
    <row r="193" spans="1:19" x14ac:dyDescent="0.3">
      <c r="A193" s="7">
        <v>187</v>
      </c>
      <c r="Q193" s="55">
        <f t="shared" ca="1" si="28"/>
        <v>139.27153515213433</v>
      </c>
      <c r="R193" s="10">
        <f t="shared" si="29"/>
        <v>1</v>
      </c>
      <c r="S193" s="7">
        <f t="shared" si="27"/>
        <v>0</v>
      </c>
    </row>
    <row r="194" spans="1:19" x14ac:dyDescent="0.3">
      <c r="A194" s="7">
        <v>188</v>
      </c>
      <c r="Q194" s="55">
        <f t="shared" ca="1" si="28"/>
        <v>140.02030684650066</v>
      </c>
      <c r="R194" s="10">
        <f t="shared" si="29"/>
        <v>1</v>
      </c>
      <c r="S194" s="7">
        <f t="shared" si="27"/>
        <v>0</v>
      </c>
    </row>
    <row r="195" spans="1:19" x14ac:dyDescent="0.3">
      <c r="A195" s="7">
        <v>189</v>
      </c>
      <c r="Q195" s="55">
        <f t="shared" ca="1" si="28"/>
        <v>140.76907854086699</v>
      </c>
      <c r="R195" s="10">
        <f t="shared" si="29"/>
        <v>1</v>
      </c>
      <c r="S195" s="7">
        <f t="shared" si="27"/>
        <v>0</v>
      </c>
    </row>
    <row r="196" spans="1:19" x14ac:dyDescent="0.3">
      <c r="A196" s="7">
        <v>190</v>
      </c>
      <c r="Q196" s="55">
        <f t="shared" ca="1" si="28"/>
        <v>141.51785023523331</v>
      </c>
      <c r="R196" s="10">
        <f t="shared" si="29"/>
        <v>1</v>
      </c>
      <c r="S196" s="7">
        <f t="shared" si="27"/>
        <v>0</v>
      </c>
    </row>
    <row r="197" spans="1:19" x14ac:dyDescent="0.3">
      <c r="A197" s="7">
        <v>191</v>
      </c>
      <c r="Q197" s="55">
        <f t="shared" ca="1" si="28"/>
        <v>142.26662192959964</v>
      </c>
      <c r="R197" s="10">
        <f t="shared" si="29"/>
        <v>1</v>
      </c>
      <c r="S197" s="7">
        <f t="shared" si="27"/>
        <v>0</v>
      </c>
    </row>
    <row r="198" spans="1:19" x14ac:dyDescent="0.3">
      <c r="A198" s="7">
        <v>192</v>
      </c>
      <c r="Q198" s="55">
        <f t="shared" ca="1" si="28"/>
        <v>143.01539362396596</v>
      </c>
      <c r="R198" s="10">
        <f t="shared" si="29"/>
        <v>1</v>
      </c>
      <c r="S198" s="7">
        <f t="shared" si="27"/>
        <v>0</v>
      </c>
    </row>
    <row r="199" spans="1:19" x14ac:dyDescent="0.3">
      <c r="A199" s="7">
        <v>193</v>
      </c>
      <c r="Q199" s="55">
        <f t="shared" ca="1" si="28"/>
        <v>143.76416531833229</v>
      </c>
      <c r="R199" s="10">
        <f t="shared" si="29"/>
        <v>1</v>
      </c>
      <c r="S199" s="7">
        <f t="shared" si="27"/>
        <v>0</v>
      </c>
    </row>
    <row r="200" spans="1:19" x14ac:dyDescent="0.3">
      <c r="A200" s="7">
        <v>194</v>
      </c>
      <c r="Q200" s="55">
        <f t="shared" ca="1" si="28"/>
        <v>144.51293701269861</v>
      </c>
      <c r="R200" s="10">
        <f t="shared" ref="R200:R206" si="30">COS(G200 + C200)</f>
        <v>1</v>
      </c>
      <c r="S200" s="7">
        <f t="shared" ref="S200:S206" si="31">E200*R200</f>
        <v>0</v>
      </c>
    </row>
    <row r="201" spans="1:19" x14ac:dyDescent="0.3">
      <c r="A201" s="7">
        <v>195</v>
      </c>
      <c r="Q201" s="55">
        <f t="shared" ref="Q201:Q206" ca="1" si="32">Q200+$I$7</f>
        <v>145.26170870706494</v>
      </c>
      <c r="R201" s="10">
        <f t="shared" si="30"/>
        <v>1</v>
      </c>
      <c r="S201" s="7">
        <f t="shared" si="31"/>
        <v>0</v>
      </c>
    </row>
    <row r="202" spans="1:19" x14ac:dyDescent="0.3">
      <c r="A202" s="7">
        <v>196</v>
      </c>
      <c r="Q202" s="55">
        <f t="shared" ca="1" si="32"/>
        <v>146.01048040143127</v>
      </c>
      <c r="R202" s="10">
        <f t="shared" si="30"/>
        <v>1</v>
      </c>
      <c r="S202" s="7">
        <f t="shared" si="31"/>
        <v>0</v>
      </c>
    </row>
    <row r="203" spans="1:19" x14ac:dyDescent="0.3">
      <c r="A203" s="7">
        <v>197</v>
      </c>
      <c r="Q203" s="55">
        <f t="shared" ca="1" si="32"/>
        <v>146.75925209579759</v>
      </c>
      <c r="R203" s="10">
        <f t="shared" si="30"/>
        <v>1</v>
      </c>
      <c r="S203" s="7">
        <f t="shared" si="31"/>
        <v>0</v>
      </c>
    </row>
    <row r="204" spans="1:19" x14ac:dyDescent="0.3">
      <c r="A204" s="7">
        <v>198</v>
      </c>
      <c r="Q204" s="55">
        <f t="shared" ca="1" si="32"/>
        <v>147.50802379016392</v>
      </c>
      <c r="R204" s="10">
        <f t="shared" si="30"/>
        <v>1</v>
      </c>
      <c r="S204" s="7">
        <f t="shared" si="31"/>
        <v>0</v>
      </c>
    </row>
    <row r="205" spans="1:19" x14ac:dyDescent="0.3">
      <c r="A205" s="7">
        <v>199</v>
      </c>
      <c r="Q205" s="55">
        <f t="shared" ca="1" si="32"/>
        <v>148.25679548453024</v>
      </c>
      <c r="R205" s="10">
        <f t="shared" si="30"/>
        <v>1</v>
      </c>
      <c r="S205" s="7">
        <f t="shared" si="31"/>
        <v>0</v>
      </c>
    </row>
    <row r="206" spans="1:19" x14ac:dyDescent="0.3">
      <c r="A206" s="7">
        <v>200</v>
      </c>
      <c r="Q206" s="55">
        <f t="shared" ca="1" si="32"/>
        <v>149.00556717889657</v>
      </c>
      <c r="R206" s="10">
        <f t="shared" si="30"/>
        <v>1</v>
      </c>
      <c r="S206" s="7">
        <f t="shared" si="31"/>
        <v>0</v>
      </c>
    </row>
    <row r="207" spans="1:19" x14ac:dyDescent="0.3">
      <c r="H207" s="9"/>
      <c r="I207" s="9"/>
      <c r="J207" s="9"/>
      <c r="P207" s="9"/>
    </row>
  </sheetData>
  <pageMargins left="0.7" right="0.7" top="0.75" bottom="0.75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Кнопка1_Щелчок">
                <anchor moveWithCells="1" sizeWithCells="1">
                  <from>
                    <xdr:col>8</xdr:col>
                    <xdr:colOff>586740</xdr:colOff>
                    <xdr:row>2</xdr:row>
                    <xdr:rowOff>0</xdr:rowOff>
                  </from>
                  <to>
                    <xdr:col>10</xdr:col>
                    <xdr:colOff>586740</xdr:colOff>
                    <xdr:row>3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2"/>
  <dimension ref="A1:R69"/>
  <sheetViews>
    <sheetView zoomScale="85" zoomScaleNormal="85" workbookViewId="0">
      <selection activeCell="H7" sqref="H7"/>
    </sheetView>
  </sheetViews>
  <sheetFormatPr defaultColWidth="11.5546875" defaultRowHeight="14.4" x14ac:dyDescent="0.3"/>
  <cols>
    <col min="3" max="3" width="12" bestFit="1" customWidth="1"/>
  </cols>
  <sheetData>
    <row r="1" spans="1:18" ht="16.2" thickBot="1" x14ac:dyDescent="0.35">
      <c r="A1" s="20" t="s">
        <v>12</v>
      </c>
      <c r="B1" s="25">
        <f>25*10^(-3)</f>
        <v>2.5000000000000001E-2</v>
      </c>
      <c r="C1" s="27" t="s">
        <v>24</v>
      </c>
      <c r="D1" s="29">
        <v>0</v>
      </c>
      <c r="E1" s="27" t="s">
        <v>26</v>
      </c>
      <c r="F1" s="57">
        <v>3.3</v>
      </c>
      <c r="G1" s="59" t="s">
        <v>29</v>
      </c>
      <c r="H1" s="58">
        <v>2</v>
      </c>
    </row>
    <row r="2" spans="1:18" ht="16.2" thickBot="1" x14ac:dyDescent="0.35">
      <c r="A2" s="21" t="s">
        <v>13</v>
      </c>
      <c r="B2" s="26">
        <v>1</v>
      </c>
      <c r="C2" s="28" t="s">
        <v>25</v>
      </c>
      <c r="D2" s="30">
        <v>0.2</v>
      </c>
      <c r="E2" s="32" t="s">
        <v>27</v>
      </c>
      <c r="F2" s="33">
        <v>2.5</v>
      </c>
    </row>
    <row r="3" spans="1:18" ht="16.2" thickBot="1" x14ac:dyDescent="0.35">
      <c r="A3" s="21" t="s">
        <v>14</v>
      </c>
      <c r="B3" s="22">
        <f>PI()/4</f>
        <v>0.78539816339744828</v>
      </c>
      <c r="C3" s="12"/>
      <c r="D3" s="12"/>
      <c r="E3" s="32" t="s">
        <v>19</v>
      </c>
      <c r="F3" s="33">
        <v>5.0000000000000001E-3</v>
      </c>
    </row>
    <row r="4" spans="1:18" ht="21.6" thickBot="1" x14ac:dyDescent="0.45">
      <c r="A4" s="23" t="s">
        <v>15</v>
      </c>
      <c r="B4" s="24">
        <f>B3/B1</f>
        <v>31.415926535897931</v>
      </c>
      <c r="C4" s="12"/>
      <c r="D4" s="12"/>
      <c r="E4" s="28" t="s">
        <v>28</v>
      </c>
      <c r="F4" s="34">
        <f>1/5</f>
        <v>0.2</v>
      </c>
      <c r="I4" s="69" t="s">
        <v>31</v>
      </c>
      <c r="J4" s="70"/>
      <c r="K4" s="70"/>
      <c r="L4" s="71"/>
      <c r="M4" s="72" t="s">
        <v>34</v>
      </c>
      <c r="N4" s="73"/>
      <c r="O4" s="74"/>
      <c r="P4" s="35"/>
      <c r="Q4" s="35"/>
      <c r="R4" s="35"/>
    </row>
    <row r="5" spans="1:18" ht="16.2" thickBot="1" x14ac:dyDescent="0.35">
      <c r="A5" s="13" t="s">
        <v>16</v>
      </c>
      <c r="B5" s="14" t="s">
        <v>5</v>
      </c>
      <c r="C5" s="15" t="s">
        <v>6</v>
      </c>
      <c r="D5" s="15" t="s">
        <v>7</v>
      </c>
      <c r="E5" s="14" t="s">
        <v>17</v>
      </c>
      <c r="F5" s="14" t="s">
        <v>14</v>
      </c>
      <c r="G5" s="14" t="s">
        <v>18</v>
      </c>
      <c r="H5" s="37" t="s">
        <v>19</v>
      </c>
      <c r="I5" s="36" t="s">
        <v>20</v>
      </c>
      <c r="J5" s="16" t="s">
        <v>21</v>
      </c>
      <c r="K5" s="16" t="s">
        <v>22</v>
      </c>
      <c r="L5" s="17" t="s">
        <v>23</v>
      </c>
      <c r="M5" s="18" t="s">
        <v>30</v>
      </c>
      <c r="N5" s="18" t="s">
        <v>32</v>
      </c>
      <c r="O5" s="19" t="s">
        <v>33</v>
      </c>
    </row>
    <row r="6" spans="1:18" x14ac:dyDescent="0.3">
      <c r="A6" s="38">
        <v>1</v>
      </c>
      <c r="B6" s="31">
        <v>0.63317888975143433</v>
      </c>
      <c r="C6" s="45">
        <f>0.00004+(0.00007-0.00004)*B6</f>
        <v>5.8995366692543029E-5</v>
      </c>
      <c r="D6" s="48">
        <v>0</v>
      </c>
      <c r="E6" s="54">
        <f t="shared" ref="E6:E37" si="0">(2*PI())/$B$1*D6</f>
        <v>0</v>
      </c>
      <c r="F6" s="51">
        <v>3.1265850453720077E-3</v>
      </c>
      <c r="G6" s="31">
        <v>1</v>
      </c>
      <c r="H6" s="39">
        <v>0.70710678118654757</v>
      </c>
      <c r="I6" s="38">
        <v>0.82741183042526245</v>
      </c>
      <c r="J6" s="31">
        <v>8.1893563270568848E-2</v>
      </c>
      <c r="K6" s="31">
        <v>0.3029333584576519</v>
      </c>
      <c r="L6" s="60">
        <v>1.0100401396441994</v>
      </c>
      <c r="M6" s="63">
        <v>1.5</v>
      </c>
      <c r="N6" s="54">
        <v>2.8620207344422237</v>
      </c>
      <c r="O6" s="66">
        <v>3.5691275156287712</v>
      </c>
    </row>
    <row r="7" spans="1:18" x14ac:dyDescent="0.3">
      <c r="A7" s="40">
        <v>2</v>
      </c>
      <c r="B7" s="7">
        <v>0.20756113529205322</v>
      </c>
      <c r="C7" s="46">
        <f t="shared" ref="C7:C69" si="1">0.00004+(0.00007-0.00004)*B7</f>
        <v>4.6226834058761598E-5</v>
      </c>
      <c r="D7" s="49">
        <f t="shared" ref="D7:D38" si="2">D6+C6</f>
        <v>5.8995366692543029E-5</v>
      </c>
      <c r="E7" s="55">
        <f t="shared" si="0"/>
        <v>1.4827152847770333E-2</v>
      </c>
      <c r="F7" s="52">
        <v>3.1265850453720077E-3</v>
      </c>
      <c r="G7" s="7">
        <v>1</v>
      </c>
      <c r="H7" s="41">
        <v>0.69987810546846385</v>
      </c>
      <c r="I7" s="40">
        <v>0.19192248582839966</v>
      </c>
      <c r="J7" s="7">
        <v>0.67891335487365723</v>
      </c>
      <c r="K7" s="7">
        <v>-1.6386115168073778</v>
      </c>
      <c r="L7" s="61">
        <v>-0.93994927550789498</v>
      </c>
      <c r="M7" s="64">
        <v>1.5031399793606113</v>
      </c>
      <c r="N7" s="55">
        <v>2.1117064133531431</v>
      </c>
      <c r="O7" s="67">
        <v>2.8065185431663338</v>
      </c>
    </row>
    <row r="8" spans="1:18" x14ac:dyDescent="0.3">
      <c r="A8" s="40">
        <v>3</v>
      </c>
      <c r="B8" s="7">
        <v>0.18601351976394653</v>
      </c>
      <c r="C8" s="46">
        <f t="shared" si="1"/>
        <v>4.5580405592918396E-5</v>
      </c>
      <c r="D8" s="49">
        <f t="shared" si="2"/>
        <v>1.0522220075130463E-4</v>
      </c>
      <c r="E8" s="55">
        <f t="shared" si="0"/>
        <v>2.6445223429987924E-2</v>
      </c>
      <c r="F8" s="52">
        <v>3.1265850453720077E-3</v>
      </c>
      <c r="G8" s="7">
        <v>1</v>
      </c>
      <c r="H8" s="41">
        <v>0.69031401277733062</v>
      </c>
      <c r="I8" s="40">
        <v>0.45420783758163452</v>
      </c>
      <c r="J8" s="7">
        <v>0.35702311992645264</v>
      </c>
      <c r="K8" s="7">
        <v>0.98289026909630517</v>
      </c>
      <c r="L8" s="61">
        <v>1.6719352879123839</v>
      </c>
      <c r="M8" s="64">
        <v>1.5062798348858677</v>
      </c>
      <c r="N8" s="55">
        <v>3.4871017916406362</v>
      </c>
      <c r="O8" s="67">
        <v>4.1736127255926485</v>
      </c>
    </row>
    <row r="9" spans="1:18" x14ac:dyDescent="0.3">
      <c r="A9" s="40">
        <v>4</v>
      </c>
      <c r="B9" s="7">
        <v>0.5833590030670166</v>
      </c>
      <c r="C9" s="46">
        <f t="shared" si="1"/>
        <v>5.7500770092010494E-5</v>
      </c>
      <c r="D9" s="49">
        <f t="shared" si="2"/>
        <v>1.5080260634422302E-4</v>
      </c>
      <c r="E9" s="55">
        <f t="shared" si="0"/>
        <v>3.7900828818656369E-2</v>
      </c>
      <c r="F9" s="52">
        <v>3.1265850453720077E-3</v>
      </c>
      <c r="G9" s="7">
        <v>1</v>
      </c>
      <c r="H9" s="41">
        <v>0.68078881158743076</v>
      </c>
      <c r="I9" s="40">
        <v>0.14998108148574829</v>
      </c>
      <c r="J9" s="7">
        <v>0.70439577102661133</v>
      </c>
      <c r="K9" s="7">
        <v>-1.8684513118328874</v>
      </c>
      <c r="L9" s="61">
        <v>-1.1885527538333482</v>
      </c>
      <c r="M9" s="64">
        <v>1.5094194427452978</v>
      </c>
      <c r="N9" s="55">
        <v>5.8662403945413093</v>
      </c>
      <c r="O9" s="67">
        <v>6.5430951768520789</v>
      </c>
    </row>
    <row r="10" spans="1:18" x14ac:dyDescent="0.3">
      <c r="A10" s="40">
        <v>5</v>
      </c>
      <c r="B10" s="7">
        <v>8.0714643001556396E-2</v>
      </c>
      <c r="C10" s="46">
        <f t="shared" si="1"/>
        <v>4.2421439290046694E-5</v>
      </c>
      <c r="D10" s="49">
        <f t="shared" si="2"/>
        <v>2.0830337643623352E-4</v>
      </c>
      <c r="E10" s="55">
        <f t="shared" si="0"/>
        <v>5.2352348570401636E-2</v>
      </c>
      <c r="F10" s="52">
        <v>3.1265850453720077E-3</v>
      </c>
      <c r="G10" s="7">
        <v>1</v>
      </c>
      <c r="H10" s="41">
        <v>0.67185487292812807</v>
      </c>
      <c r="I10" s="40">
        <v>0.92878597974777222</v>
      </c>
      <c r="J10" s="7">
        <v>0.53021252155303955</v>
      </c>
      <c r="K10" s="7">
        <v>-7.2494101359175847E-2</v>
      </c>
      <c r="L10" s="61">
        <v>0.59641002819829858</v>
      </c>
      <c r="M10" s="64">
        <v>1.5125586791181982</v>
      </c>
      <c r="N10" s="55">
        <v>3.5164097547495623</v>
      </c>
      <c r="O10" s="67">
        <v>4.1837962886527098</v>
      </c>
    </row>
    <row r="11" spans="1:18" x14ac:dyDescent="0.3">
      <c r="A11" s="40">
        <v>6</v>
      </c>
      <c r="B11" s="7">
        <v>0.45797145366668701</v>
      </c>
      <c r="C11" s="46">
        <f t="shared" si="1"/>
        <v>5.3739143610000609E-5</v>
      </c>
      <c r="D11" s="49">
        <f t="shared" si="2"/>
        <v>2.5072481572628022E-4</v>
      </c>
      <c r="E11" s="55">
        <f t="shared" si="0"/>
        <v>6.3014019132666924E-2</v>
      </c>
      <c r="F11" s="52">
        <v>3.1265850453720077E-3</v>
      </c>
      <c r="G11" s="7">
        <v>1</v>
      </c>
      <c r="H11" s="41">
        <v>0.65880376983927846</v>
      </c>
      <c r="I11" s="40">
        <v>8.9641392230987549E-2</v>
      </c>
      <c r="J11" s="7">
        <v>0.75772929191589355</v>
      </c>
      <c r="K11" s="7">
        <v>-2.1937578563243512</v>
      </c>
      <c r="L11" s="61">
        <v>-1.5347921399453441</v>
      </c>
      <c r="M11" s="64">
        <v>1.5156974201985156</v>
      </c>
      <c r="N11" s="55">
        <v>5.3835765778498432</v>
      </c>
      <c r="O11" s="67">
        <v>6.0416008034615194</v>
      </c>
    </row>
    <row r="12" spans="1:18" x14ac:dyDescent="0.3">
      <c r="A12" s="40">
        <v>7</v>
      </c>
      <c r="B12" s="7">
        <v>0.90572983026504517</v>
      </c>
      <c r="C12" s="46">
        <f t="shared" si="1"/>
        <v>6.7171894907951357E-5</v>
      </c>
      <c r="D12" s="49">
        <f t="shared" si="2"/>
        <v>3.0446395933628081E-4</v>
      </c>
      <c r="E12" s="55">
        <f t="shared" si="0"/>
        <v>7.6520139034697704E-2</v>
      </c>
      <c r="F12" s="52">
        <v>3.1265850453720077E-3</v>
      </c>
      <c r="G12" s="7">
        <v>1</v>
      </c>
      <c r="H12" s="41">
        <v>0.64660323766334771</v>
      </c>
      <c r="I12" s="40">
        <v>0.40184205770492554</v>
      </c>
      <c r="J12" s="7">
        <v>0.46187436580657959</v>
      </c>
      <c r="K12" s="7">
        <v>0.32049965771778643</v>
      </c>
      <c r="L12" s="61">
        <v>0.9670427324586881</v>
      </c>
      <c r="M12" s="64">
        <v>1.518835542199731</v>
      </c>
      <c r="N12" s="55">
        <v>3.3731173703647097</v>
      </c>
      <c r="O12" s="67">
        <v>4.017910455055091</v>
      </c>
    </row>
    <row r="13" spans="1:18" x14ac:dyDescent="0.3">
      <c r="A13" s="40">
        <v>8</v>
      </c>
      <c r="B13" s="7">
        <v>0.2613682746887207</v>
      </c>
      <c r="C13" s="46">
        <f t="shared" si="1"/>
        <v>4.7841048240661619E-5</v>
      </c>
      <c r="D13" s="49">
        <f t="shared" si="2"/>
        <v>3.7163585424423214E-4</v>
      </c>
      <c r="E13" s="55">
        <f t="shared" si="0"/>
        <v>9.3402277560339753E-2</v>
      </c>
      <c r="F13" s="52">
        <v>3.1265850453720077E-3</v>
      </c>
      <c r="G13" s="7">
        <v>1</v>
      </c>
      <c r="H13" s="41">
        <v>0.63485555243925329</v>
      </c>
      <c r="I13" s="40">
        <v>0.49216562509536743</v>
      </c>
      <c r="J13" s="7">
        <v>0.20762729644775391</v>
      </c>
      <c r="K13" s="7">
        <v>1.1487833678699515</v>
      </c>
      <c r="L13" s="61">
        <v>1.7849188421702524</v>
      </c>
      <c r="M13" s="64">
        <v>1.5219729213597404</v>
      </c>
      <c r="N13" s="55">
        <v>1.8106579489158783</v>
      </c>
      <c r="O13" s="67">
        <v>2.4443631393011716</v>
      </c>
    </row>
    <row r="14" spans="1:18" x14ac:dyDescent="0.3">
      <c r="A14" s="40">
        <v>9</v>
      </c>
      <c r="B14" s="7">
        <v>0.78521221876144409</v>
      </c>
      <c r="C14" s="46">
        <f t="shared" si="1"/>
        <v>6.3556366562843324E-5</v>
      </c>
      <c r="D14" s="49">
        <f t="shared" si="2"/>
        <v>4.1947690248489379E-4</v>
      </c>
      <c r="E14" s="55">
        <f t="shared" si="0"/>
        <v>0.10542604441577155</v>
      </c>
      <c r="F14" s="52">
        <v>3.1265850453720077E-3</v>
      </c>
      <c r="G14" s="7">
        <v>1</v>
      </c>
      <c r="H14" s="41">
        <v>0.62460047014938236</v>
      </c>
      <c r="I14" s="40">
        <v>0.32973593473434448</v>
      </c>
      <c r="J14" s="7">
        <v>9.5429062843322754E-2</v>
      </c>
      <c r="K14" s="7">
        <v>0.84057941704968608</v>
      </c>
      <c r="L14" s="61">
        <v>1.4662924508251183</v>
      </c>
      <c r="M14" s="64">
        <v>1.5251094339457361</v>
      </c>
      <c r="N14" s="55">
        <v>-0.97791622540412926</v>
      </c>
      <c r="O14" s="67">
        <v>-0.3551211787424281</v>
      </c>
    </row>
    <row r="15" spans="1:18" x14ac:dyDescent="0.3">
      <c r="A15" s="40">
        <v>10</v>
      </c>
      <c r="B15" s="7">
        <v>0.37890255451202393</v>
      </c>
      <c r="C15" s="46">
        <f t="shared" si="1"/>
        <v>5.1367076635360721E-5</v>
      </c>
      <c r="D15" s="49">
        <f t="shared" si="2"/>
        <v>4.8303326904773711E-4</v>
      </c>
      <c r="E15" s="55">
        <f t="shared" si="0"/>
        <v>0.12139950155838664</v>
      </c>
      <c r="F15" s="52">
        <v>3.1265850453720077E-3</v>
      </c>
      <c r="G15" s="7">
        <v>1</v>
      </c>
      <c r="H15" s="41">
        <v>0.61234934062438451</v>
      </c>
      <c r="I15" s="40">
        <v>0.58979254961013794</v>
      </c>
      <c r="J15" s="7">
        <v>0.16987347602844238</v>
      </c>
      <c r="K15" s="7">
        <v>0.9000863145878647</v>
      </c>
      <c r="L15" s="61">
        <v>1.5142282961297198</v>
      </c>
      <c r="M15" s="64">
        <v>1.5282449562590863</v>
      </c>
      <c r="N15" s="55">
        <v>2.2451069472380576</v>
      </c>
      <c r="O15" s="67">
        <v>2.8592076385440781</v>
      </c>
    </row>
    <row r="16" spans="1:18" x14ac:dyDescent="0.3">
      <c r="A16" s="40">
        <v>11</v>
      </c>
      <c r="B16" s="7">
        <v>0.28966504335403442</v>
      </c>
      <c r="C16" s="46">
        <f t="shared" si="1"/>
        <v>4.8689951300621035E-5</v>
      </c>
      <c r="D16" s="49">
        <f t="shared" si="2"/>
        <v>5.3440034568309779E-4</v>
      </c>
      <c r="E16" s="55">
        <f t="shared" si="0"/>
        <v>0.13430945600590927</v>
      </c>
      <c r="F16" s="52">
        <v>3.1265850453720077E-3</v>
      </c>
      <c r="G16" s="7">
        <v>1</v>
      </c>
      <c r="H16" s="41">
        <v>0.60270441150467147</v>
      </c>
      <c r="I16" s="40">
        <v>0.92761653661727905</v>
      </c>
      <c r="J16" s="7">
        <v>9.7929835319519043E-2</v>
      </c>
      <c r="K16" s="7">
        <v>0.22375165237369352</v>
      </c>
      <c r="L16" s="61">
        <v>0.82589384031772706</v>
      </c>
      <c r="M16" s="64">
        <v>1.531379364640215</v>
      </c>
      <c r="N16" s="55">
        <v>6.3864692930128948</v>
      </c>
      <c r="O16" s="67">
        <v>6.9872018333436934</v>
      </c>
    </row>
    <row r="17" spans="1:15" x14ac:dyDescent="0.3">
      <c r="A17" s="40">
        <v>12</v>
      </c>
      <c r="B17" s="7">
        <v>0.91937708854675293</v>
      </c>
      <c r="C17" s="46">
        <f t="shared" si="1"/>
        <v>6.7581312656402574E-5</v>
      </c>
      <c r="D17" s="49">
        <f t="shared" si="2"/>
        <v>5.8309029698371884E-4</v>
      </c>
      <c r="E17" s="55">
        <f t="shared" si="0"/>
        <v>0.14654657547068334</v>
      </c>
      <c r="F17" s="52">
        <v>3.1265850453720077E-3</v>
      </c>
      <c r="G17" s="7">
        <v>1</v>
      </c>
      <c r="H17" s="41">
        <v>0.59248834289935715</v>
      </c>
      <c r="I17" s="40">
        <v>0.44386249780654907</v>
      </c>
      <c r="J17" s="7">
        <v>0.27294683456420898</v>
      </c>
      <c r="K17" s="7">
        <v>1.2613359911728819</v>
      </c>
      <c r="L17" s="61">
        <v>1.849354714059106</v>
      </c>
      <c r="M17" s="64">
        <v>1.5345125354734761</v>
      </c>
      <c r="N17" s="55">
        <v>6.2257611016240197</v>
      </c>
      <c r="O17" s="67">
        <v>6.8182372569427434</v>
      </c>
    </row>
    <row r="18" spans="1:15" x14ac:dyDescent="0.3">
      <c r="A18" s="40">
        <v>13</v>
      </c>
      <c r="B18" s="7">
        <v>0.63174241781234741</v>
      </c>
      <c r="C18" s="46">
        <f t="shared" si="1"/>
        <v>5.8952272534370425E-5</v>
      </c>
      <c r="D18" s="49">
        <f t="shared" si="2"/>
        <v>6.5067160964012139E-4</v>
      </c>
      <c r="E18" s="55">
        <f t="shared" si="0"/>
        <v>0.16353161189958806</v>
      </c>
      <c r="F18" s="52">
        <v>3.1265850453720077E-3</v>
      </c>
      <c r="G18" s="7">
        <v>1</v>
      </c>
      <c r="H18" s="41">
        <v>0.58170474174687148</v>
      </c>
      <c r="I18" s="40">
        <v>0.87254685163497925</v>
      </c>
      <c r="J18" s="7">
        <v>0.75068771839141846</v>
      </c>
      <c r="K18" s="7">
        <v>-0.52218108701082455</v>
      </c>
      <c r="L18" s="61">
        <v>5.7443616308908152E-2</v>
      </c>
      <c r="M18" s="64">
        <v>1.5376443451920319</v>
      </c>
      <c r="N18" s="55">
        <v>3.3123194861214382</v>
      </c>
      <c r="O18" s="67">
        <v>3.8918073983067729</v>
      </c>
    </row>
    <row r="19" spans="1:15" x14ac:dyDescent="0.3">
      <c r="A19" s="40">
        <v>14</v>
      </c>
      <c r="B19" s="7">
        <v>0.62764203548431396</v>
      </c>
      <c r="C19" s="46">
        <f t="shared" si="1"/>
        <v>5.8829261064529412E-5</v>
      </c>
      <c r="D19" s="49">
        <f t="shared" si="2"/>
        <v>7.0962388217449181E-4</v>
      </c>
      <c r="E19" s="55">
        <f t="shared" si="0"/>
        <v>0.17834793400410021</v>
      </c>
      <c r="F19" s="52">
        <v>3.1265850453720077E-3</v>
      </c>
      <c r="G19" s="7">
        <v>1</v>
      </c>
      <c r="H19" s="41">
        <v>0.56764701131819806</v>
      </c>
      <c r="I19" s="40">
        <v>0.27294236421585083</v>
      </c>
      <c r="J19" s="7">
        <v>0.67364668846130371</v>
      </c>
      <c r="K19" s="7">
        <v>-1.4295070882403202</v>
      </c>
      <c r="L19" s="61">
        <v>-0.86150880232052196</v>
      </c>
      <c r="M19" s="64">
        <v>1.5407746702827234</v>
      </c>
      <c r="N19" s="55">
        <v>5.272047114861115</v>
      </c>
      <c r="O19" s="67">
        <v>5.838853650110333</v>
      </c>
    </row>
    <row r="20" spans="1:15" x14ac:dyDescent="0.3">
      <c r="A20" s="40">
        <v>15</v>
      </c>
      <c r="B20" s="7">
        <v>0.42845636606216431</v>
      </c>
      <c r="C20" s="46">
        <f t="shared" si="1"/>
        <v>5.285369098186493E-5</v>
      </c>
      <c r="D20" s="49">
        <f t="shared" si="2"/>
        <v>7.6845314323902123E-4</v>
      </c>
      <c r="E20" s="55">
        <f t="shared" si="0"/>
        <v>0.19313333995421553</v>
      </c>
      <c r="F20" s="52">
        <v>3.1265850453720077E-3</v>
      </c>
      <c r="G20" s="7">
        <v>1</v>
      </c>
      <c r="H20" s="41">
        <v>0.55858210642606054</v>
      </c>
      <c r="I20" s="40">
        <v>0.25662893056869507</v>
      </c>
      <c r="J20" s="7">
        <v>8.9896559715270996E-2</v>
      </c>
      <c r="K20" s="7">
        <v>0.88282003308687773</v>
      </c>
      <c r="L20" s="61">
        <v>1.4421783359554694</v>
      </c>
      <c r="M20" s="64">
        <v>1.5439033872909433</v>
      </c>
      <c r="N20" s="55">
        <v>1.4013147196217699</v>
      </c>
      <c r="O20" s="67">
        <v>1.9582825782075266</v>
      </c>
    </row>
    <row r="21" spans="1:15" x14ac:dyDescent="0.3">
      <c r="A21" s="40">
        <v>16</v>
      </c>
      <c r="B21" s="7">
        <v>9.7973823547363281E-2</v>
      </c>
      <c r="C21" s="46">
        <f t="shared" si="1"/>
        <v>4.2939214706420899E-5</v>
      </c>
      <c r="D21" s="49">
        <f t="shared" si="2"/>
        <v>8.2130683422088611E-4</v>
      </c>
      <c r="E21" s="55">
        <f t="shared" si="0"/>
        <v>0.20641692133851408</v>
      </c>
      <c r="F21" s="52">
        <v>3.1265850453720077E-3</v>
      </c>
      <c r="G21" s="7">
        <v>1</v>
      </c>
      <c r="H21" s="41">
        <v>0.54614211813653235</v>
      </c>
      <c r="I21" s="40">
        <v>3.0950605869293213E-2</v>
      </c>
      <c r="J21" s="7">
        <v>0.32271766662597656</v>
      </c>
      <c r="K21" s="7">
        <v>2.366061474038049</v>
      </c>
      <c r="L21" s="61">
        <v>2.9132123175335427</v>
      </c>
      <c r="M21" s="64">
        <v>1.5470303728255046</v>
      </c>
      <c r="N21" s="55">
        <v>5.5484792624540731</v>
      </c>
      <c r="O21" s="67">
        <v>6.0911161263006868</v>
      </c>
    </row>
    <row r="22" spans="1:15" x14ac:dyDescent="0.3">
      <c r="A22" s="40">
        <v>17</v>
      </c>
      <c r="B22" s="7">
        <v>0.56104010343551636</v>
      </c>
      <c r="C22" s="46">
        <f t="shared" si="1"/>
        <v>5.6831203103065492E-5</v>
      </c>
      <c r="D22" s="49">
        <f t="shared" si="2"/>
        <v>8.6424604892730702E-4</v>
      </c>
      <c r="E22" s="55">
        <f t="shared" si="0"/>
        <v>0.21720872305632261</v>
      </c>
      <c r="F22" s="52">
        <v>3.1265850453720077E-3</v>
      </c>
      <c r="G22" s="7">
        <v>1</v>
      </c>
      <c r="H22" s="41">
        <v>0.53548019434677041</v>
      </c>
      <c r="I22" s="40">
        <v>0.79012888669967651</v>
      </c>
      <c r="J22" s="7">
        <v>0.29725801944732666</v>
      </c>
      <c r="K22" s="7">
        <v>0.65635498908065426</v>
      </c>
      <c r="L22" s="61">
        <v>1.1939862071724927</v>
      </c>
      <c r="M22" s="64">
        <v>1.5501555035635062</v>
      </c>
      <c r="N22" s="55">
        <v>-1.0612880856632088</v>
      </c>
      <c r="O22" s="67">
        <v>-0.53010164720238595</v>
      </c>
    </row>
    <row r="23" spans="1:15" x14ac:dyDescent="0.3">
      <c r="A23" s="40">
        <v>18</v>
      </c>
      <c r="B23" s="7">
        <v>0.69448530673980713</v>
      </c>
      <c r="C23" s="46">
        <f t="shared" si="1"/>
        <v>6.0834559202194215E-5</v>
      </c>
      <c r="D23" s="49">
        <f t="shared" si="2"/>
        <v>9.2107725203037256E-4</v>
      </c>
      <c r="E23" s="55">
        <f t="shared" si="0"/>
        <v>0.23149196226938343</v>
      </c>
      <c r="F23" s="52">
        <v>3.1265850453720077E-3</v>
      </c>
      <c r="G23" s="7">
        <v>1</v>
      </c>
      <c r="H23" s="41">
        <v>0.52629359207960569</v>
      </c>
      <c r="I23" s="40">
        <v>0.23528224229812622</v>
      </c>
      <c r="J23" s="7">
        <v>0.48047471046447754</v>
      </c>
      <c r="K23" s="7">
        <v>0.20832700616048672</v>
      </c>
      <c r="L23" s="61">
        <v>0.73428523382241773</v>
      </c>
      <c r="M23" s="64">
        <v>1.5532786562551968</v>
      </c>
      <c r="N23" s="55">
        <v>6.3450735004758263</v>
      </c>
      <c r="O23" s="67">
        <v>6.8630539522006941</v>
      </c>
    </row>
    <row r="24" spans="1:15" x14ac:dyDescent="0.3">
      <c r="A24" s="40">
        <v>19</v>
      </c>
      <c r="B24" s="7">
        <v>0.91371756792068481</v>
      </c>
      <c r="C24" s="46">
        <f t="shared" si="1"/>
        <v>6.7411527037620545E-5</v>
      </c>
      <c r="D24" s="49">
        <f t="shared" si="2"/>
        <v>9.8191181123256682E-4</v>
      </c>
      <c r="E24" s="55">
        <f t="shared" si="0"/>
        <v>0.24678135461130238</v>
      </c>
      <c r="F24" s="52">
        <v>3.1265850453720077E-3</v>
      </c>
      <c r="G24" s="7">
        <v>1</v>
      </c>
      <c r="H24" s="41">
        <v>0.51652248256744404</v>
      </c>
      <c r="I24" s="40">
        <v>0.25460189580917358</v>
      </c>
      <c r="J24" s="7">
        <v>0.34060657024383545</v>
      </c>
      <c r="K24" s="7">
        <v>1.3932867122664314</v>
      </c>
      <c r="L24" s="61">
        <v>1.9077755657071536</v>
      </c>
      <c r="M24" s="64">
        <v>1.5563997077288365</v>
      </c>
      <c r="N24" s="55">
        <v>-0.96976393386794291</v>
      </c>
      <c r="O24" s="67">
        <v>-0.46298696988290222</v>
      </c>
    </row>
    <row r="25" spans="1:15" x14ac:dyDescent="0.3">
      <c r="A25" s="40">
        <v>20</v>
      </c>
      <c r="B25" s="7">
        <v>0.83481717109680176</v>
      </c>
      <c r="C25" s="46">
        <f t="shared" si="1"/>
        <v>6.5044515132904048E-5</v>
      </c>
      <c r="D25" s="49">
        <f t="shared" si="2"/>
        <v>1.0493233382701875E-3</v>
      </c>
      <c r="E25" s="55">
        <f t="shared" si="0"/>
        <v>0.26372371925999505</v>
      </c>
      <c r="F25" s="52">
        <v>3.1265850453720077E-3</v>
      </c>
      <c r="G25" s="7">
        <v>1</v>
      </c>
      <c r="H25" s="41">
        <v>0.50738367793279293</v>
      </c>
      <c r="I25" s="40">
        <v>4.4933855533599854E-2</v>
      </c>
      <c r="J25" s="7">
        <v>0.48242807388305664</v>
      </c>
      <c r="K25" s="7">
        <v>0.2746894490509118</v>
      </c>
      <c r="L25" s="61">
        <v>0.77408207548751418</v>
      </c>
      <c r="M25" s="64">
        <v>1.5595185348955529</v>
      </c>
      <c r="N25" s="55">
        <v>-0.78750160103976985</v>
      </c>
      <c r="O25" s="67">
        <v>-0.29093414978678889</v>
      </c>
    </row>
    <row r="26" spans="1:15" x14ac:dyDescent="0.3">
      <c r="A26" s="40">
        <v>21</v>
      </c>
      <c r="B26" s="7">
        <v>2.2629201412200928E-2</v>
      </c>
      <c r="C26" s="46">
        <f t="shared" si="1"/>
        <v>4.0678876042366029E-5</v>
      </c>
      <c r="D26" s="49">
        <f t="shared" si="2"/>
        <v>1.1143678534030915E-3</v>
      </c>
      <c r="E26" s="55">
        <f t="shared" si="0"/>
        <v>0.28007118893182237</v>
      </c>
      <c r="F26" s="52">
        <v>3.1265850453720077E-3</v>
      </c>
      <c r="G26" s="7">
        <v>1</v>
      </c>
      <c r="H26" s="41">
        <v>0.49586434420912029</v>
      </c>
      <c r="I26" s="40">
        <v>0.20601719617843628</v>
      </c>
      <c r="J26" s="7">
        <v>0.86453449726104736</v>
      </c>
      <c r="K26" s="7">
        <v>-1.336960478097369</v>
      </c>
      <c r="L26" s="61">
        <v>-0.85024704720499744</v>
      </c>
      <c r="M26" s="64">
        <v>1.5626350147541974</v>
      </c>
      <c r="N26" s="55">
        <v>-0.3202894489734619</v>
      </c>
      <c r="O26" s="67">
        <v>0.16355535164946255</v>
      </c>
    </row>
    <row r="27" spans="1:15" x14ac:dyDescent="0.3">
      <c r="A27" s="40">
        <v>22</v>
      </c>
      <c r="B27" s="7">
        <v>0.54336059093475342</v>
      </c>
      <c r="C27" s="46">
        <f t="shared" si="1"/>
        <v>5.63008177280426E-5</v>
      </c>
      <c r="D27" s="49">
        <f t="shared" si="2"/>
        <v>1.1550467294454574E-3</v>
      </c>
      <c r="E27" s="55">
        <f t="shared" si="0"/>
        <v>0.29029490558230131</v>
      </c>
      <c r="F27" s="52">
        <v>3.1265850453720077E-3</v>
      </c>
      <c r="G27" s="7">
        <v>1</v>
      </c>
      <c r="H27" s="41">
        <v>0.48077999797707255</v>
      </c>
      <c r="I27" s="40">
        <v>0.58862859010696411</v>
      </c>
      <c r="J27" s="7">
        <v>0.75490832328796387</v>
      </c>
      <c r="K27" s="7">
        <v>-1.0290389164978764</v>
      </c>
      <c r="L27" s="61">
        <v>-0.55611804508134211</v>
      </c>
      <c r="M27" s="64">
        <v>1.5657490243961945</v>
      </c>
      <c r="N27" s="55">
        <v>4.1202302142850344</v>
      </c>
      <c r="O27" s="67">
        <v>4.5915919120489663</v>
      </c>
    </row>
    <row r="28" spans="1:15" x14ac:dyDescent="0.3">
      <c r="A28" s="40">
        <v>23</v>
      </c>
      <c r="B28" s="7">
        <v>0.91616398096084595</v>
      </c>
      <c r="C28" s="46">
        <f t="shared" si="1"/>
        <v>6.7484919428825371E-5</v>
      </c>
      <c r="D28" s="49">
        <f t="shared" si="2"/>
        <v>1.2113475471735001E-3</v>
      </c>
      <c r="E28" s="55">
        <f t="shared" si="0"/>
        <v>0.30444484441154268</v>
      </c>
      <c r="F28" s="52">
        <v>3.1265850453720077E-3</v>
      </c>
      <c r="G28" s="7">
        <v>1</v>
      </c>
      <c r="H28" s="41">
        <v>0.46833390066126612</v>
      </c>
      <c r="I28" s="40">
        <v>0.9278830885887146</v>
      </c>
      <c r="J28" s="7">
        <v>0.3310168981552124</v>
      </c>
      <c r="K28" s="7">
        <v>0.33786521278195186</v>
      </c>
      <c r="L28" s="61">
        <v>0.79999409277488065</v>
      </c>
      <c r="M28" s="64">
        <v>1.5688604410103899</v>
      </c>
      <c r="N28" s="55">
        <v>6.8569446311952085</v>
      </c>
      <c r="O28" s="67">
        <v>7.3163268398613077</v>
      </c>
    </row>
    <row r="29" spans="1:15" x14ac:dyDescent="0.3">
      <c r="A29" s="40">
        <v>24</v>
      </c>
      <c r="B29" s="7">
        <v>0.43026113510131836</v>
      </c>
      <c r="C29" s="46">
        <f t="shared" si="1"/>
        <v>5.2907834053039551E-5</v>
      </c>
      <c r="D29" s="49">
        <f t="shared" si="2"/>
        <v>1.2788324666023255E-3</v>
      </c>
      <c r="E29" s="55">
        <f t="shared" si="0"/>
        <v>0.32140565457999842</v>
      </c>
      <c r="F29" s="52">
        <v>3.1265850453720077E-3</v>
      </c>
      <c r="G29" s="7">
        <v>1</v>
      </c>
      <c r="H29" s="41">
        <v>0.45611393853304977</v>
      </c>
      <c r="I29" s="40">
        <v>0.54294115304946899</v>
      </c>
      <c r="J29" s="7">
        <v>8.0691337585449219E-2</v>
      </c>
      <c r="K29" s="7">
        <v>0.53663077036623397</v>
      </c>
      <c r="L29" s="61">
        <v>0.9837648577728958</v>
      </c>
      <c r="M29" s="64">
        <v>1.5719691418878938</v>
      </c>
      <c r="N29" s="55">
        <v>1.6241115658176424</v>
      </c>
      <c r="O29" s="67">
        <v>2.0701649825414843</v>
      </c>
    </row>
    <row r="30" spans="1:15" x14ac:dyDescent="0.3">
      <c r="A30" s="40">
        <v>25</v>
      </c>
      <c r="B30" s="7">
        <v>0.67794770002365112</v>
      </c>
      <c r="C30" s="46">
        <f t="shared" si="1"/>
        <v>6.0338431000709532E-5</v>
      </c>
      <c r="D30" s="49">
        <f t="shared" si="2"/>
        <v>1.3317403006553651E-3</v>
      </c>
      <c r="E30" s="55">
        <f t="shared" si="0"/>
        <v>0.3347028436022686</v>
      </c>
      <c r="F30" s="52">
        <v>3.1265850453720077E-3</v>
      </c>
      <c r="G30" s="7">
        <v>1</v>
      </c>
      <c r="H30" s="41">
        <v>0.44057083496376648</v>
      </c>
      <c r="I30" s="40">
        <v>0.63437193632125854</v>
      </c>
      <c r="J30" s="7">
        <v>0.41003668308258057</v>
      </c>
      <c r="K30" s="7">
        <v>0.51108903227907831</v>
      </c>
      <c r="L30" s="61">
        <v>0.94345705251471801</v>
      </c>
      <c r="M30" s="64">
        <v>1.5750750044269208</v>
      </c>
      <c r="N30" s="55">
        <v>3.3495474955645315</v>
      </c>
      <c r="O30" s="67">
        <v>3.7813786938144363</v>
      </c>
    </row>
    <row r="31" spans="1:15" x14ac:dyDescent="0.3">
      <c r="A31" s="40">
        <v>26</v>
      </c>
      <c r="B31" s="7">
        <v>0.50245392322540283</v>
      </c>
      <c r="C31" s="46">
        <f t="shared" si="1"/>
        <v>5.5073617696762086E-5</v>
      </c>
      <c r="D31" s="49">
        <f t="shared" si="2"/>
        <v>1.3920787316560746E-3</v>
      </c>
      <c r="E31" s="55">
        <f t="shared" si="0"/>
        <v>0.3498675453271457</v>
      </c>
      <c r="F31" s="52">
        <v>3.1265850453720077E-3</v>
      </c>
      <c r="G31" s="7">
        <v>1</v>
      </c>
      <c r="H31" s="41">
        <v>0.43004189275711302</v>
      </c>
      <c r="I31" s="40">
        <v>0.9604228138923645</v>
      </c>
      <c r="J31" s="7">
        <v>0.1146233081817627</v>
      </c>
      <c r="K31" s="7">
        <v>0.1874278727695842</v>
      </c>
      <c r="L31" s="61">
        <v>0.60848565803344301</v>
      </c>
      <c r="M31" s="64">
        <v>1.578177906137624</v>
      </c>
      <c r="N31" s="55">
        <v>3.8393593562815749</v>
      </c>
      <c r="O31" s="67">
        <v>4.2616561739361343</v>
      </c>
    </row>
    <row r="32" spans="1:15" x14ac:dyDescent="0.3">
      <c r="A32" s="40">
        <v>27</v>
      </c>
      <c r="B32" s="7">
        <v>0.51373749971389771</v>
      </c>
      <c r="C32" s="46">
        <f t="shared" si="1"/>
        <v>5.5412124991416933E-5</v>
      </c>
      <c r="D32" s="49">
        <f t="shared" si="2"/>
        <v>1.4471523493528368E-3</v>
      </c>
      <c r="E32" s="55">
        <f t="shared" si="0"/>
        <v>0.36370905514816654</v>
      </c>
      <c r="F32" s="52">
        <v>3.1265850453720077E-3</v>
      </c>
      <c r="G32" s="7">
        <v>1</v>
      </c>
      <c r="H32" s="41">
        <v>0.41835055053389208</v>
      </c>
      <c r="I32" s="40">
        <v>0.92344516515731812</v>
      </c>
      <c r="J32" s="7">
        <v>0.62020957469940186</v>
      </c>
      <c r="K32" s="7">
        <v>-0.27355814422205549</v>
      </c>
      <c r="L32" s="61">
        <v>0.13240861127080822</v>
      </c>
      <c r="M32" s="64">
        <v>1.5812777246469267</v>
      </c>
      <c r="N32" s="55">
        <v>2.2804558131940484</v>
      </c>
      <c r="O32" s="67">
        <v>2.6925388937034929</v>
      </c>
    </row>
    <row r="33" spans="1:15" x14ac:dyDescent="0.3">
      <c r="A33" s="40">
        <v>28</v>
      </c>
      <c r="B33" s="7">
        <v>0.46298003196716309</v>
      </c>
      <c r="C33" s="46">
        <f t="shared" si="1"/>
        <v>5.388940095901489E-5</v>
      </c>
      <c r="D33" s="49">
        <f t="shared" si="2"/>
        <v>1.5025644743442536E-3</v>
      </c>
      <c r="E33" s="55">
        <f t="shared" si="0"/>
        <v>0.37763564113159331</v>
      </c>
      <c r="F33" s="52">
        <v>3.1265850453720077E-3</v>
      </c>
      <c r="G33" s="7">
        <v>1</v>
      </c>
      <c r="H33" s="41">
        <v>0.40647338204606981</v>
      </c>
      <c r="I33" s="40">
        <v>0.34772640466690063</v>
      </c>
      <c r="J33" s="7">
        <v>0.1492457389831543</v>
      </c>
      <c r="K33" s="7">
        <v>1.1718248811298981</v>
      </c>
      <c r="L33" s="61">
        <v>1.5650363965877354</v>
      </c>
      <c r="M33" s="64">
        <v>1.5843743377033488</v>
      </c>
      <c r="N33" s="55">
        <v>3.5154286219062092</v>
      </c>
      <c r="O33" s="67">
        <v>3.9176396364579289</v>
      </c>
    </row>
    <row r="34" spans="1:15" x14ac:dyDescent="0.3">
      <c r="A34" s="40">
        <v>29</v>
      </c>
      <c r="B34" s="7">
        <v>0.35347265005111694</v>
      </c>
      <c r="C34" s="46">
        <f t="shared" si="1"/>
        <v>5.0604179501533509E-5</v>
      </c>
      <c r="D34" s="49">
        <f t="shared" si="2"/>
        <v>1.5564538753032684E-3</v>
      </c>
      <c r="E34" s="55">
        <f t="shared" si="0"/>
        <v>0.39117952482432894</v>
      </c>
      <c r="F34" s="52">
        <v>3.1265850453720077E-3</v>
      </c>
      <c r="G34" s="7">
        <v>1</v>
      </c>
      <c r="H34" s="41">
        <v>0.39531915391251965</v>
      </c>
      <c r="I34" s="40">
        <v>0.47997826337814331</v>
      </c>
      <c r="J34" s="7">
        <v>0.21940910816192627</v>
      </c>
      <c r="K34" s="7">
        <v>1.1893007466479069</v>
      </c>
      <c r="L34" s="61">
        <v>1.57178710262601</v>
      </c>
      <c r="M34" s="64">
        <v>1.5874676231818268</v>
      </c>
      <c r="N34" s="55">
        <v>3.5987541137085923</v>
      </c>
      <c r="O34" s="67">
        <v>3.9913854795067549</v>
      </c>
    </row>
    <row r="35" spans="1:15" x14ac:dyDescent="0.3">
      <c r="A35" s="40">
        <v>30</v>
      </c>
      <c r="B35" s="7">
        <v>0.40483415126800537</v>
      </c>
      <c r="C35" s="46">
        <f t="shared" si="1"/>
        <v>5.2145024538040162E-5</v>
      </c>
      <c r="D35" s="49">
        <f t="shared" si="2"/>
        <v>1.6070580548048019E-3</v>
      </c>
      <c r="E35" s="55">
        <f t="shared" si="0"/>
        <v>0.40389774230936554</v>
      </c>
      <c r="F35" s="52">
        <v>3.1265850453720077E-3</v>
      </c>
      <c r="G35" s="7">
        <v>1</v>
      </c>
      <c r="H35" s="41">
        <v>0.38256126812681157</v>
      </c>
      <c r="I35" s="40">
        <v>0.99373131990432739</v>
      </c>
      <c r="J35" s="7">
        <v>0.13042044639587402</v>
      </c>
      <c r="K35" s="7">
        <v>8.1951898076903146E-2</v>
      </c>
      <c r="L35" s="61">
        <v>0.44892445829017169</v>
      </c>
      <c r="M35" s="64">
        <v>1.5905574590885319</v>
      </c>
      <c r="N35" s="55">
        <v>6.3576531053201437</v>
      </c>
      <c r="O35" s="67">
        <v>6.7372158058765947</v>
      </c>
    </row>
    <row r="36" spans="1:15" x14ac:dyDescent="0.3">
      <c r="A36" s="40">
        <v>31</v>
      </c>
      <c r="B36" s="7">
        <v>0.26973158121109009</v>
      </c>
      <c r="C36" s="46">
        <f t="shared" si="1"/>
        <v>4.80919474363327E-5</v>
      </c>
      <c r="D36" s="49">
        <f t="shared" si="2"/>
        <v>1.6592030793428421E-3</v>
      </c>
      <c r="E36" s="55">
        <f t="shared" si="0"/>
        <v>0.41700321639016286</v>
      </c>
      <c r="F36" s="52">
        <v>3.1265850453720077E-3</v>
      </c>
      <c r="G36" s="7">
        <v>1</v>
      </c>
      <c r="H36" s="41">
        <v>0.3722831096717687</v>
      </c>
      <c r="I36" s="40">
        <v>2.8885781764984131E-2</v>
      </c>
      <c r="J36" s="7">
        <v>0.34539163112640381</v>
      </c>
      <c r="K36" s="7">
        <v>2.1984942709126769</v>
      </c>
      <c r="L36" s="61">
        <v>2.5526656038504334</v>
      </c>
      <c r="M36" s="64">
        <v>1.5936437235656802</v>
      </c>
      <c r="N36" s="55">
        <v>5.1466718679264005</v>
      </c>
      <c r="O36" s="67">
        <v>5.5102014372188197</v>
      </c>
    </row>
    <row r="37" spans="1:15" x14ac:dyDescent="0.3">
      <c r="A37" s="40">
        <v>32</v>
      </c>
      <c r="B37" s="7">
        <v>5.5593490600585938E-2</v>
      </c>
      <c r="C37" s="46">
        <f t="shared" si="1"/>
        <v>4.1667804718017583E-5</v>
      </c>
      <c r="D37" s="49">
        <f t="shared" si="2"/>
        <v>1.7072950267791747E-3</v>
      </c>
      <c r="E37" s="55">
        <f t="shared" si="0"/>
        <v>0.42909004109118754</v>
      </c>
      <c r="F37" s="52">
        <v>3.1265850453720077E-3</v>
      </c>
      <c r="G37" s="7">
        <v>1</v>
      </c>
      <c r="H37" s="41">
        <v>0.35929713771237132</v>
      </c>
      <c r="I37" s="40">
        <v>0.54766851663589478</v>
      </c>
      <c r="J37" s="7">
        <v>0.92295455932617188</v>
      </c>
      <c r="K37" s="7">
        <v>-0.51087551216414684</v>
      </c>
      <c r="L37" s="61">
        <v>-0.17309944159553903</v>
      </c>
      <c r="M37" s="64">
        <v>1.5967262948963388</v>
      </c>
      <c r="N37" s="55">
        <v>3.1475531771789393</v>
      </c>
      <c r="O37" s="67">
        <v>3.5001042793365178</v>
      </c>
    </row>
    <row r="38" spans="1:15" x14ac:dyDescent="0.3">
      <c r="A38" s="40">
        <v>33</v>
      </c>
      <c r="B38" s="7">
        <v>0.24384516477584839</v>
      </c>
      <c r="C38" s="46">
        <f t="shared" si="1"/>
        <v>4.7315354943275452E-5</v>
      </c>
      <c r="D38" s="49">
        <f t="shared" si="2"/>
        <v>1.7489628314971922E-3</v>
      </c>
      <c r="E38" s="55">
        <f t="shared" ref="E38:E69" si="3">(2*PI())/$B$1*D38</f>
        <v>0.43956230262665458</v>
      </c>
      <c r="F38" s="52">
        <v>3.1265850453720077E-3</v>
      </c>
      <c r="G38" s="7">
        <v>1</v>
      </c>
      <c r="H38" s="41">
        <v>0.34306957121483472</v>
      </c>
      <c r="I38" s="40">
        <v>0.53824633359909058</v>
      </c>
      <c r="J38" s="7">
        <v>0.40642130374908447</v>
      </c>
      <c r="K38" s="7">
        <v>0.61745013011575589</v>
      </c>
      <c r="L38" s="61">
        <v>0.94554047111816675</v>
      </c>
      <c r="M38" s="64">
        <v>1.5998050515092257</v>
      </c>
      <c r="N38" s="55">
        <v>-0.34254476043726784</v>
      </c>
      <c r="O38" s="67">
        <v>-1.8745112633216654E-3</v>
      </c>
    </row>
    <row r="39" spans="1:15" x14ac:dyDescent="0.3">
      <c r="A39" s="40">
        <v>34</v>
      </c>
      <c r="B39" s="7">
        <v>0.97907793521881104</v>
      </c>
      <c r="C39" s="46">
        <f t="shared" si="1"/>
        <v>6.9372338056564322E-5</v>
      </c>
      <c r="D39" s="49">
        <f t="shared" ref="D39:D69" si="4">D38+C38</f>
        <v>1.7962781864404678E-3</v>
      </c>
      <c r="E39" s="55">
        <f t="shared" si="3"/>
        <v>0.45145394834599761</v>
      </c>
      <c r="F39" s="52">
        <v>3.1265850453720077E-3</v>
      </c>
      <c r="G39" s="7">
        <v>1</v>
      </c>
      <c r="H39" s="41">
        <v>0.32964383633928074</v>
      </c>
      <c r="I39" s="40">
        <v>0.84724551439285278</v>
      </c>
      <c r="J39" s="7">
        <v>0.82622551918029785</v>
      </c>
      <c r="K39" s="7">
        <v>-0.51104168532058014</v>
      </c>
      <c r="L39" s="61">
        <v>-0.19942008011393431</v>
      </c>
      <c r="M39" s="64">
        <v>1.6028798719835056</v>
      </c>
      <c r="N39" s="55">
        <v>-1.7169829679714468</v>
      </c>
      <c r="O39" s="67">
        <v>-1.3921238852431228</v>
      </c>
    </row>
    <row r="40" spans="1:15" x14ac:dyDescent="0.3">
      <c r="A40" s="40">
        <v>35</v>
      </c>
      <c r="B40" s="7">
        <v>6.0916244983673096E-2</v>
      </c>
      <c r="C40" s="46">
        <f t="shared" si="1"/>
        <v>4.1827487349510199E-5</v>
      </c>
      <c r="D40" s="49">
        <f t="shared" si="4"/>
        <v>1.8656505244970321E-3</v>
      </c>
      <c r="E40" s="55">
        <f t="shared" si="3"/>
        <v>0.46888911855406562</v>
      </c>
      <c r="F40" s="52">
        <v>3.1265850453720077E-3</v>
      </c>
      <c r="G40" s="7">
        <v>1</v>
      </c>
      <c r="H40" s="41">
        <v>0.31363422790970058</v>
      </c>
      <c r="I40" s="40">
        <v>0.67242759466171265</v>
      </c>
      <c r="J40" s="7">
        <v>0.72189509868621826</v>
      </c>
      <c r="K40" s="7">
        <v>-0.87703488121104656</v>
      </c>
      <c r="L40" s="61">
        <v>-0.58109096508572544</v>
      </c>
      <c r="M40" s="64">
        <v>1.6059506350535773</v>
      </c>
      <c r="N40" s="55">
        <v>2.8899093834541132</v>
      </c>
      <c r="O40" s="67">
        <v>3.2018031621192873</v>
      </c>
    </row>
    <row r="41" spans="1:15" x14ac:dyDescent="0.3">
      <c r="A41" s="40">
        <v>36</v>
      </c>
      <c r="B41" s="7">
        <v>0.39029145240783691</v>
      </c>
      <c r="C41" s="46">
        <f t="shared" si="1"/>
        <v>5.1708743572235109E-5</v>
      </c>
      <c r="D41" s="49">
        <f t="shared" si="4"/>
        <v>1.9074780118465424E-3</v>
      </c>
      <c r="E41" s="55">
        <f t="shared" si="3"/>
        <v>0.47940151271209297</v>
      </c>
      <c r="F41" s="52">
        <v>3.1265850453720077E-3</v>
      </c>
      <c r="G41" s="7">
        <v>1</v>
      </c>
      <c r="H41" s="41">
        <v>0.29934802616747702</v>
      </c>
      <c r="I41" s="40">
        <v>0.99677139520645142</v>
      </c>
      <c r="J41" s="7">
        <v>0.33980607986450195</v>
      </c>
      <c r="K41" s="7">
        <v>6.7957482019563933E-2</v>
      </c>
      <c r="L41" s="61">
        <v>0.35221260667396054</v>
      </c>
      <c r="M41" s="64">
        <v>1.6090172196138559</v>
      </c>
      <c r="N41" s="55">
        <v>3.5323869952893716</v>
      </c>
      <c r="O41" s="67">
        <v>3.8330459207001311</v>
      </c>
    </row>
    <row r="42" spans="1:15" x14ac:dyDescent="0.3">
      <c r="A42" s="40">
        <v>37</v>
      </c>
      <c r="B42" s="7">
        <v>0.36499541997909546</v>
      </c>
      <c r="C42" s="46">
        <f t="shared" si="1"/>
        <v>5.0949862599372861E-5</v>
      </c>
      <c r="D42" s="49">
        <f t="shared" si="4"/>
        <v>1.9591867554187774E-3</v>
      </c>
      <c r="E42" s="55">
        <f t="shared" si="3"/>
        <v>0.49239733742672431</v>
      </c>
      <c r="F42" s="52">
        <v>3.1265850453720077E-3</v>
      </c>
      <c r="G42" s="7">
        <v>1</v>
      </c>
      <c r="H42" s="41">
        <v>0.28655610186855618</v>
      </c>
      <c r="I42" s="40">
        <v>0.49521130323410034</v>
      </c>
      <c r="J42" s="7">
        <v>0.41296780109405518</v>
      </c>
      <c r="K42" s="7">
        <v>0.6165546072931124</v>
      </c>
      <c r="L42" s="61">
        <v>0.88966782466019234</v>
      </c>
      <c r="M42" s="64">
        <v>1.6120795047235512</v>
      </c>
      <c r="N42" s="55">
        <v>2.3808855729423266</v>
      </c>
      <c r="O42" s="67">
        <v>2.6658057570141986</v>
      </c>
    </row>
    <row r="43" spans="1:15" x14ac:dyDescent="0.3">
      <c r="A43" s="40">
        <v>38</v>
      </c>
      <c r="B43" s="7">
        <v>0.48989474773406982</v>
      </c>
      <c r="C43" s="46">
        <f t="shared" si="1"/>
        <v>5.4696842432022097E-5</v>
      </c>
      <c r="D43" s="49">
        <f t="shared" si="4"/>
        <v>2.0101366180181502E-3</v>
      </c>
      <c r="E43" s="55">
        <f t="shared" si="3"/>
        <v>0.50520243455021219</v>
      </c>
      <c r="F43" s="52">
        <v>3.1265850453720077E-3</v>
      </c>
      <c r="G43" s="7">
        <v>1</v>
      </c>
      <c r="H43" s="41">
        <v>0.27188578831876631</v>
      </c>
      <c r="I43" s="40">
        <v>0.69528180360794067</v>
      </c>
      <c r="J43" s="7">
        <v>0.17908930778503418</v>
      </c>
      <c r="K43" s="7">
        <v>0.76932670176066775</v>
      </c>
      <c r="L43" s="61">
        <v>1.02953049153684</v>
      </c>
      <c r="M43" s="64">
        <v>1.6151373696114344</v>
      </c>
      <c r="N43" s="55">
        <v>-0.49771556792294186</v>
      </c>
      <c r="O43" s="67">
        <v>-0.22294296195969537</v>
      </c>
    </row>
    <row r="44" spans="1:15" x14ac:dyDescent="0.3">
      <c r="A44" s="40">
        <v>39</v>
      </c>
      <c r="B44" s="7">
        <v>0.15566307306289673</v>
      </c>
      <c r="C44" s="46">
        <f t="shared" si="1"/>
        <v>4.46698921918869E-5</v>
      </c>
      <c r="D44" s="49">
        <f t="shared" si="4"/>
        <v>2.0648334604501722E-3</v>
      </c>
      <c r="E44" s="55">
        <f t="shared" si="3"/>
        <v>0.51894925041893214</v>
      </c>
      <c r="F44" s="52">
        <v>3.1265850453720077E-3</v>
      </c>
      <c r="G44" s="7">
        <v>1</v>
      </c>
      <c r="H44" s="41">
        <v>0.26172854988722938</v>
      </c>
      <c r="I44" s="40">
        <v>0.42291826009750366</v>
      </c>
      <c r="J44" s="7">
        <v>0.54317700862884521</v>
      </c>
      <c r="K44" s="7">
        <v>-0.35143467800612455</v>
      </c>
      <c r="L44" s="61">
        <v>-0.1059544693996477</v>
      </c>
      <c r="M44" s="64">
        <v>1.6181906936806036</v>
      </c>
      <c r="N44" s="55">
        <v>2.1505478156027169</v>
      </c>
      <c r="O44" s="67">
        <v>2.4146725362207229</v>
      </c>
    </row>
    <row r="45" spans="1:15" x14ac:dyDescent="0.3">
      <c r="A45" s="40">
        <v>40</v>
      </c>
      <c r="B45" s="7">
        <v>0.47445917129516602</v>
      </c>
      <c r="C45" s="46">
        <f t="shared" si="1"/>
        <v>5.4233775138854979E-5</v>
      </c>
      <c r="D45" s="49">
        <f t="shared" si="4"/>
        <v>2.1095033526420592E-3</v>
      </c>
      <c r="E45" s="55">
        <f t="shared" si="3"/>
        <v>0.53017601883066656</v>
      </c>
      <c r="F45" s="52">
        <v>3.1265850453720077E-3</v>
      </c>
      <c r="G45" s="7">
        <v>1</v>
      </c>
      <c r="H45" s="41">
        <v>0.24649195735544463</v>
      </c>
      <c r="I45" s="40">
        <v>0.81466394662857056</v>
      </c>
      <c r="J45" s="7">
        <v>0.54091358184814453</v>
      </c>
      <c r="K45" s="7">
        <v>-0.16272645570377078</v>
      </c>
      <c r="L45" s="61">
        <v>7.0935457158819465E-2</v>
      </c>
      <c r="M45" s="64">
        <v>1.6212393565132384</v>
      </c>
      <c r="N45" s="55">
        <v>2.3970716341847695</v>
      </c>
      <c r="O45" s="67">
        <v>2.6444495129599734</v>
      </c>
    </row>
    <row r="46" spans="1:15" x14ac:dyDescent="0.3">
      <c r="A46" s="40">
        <v>41</v>
      </c>
      <c r="B46" s="7">
        <v>0.25726765394210815</v>
      </c>
      <c r="C46" s="46">
        <f t="shared" si="1"/>
        <v>4.7718029618263245E-5</v>
      </c>
      <c r="D46" s="49">
        <f t="shared" si="4"/>
        <v>2.1637371277809141E-3</v>
      </c>
      <c r="E46" s="55">
        <f t="shared" si="3"/>
        <v>0.54380645319487997</v>
      </c>
      <c r="F46" s="52">
        <v>3.1265850453720077E-3</v>
      </c>
      <c r="G46" s="7">
        <v>1</v>
      </c>
      <c r="H46" s="41">
        <v>0.23160186745071681</v>
      </c>
      <c r="I46" s="40">
        <v>0.42753332853317261</v>
      </c>
      <c r="J46" s="7">
        <v>0.50906813144683838</v>
      </c>
      <c r="K46" s="7">
        <v>-7.4113530644748946E-2</v>
      </c>
      <c r="L46" s="61">
        <v>0.14266331441869939</v>
      </c>
      <c r="M46" s="64">
        <v>1.6242832378753498</v>
      </c>
      <c r="N46" s="55">
        <v>-7.1050238306243782E-2</v>
      </c>
      <c r="O46" s="67">
        <v>0.16046253948375849</v>
      </c>
    </row>
    <row r="47" spans="1:15" x14ac:dyDescent="0.3">
      <c r="A47" s="40">
        <v>42</v>
      </c>
      <c r="B47" s="7">
        <v>0.62875187397003174</v>
      </c>
      <c r="C47" s="46">
        <f t="shared" si="1"/>
        <v>5.8862556219100949E-5</v>
      </c>
      <c r="D47" s="49">
        <f t="shared" si="4"/>
        <v>2.2114551573991772E-3</v>
      </c>
      <c r="E47" s="55">
        <f t="shared" si="3"/>
        <v>0.55579930209828121</v>
      </c>
      <c r="F47" s="52">
        <v>3.1265850453720077E-3</v>
      </c>
      <c r="G47" s="7">
        <v>1</v>
      </c>
      <c r="H47" s="41">
        <v>0.21815455264100309</v>
      </c>
      <c r="I47" s="40">
        <v>0.22778159379959106</v>
      </c>
      <c r="J47" s="7">
        <v>0.61918759346008301</v>
      </c>
      <c r="K47" s="7">
        <v>-1.1709274958617453</v>
      </c>
      <c r="L47" s="61">
        <v>-0.96532905567201022</v>
      </c>
      <c r="M47" s="64">
        <v>1.6273222177215216</v>
      </c>
      <c r="N47" s="55">
        <v>2.3812872670170133</v>
      </c>
      <c r="O47" s="67">
        <v>2.5969502910269902</v>
      </c>
    </row>
    <row r="48" spans="1:15" x14ac:dyDescent="0.3">
      <c r="A48" s="40">
        <v>43</v>
      </c>
      <c r="B48" s="7">
        <v>0.54207020998001099</v>
      </c>
      <c r="C48" s="46">
        <f t="shared" si="1"/>
        <v>5.6262106299400324E-5</v>
      </c>
      <c r="D48" s="49">
        <f t="shared" si="4"/>
        <v>2.2703177136182782E-3</v>
      </c>
      <c r="E48" s="55">
        <f t="shared" si="3"/>
        <v>0.57059307603343667</v>
      </c>
      <c r="F48" s="52">
        <v>3.1265850453720077E-3</v>
      </c>
      <c r="G48" s="7">
        <v>1</v>
      </c>
      <c r="H48" s="41">
        <v>0.20718634900767269</v>
      </c>
      <c r="I48" s="40">
        <v>0.48983043432235718</v>
      </c>
      <c r="J48" s="7">
        <v>0.68081939220428467</v>
      </c>
      <c r="K48" s="7">
        <v>-1.083569787399054</v>
      </c>
      <c r="L48" s="61">
        <v>-0.89266409780935241</v>
      </c>
      <c r="M48" s="64">
        <v>1.630356176199645</v>
      </c>
      <c r="N48" s="55">
        <v>4.3311864151237005</v>
      </c>
      <c r="O48" s="67">
        <v>4.5296627109759191</v>
      </c>
    </row>
    <row r="49" spans="1:15" x14ac:dyDescent="0.3">
      <c r="A49" s="40">
        <v>44</v>
      </c>
      <c r="B49" s="7">
        <v>0.15630221366882324</v>
      </c>
      <c r="C49" s="46">
        <f t="shared" si="1"/>
        <v>4.4689066410064702E-5</v>
      </c>
      <c r="D49" s="49">
        <f t="shared" si="4"/>
        <v>2.3265798199176785E-3</v>
      </c>
      <c r="E49" s="55">
        <f t="shared" si="3"/>
        <v>0.58473328561949145</v>
      </c>
      <c r="F49" s="52">
        <v>3.1265850453720077E-3</v>
      </c>
      <c r="G49" s="7">
        <v>1</v>
      </c>
      <c r="H49" s="41">
        <v>0.19568703838724757</v>
      </c>
      <c r="I49" s="40">
        <v>0.8866000771522522</v>
      </c>
      <c r="J49" s="7">
        <v>0.37051534652709961</v>
      </c>
      <c r="K49" s="7">
        <v>0.3565911370330867</v>
      </c>
      <c r="L49" s="61">
        <v>0.53725019852753886</v>
      </c>
      <c r="M49" s="64">
        <v>1.6333849936556453</v>
      </c>
      <c r="N49" s="55">
        <v>3.3408931924099567</v>
      </c>
      <c r="O49" s="67">
        <v>3.5277356151063599</v>
      </c>
    </row>
    <row r="50" spans="1:15" x14ac:dyDescent="0.3">
      <c r="A50" s="40">
        <v>45</v>
      </c>
      <c r="B50" s="7">
        <v>0.93854516744613647</v>
      </c>
      <c r="C50" s="46">
        <f t="shared" si="1"/>
        <v>6.8156355023384093E-5</v>
      </c>
      <c r="D50" s="49">
        <f t="shared" si="4"/>
        <v>2.3712688863277431E-3</v>
      </c>
      <c r="E50" s="55">
        <f t="shared" si="3"/>
        <v>0.59596487303786305</v>
      </c>
      <c r="F50" s="52">
        <v>3.1265850453720077E-3</v>
      </c>
      <c r="G50" s="7">
        <v>1</v>
      </c>
      <c r="H50" s="41">
        <v>0.18340178196789508</v>
      </c>
      <c r="I50" s="40">
        <v>0.30249756574630737</v>
      </c>
      <c r="J50" s="7">
        <v>0.29286682605743408</v>
      </c>
      <c r="K50" s="7">
        <v>1.4906729357037196</v>
      </c>
      <c r="L50" s="61">
        <v>1.6549279584680228</v>
      </c>
      <c r="M50" s="64">
        <v>1.6364085506382002</v>
      </c>
      <c r="N50" s="55">
        <v>-1.5497134880594867</v>
      </c>
      <c r="O50" s="67">
        <v>-1.3776770516098242</v>
      </c>
    </row>
    <row r="51" spans="1:15" x14ac:dyDescent="0.3">
      <c r="A51" s="40">
        <v>46</v>
      </c>
      <c r="B51" s="7">
        <v>0.65449941158294678</v>
      </c>
      <c r="C51" s="46">
        <f t="shared" si="1"/>
        <v>5.96349823474884E-5</v>
      </c>
      <c r="D51" s="49">
        <f t="shared" si="4"/>
        <v>2.4394252413511273E-3</v>
      </c>
      <c r="E51" s="55">
        <f t="shared" si="3"/>
        <v>0.61309443337681679</v>
      </c>
      <c r="F51" s="52">
        <v>3.1265850453720077E-3</v>
      </c>
      <c r="G51" s="7">
        <v>1</v>
      </c>
      <c r="H51" s="41">
        <v>0.16768191519048509</v>
      </c>
      <c r="I51" s="40">
        <v>0.15031129121780396</v>
      </c>
      <c r="J51" s="7">
        <v>0.52982115745544434</v>
      </c>
      <c r="K51" s="7">
        <v>-0.36246008431370769</v>
      </c>
      <c r="L51" s="61">
        <v>-0.20853624627379988</v>
      </c>
      <c r="M51" s="64">
        <v>1.6394267279034525</v>
      </c>
      <c r="N51" s="55">
        <v>4.8911021305975915</v>
      </c>
      <c r="O51" s="67">
        <v>5.0485667365885591</v>
      </c>
    </row>
    <row r="52" spans="1:15" x14ac:dyDescent="0.3">
      <c r="A52" s="40">
        <v>47</v>
      </c>
      <c r="B52" s="7">
        <v>0.50608736276626587</v>
      </c>
      <c r="C52" s="46">
        <f t="shared" si="1"/>
        <v>5.5182620882987975E-5</v>
      </c>
      <c r="D52" s="49">
        <f t="shared" si="4"/>
        <v>2.4990602236986156E-3</v>
      </c>
      <c r="E52" s="55">
        <f t="shared" si="3"/>
        <v>0.62808233917200285</v>
      </c>
      <c r="F52" s="52">
        <v>3.1265850453720077E-3</v>
      </c>
      <c r="G52" s="7">
        <v>1</v>
      </c>
      <c r="H52" s="41">
        <v>0.15738861450928573</v>
      </c>
      <c r="I52" s="40">
        <v>0.22326177358627319</v>
      </c>
      <c r="J52" s="7">
        <v>0.58452928066253662</v>
      </c>
      <c r="K52" s="7">
        <v>-0.87693819283499364</v>
      </c>
      <c r="L52" s="61">
        <v>-0.73658332958734496</v>
      </c>
      <c r="M52" s="64">
        <v>1.6424394064197108</v>
      </c>
      <c r="N52" s="55">
        <v>2.5818721896368535</v>
      </c>
      <c r="O52" s="67">
        <v>2.7221585358496547</v>
      </c>
    </row>
    <row r="53" spans="1:15" x14ac:dyDescent="0.3">
      <c r="A53" s="40">
        <v>48</v>
      </c>
      <c r="B53" s="7">
        <v>0.39047145843505859</v>
      </c>
      <c r="C53" s="46">
        <f t="shared" si="1"/>
        <v>5.171414375305176E-5</v>
      </c>
      <c r="D53" s="49">
        <f t="shared" si="4"/>
        <v>2.5542428445816034E-3</v>
      </c>
      <c r="E53" s="55">
        <f t="shared" si="3"/>
        <v>0.64195124448174889</v>
      </c>
      <c r="F53" s="52">
        <v>3.1265850453720077E-3</v>
      </c>
      <c r="G53" s="7">
        <v>1</v>
      </c>
      <c r="H53" s="41">
        <v>0.14358885699102225</v>
      </c>
      <c r="I53" s="40">
        <v>0.36345869302749634</v>
      </c>
      <c r="J53" s="7">
        <v>0.87597465515136719</v>
      </c>
      <c r="K53" s="7">
        <v>-1.0000112673045258</v>
      </c>
      <c r="L53" s="61">
        <v>-0.8731472208760539</v>
      </c>
      <c r="M53" s="64">
        <v>1.6454464673721454</v>
      </c>
      <c r="N53" s="55">
        <v>3.6076192149011495</v>
      </c>
      <c r="O53" s="67">
        <v>3.7347991076992657</v>
      </c>
    </row>
    <row r="54" spans="1:15" x14ac:dyDescent="0.3">
      <c r="A54" s="40">
        <v>49</v>
      </c>
      <c r="B54" s="7">
        <v>0.10737532377243042</v>
      </c>
      <c r="C54" s="46">
        <f t="shared" si="1"/>
        <v>4.3221259713172916E-5</v>
      </c>
      <c r="D54" s="49">
        <f t="shared" si="4"/>
        <v>2.605956988334655E-3</v>
      </c>
      <c r="E54" s="55">
        <f t="shared" si="3"/>
        <v>0.65494842640985074</v>
      </c>
      <c r="F54" s="52">
        <v>3.1265850453720077E-3</v>
      </c>
      <c r="G54" s="7">
        <v>1</v>
      </c>
      <c r="H54" s="41">
        <v>0.12797402822486734</v>
      </c>
      <c r="I54" s="40">
        <v>0.47801417112350464</v>
      </c>
      <c r="J54" s="7">
        <v>0.19063341617584229</v>
      </c>
      <c r="K54" s="7">
        <v>1.1314357589361077</v>
      </c>
      <c r="L54" s="61">
        <v>1.2475017892191325</v>
      </c>
      <c r="M54" s="64">
        <v>1.6484477921674734</v>
      </c>
      <c r="N54" s="55">
        <v>1.668015426255999</v>
      </c>
      <c r="O54" s="67">
        <v>1.7847931064926734</v>
      </c>
    </row>
    <row r="55" spans="1:15" x14ac:dyDescent="0.3">
      <c r="A55" s="40">
        <v>50</v>
      </c>
      <c r="B55" s="7">
        <v>0.78399527072906494</v>
      </c>
      <c r="C55" s="46">
        <f t="shared" si="1"/>
        <v>6.3519858121871941E-5</v>
      </c>
      <c r="D55" s="49">
        <f t="shared" si="4"/>
        <v>2.6491782480478278E-3</v>
      </c>
      <c r="E55" s="55">
        <f t="shared" si="3"/>
        <v>0.66581111376935476</v>
      </c>
      <c r="F55" s="52">
        <v>3.1265850453720077E-3</v>
      </c>
      <c r="G55" s="7">
        <v>1</v>
      </c>
      <c r="H55" s="41">
        <v>0.11200044645465047</v>
      </c>
      <c r="I55" s="40">
        <v>0.68406230211257935</v>
      </c>
      <c r="J55" s="7">
        <v>0.74741578102111816</v>
      </c>
      <c r="K55" s="7">
        <v>-0.87132596329634027</v>
      </c>
      <c r="L55" s="61">
        <v>-0.76599125658952083</v>
      </c>
      <c r="M55" s="64">
        <v>1.6514432624386357</v>
      </c>
      <c r="N55" s="55">
        <v>-2.0714307871940556</v>
      </c>
      <c r="O55" s="67">
        <v>-1.971229454939702</v>
      </c>
    </row>
    <row r="56" spans="1:15" x14ac:dyDescent="0.3">
      <c r="A56" s="40">
        <v>51</v>
      </c>
      <c r="B56" s="7">
        <v>0.45964080095291138</v>
      </c>
      <c r="C56" s="46">
        <f t="shared" si="1"/>
        <v>5.3789224028587344E-5</v>
      </c>
      <c r="D56" s="49">
        <f t="shared" si="4"/>
        <v>2.7126981061696997E-3</v>
      </c>
      <c r="E56" s="55">
        <f t="shared" si="3"/>
        <v>0.68177539533997389</v>
      </c>
      <c r="F56" s="52">
        <v>3.1265850453720077E-3</v>
      </c>
      <c r="G56" s="7">
        <v>1</v>
      </c>
      <c r="H56" s="41">
        <v>9.9565605549727806E-2</v>
      </c>
      <c r="I56" s="40">
        <v>0.61393493413925171</v>
      </c>
      <c r="J56" s="7">
        <v>0.78213870525360107</v>
      </c>
      <c r="K56" s="7">
        <v>-0.96774920444755119</v>
      </c>
      <c r="L56" s="61">
        <v>-0.87515310297244597</v>
      </c>
      <c r="M56" s="64">
        <v>1.6544327600494662</v>
      </c>
      <c r="N56" s="55">
        <v>7.4725821265848404</v>
      </c>
      <c r="O56" s="67">
        <v>7.5615537553647538</v>
      </c>
    </row>
    <row r="57" spans="1:15" x14ac:dyDescent="0.3">
      <c r="A57" s="40">
        <v>52</v>
      </c>
      <c r="B57" s="7">
        <v>0.75368809700012207</v>
      </c>
      <c r="C57" s="46">
        <f t="shared" si="1"/>
        <v>6.2610642910003662E-5</v>
      </c>
      <c r="D57" s="49">
        <f t="shared" si="4"/>
        <v>2.7664873301982869E-3</v>
      </c>
      <c r="E57" s="55">
        <f t="shared" si="3"/>
        <v>0.6952941018240143</v>
      </c>
      <c r="F57" s="52">
        <v>3.1265850453720077E-3</v>
      </c>
      <c r="G57" s="7">
        <v>1</v>
      </c>
      <c r="H57" s="41">
        <v>8.225052433038646E-2</v>
      </c>
      <c r="I57" s="40">
        <v>0.16174370050430298</v>
      </c>
      <c r="J57" s="7">
        <v>0.80777978897094727</v>
      </c>
      <c r="K57" s="7">
        <v>-1.784480085312901</v>
      </c>
      <c r="L57" s="61">
        <v>-1.7023041180572285</v>
      </c>
      <c r="M57" s="64">
        <v>1.6574161670993495</v>
      </c>
      <c r="N57" s="55">
        <v>-2.9091554269475273</v>
      </c>
      <c r="O57" s="67">
        <v>-2.8320738265778491</v>
      </c>
    </row>
    <row r="58" spans="1:15" x14ac:dyDescent="0.3">
      <c r="A58" s="40">
        <v>53</v>
      </c>
      <c r="B58" s="7">
        <v>0.59609454870223999</v>
      </c>
      <c r="C58" s="46">
        <f t="shared" si="1"/>
        <v>5.7882836461067199E-5</v>
      </c>
      <c r="D58" s="49">
        <f t="shared" si="4"/>
        <v>2.8290979731082906E-3</v>
      </c>
      <c r="E58" s="55">
        <f t="shared" si="3"/>
        <v>0.71102987268822238</v>
      </c>
      <c r="F58" s="52">
        <v>3.1265850453720077E-3</v>
      </c>
      <c r="G58" s="7">
        <v>1</v>
      </c>
      <c r="H58" s="41">
        <v>6.6178019011337019E-2</v>
      </c>
      <c r="I58" s="40">
        <v>0.2026183009147644</v>
      </c>
      <c r="J58" s="7">
        <v>0.95676243305206299</v>
      </c>
      <c r="K58" s="7">
        <v>-0.47979113374108229</v>
      </c>
      <c r="L58" s="61">
        <v>-0.41488063431641198</v>
      </c>
      <c r="M58" s="64">
        <v>1.6603933659278718</v>
      </c>
      <c r="N58" s="55">
        <v>-0.66502402780441427</v>
      </c>
      <c r="O58" s="67">
        <v>-0.60254358596433288</v>
      </c>
    </row>
    <row r="59" spans="1:15" x14ac:dyDescent="0.3">
      <c r="A59" s="40">
        <v>54</v>
      </c>
      <c r="B59" s="7">
        <v>0.83273017406463623</v>
      </c>
      <c r="C59" s="46">
        <f t="shared" si="1"/>
        <v>6.4981905221939081E-5</v>
      </c>
      <c r="D59" s="49">
        <f t="shared" si="4"/>
        <v>2.8869808095693577E-3</v>
      </c>
      <c r="E59" s="55">
        <f t="shared" si="3"/>
        <v>0.72557741619182459</v>
      </c>
      <c r="F59" s="52">
        <v>3.1265850453720077E-3</v>
      </c>
      <c r="G59" s="7">
        <v>1</v>
      </c>
      <c r="H59" s="41">
        <v>5.106303726548083E-2</v>
      </c>
      <c r="I59" s="40">
        <v>6.5851032733917236E-2</v>
      </c>
      <c r="J59" s="7">
        <v>6.1522245407104492E-2</v>
      </c>
      <c r="K59" s="7">
        <v>0.87934223313096271</v>
      </c>
      <c r="L59" s="61">
        <v>0.92674694216889308</v>
      </c>
      <c r="M59" s="64">
        <v>1.6633642391194607</v>
      </c>
      <c r="N59" s="55">
        <v>2.7670805868657711</v>
      </c>
      <c r="O59" s="67">
        <v>2.8167736995102257</v>
      </c>
    </row>
    <row r="60" spans="1:15" x14ac:dyDescent="0.3">
      <c r="A60" s="40">
        <v>55</v>
      </c>
      <c r="B60" s="7">
        <v>1.875835657119751E-2</v>
      </c>
      <c r="C60" s="46">
        <f t="shared" si="1"/>
        <v>4.0562750697135926E-5</v>
      </c>
      <c r="D60" s="49">
        <f t="shared" si="4"/>
        <v>2.9519627147912967E-3</v>
      </c>
      <c r="E60" s="55">
        <f t="shared" si="3"/>
        <v>0.74190915027674553</v>
      </c>
      <c r="F60" s="52">
        <v>3.1265850453720077E-3</v>
      </c>
      <c r="G60" s="7">
        <v>1</v>
      </c>
      <c r="H60" s="41">
        <v>3.4200972160273076E-2</v>
      </c>
      <c r="I60" s="40">
        <v>0.79319757223129272</v>
      </c>
      <c r="J60" s="7">
        <v>0.37960469722747803</v>
      </c>
      <c r="K60" s="7">
        <v>0.46724381720695979</v>
      </c>
      <c r="L60" s="61">
        <v>0.50027730414692317</v>
      </c>
      <c r="M60" s="64">
        <v>1.6663286695080162</v>
      </c>
      <c r="N60" s="55">
        <v>1.3619984428044012</v>
      </c>
      <c r="O60" s="67">
        <v>1.3976632040860868</v>
      </c>
    </row>
    <row r="61" spans="1:15" x14ac:dyDescent="0.3">
      <c r="A61" s="40">
        <v>56</v>
      </c>
      <c r="B61" s="7">
        <v>0.21036863327026367</v>
      </c>
      <c r="C61" s="46">
        <f t="shared" si="1"/>
        <v>4.631105899810791E-5</v>
      </c>
      <c r="D61" s="49">
        <f t="shared" si="4"/>
        <v>2.9925254654884327E-3</v>
      </c>
      <c r="E61" s="55">
        <f t="shared" si="3"/>
        <v>0.75210368144470685</v>
      </c>
      <c r="F61" s="52">
        <v>3.1265850453720077E-3</v>
      </c>
      <c r="G61" s="7">
        <v>1</v>
      </c>
      <c r="H61" s="41">
        <v>1.7550422315834317E-2</v>
      </c>
      <c r="I61" s="40">
        <v>0.46358400583267212</v>
      </c>
      <c r="J61" s="7">
        <v>0.11954402923583984</v>
      </c>
      <c r="K61" s="7">
        <v>0.84620737140547564</v>
      </c>
      <c r="L61" s="61">
        <v>0.86915346482916489</v>
      </c>
      <c r="M61" s="64">
        <v>1.6692865401815309</v>
      </c>
      <c r="N61" s="55">
        <v>3.7439615372594686</v>
      </c>
      <c r="O61" s="67">
        <v>3.7626551818495098</v>
      </c>
    </row>
    <row r="62" spans="1:15" x14ac:dyDescent="0.3">
      <c r="A62" s="40">
        <v>57</v>
      </c>
      <c r="B62" s="7">
        <v>7.3953330516815186E-2</v>
      </c>
      <c r="C62" s="46">
        <f t="shared" si="1"/>
        <v>4.2218599915504461E-5</v>
      </c>
      <c r="D62" s="49">
        <f t="shared" si="4"/>
        <v>3.0388365244865406E-3</v>
      </c>
      <c r="E62" s="55">
        <f t="shared" si="3"/>
        <v>0.76374292006298039</v>
      </c>
      <c r="F62" s="52">
        <v>3.1265850453720077E-3</v>
      </c>
      <c r="G62" s="7">
        <v>1</v>
      </c>
      <c r="H62" s="41">
        <v>4.3567583036277857E-3</v>
      </c>
      <c r="I62" s="40">
        <v>0.11547011137008667</v>
      </c>
      <c r="J62" s="7">
        <v>0.17377340793609619</v>
      </c>
      <c r="K62" s="7">
        <v>1.844027708121871</v>
      </c>
      <c r="L62" s="61">
        <v>1.8522585324496006</v>
      </c>
      <c r="M62" s="64">
        <v>1.6722377344867017</v>
      </c>
      <c r="N62" s="55">
        <v>7.3126312081247544</v>
      </c>
      <c r="O62" s="67">
        <v>7.3171513337729372</v>
      </c>
    </row>
    <row r="63" spans="1:15" x14ac:dyDescent="0.3">
      <c r="A63" s="40">
        <v>58</v>
      </c>
      <c r="B63" s="7">
        <v>0.10545265674591064</v>
      </c>
      <c r="C63" s="46">
        <f t="shared" si="1"/>
        <v>4.3163579702377322E-5</v>
      </c>
      <c r="D63" s="49">
        <f t="shared" si="4"/>
        <v>3.0810551244020452E-3</v>
      </c>
      <c r="E63" s="55">
        <f t="shared" si="3"/>
        <v>0.77435361153013205</v>
      </c>
      <c r="F63" s="52">
        <v>3.1265850453720077E-3</v>
      </c>
      <c r="G63" s="7">
        <v>0</v>
      </c>
      <c r="H63" s="41">
        <v>0</v>
      </c>
      <c r="I63" s="40">
        <v>4.8118889331817627E-2</v>
      </c>
      <c r="J63" s="7">
        <v>0.71481633186340332</v>
      </c>
      <c r="K63" s="7">
        <v>-2.4033446683835495</v>
      </c>
      <c r="L63" s="61">
        <v>-2.4033446683835495</v>
      </c>
      <c r="M63" s="64">
        <v>1.6751821360335291</v>
      </c>
      <c r="N63" s="55">
        <v>-2.3946476860169295</v>
      </c>
      <c r="O63" s="67">
        <v>-2.3946476860169295</v>
      </c>
    </row>
    <row r="64" spans="1:15" x14ac:dyDescent="0.3">
      <c r="A64" s="40">
        <v>59</v>
      </c>
      <c r="B64" s="7">
        <v>0.33169442415237427</v>
      </c>
      <c r="C64" s="46">
        <f t="shared" si="1"/>
        <v>4.9950832724571231E-5</v>
      </c>
      <c r="D64" s="49">
        <f t="shared" si="4"/>
        <v>3.1242187041044226E-3</v>
      </c>
      <c r="E64" s="55">
        <f t="shared" si="3"/>
        <v>0.78520180232178216</v>
      </c>
      <c r="F64" s="52">
        <v>3.1265850453720077E-3</v>
      </c>
      <c r="G64" s="7">
        <v>0</v>
      </c>
      <c r="H64" s="41">
        <v>0</v>
      </c>
      <c r="I64" s="40">
        <v>0.53302234411239624</v>
      </c>
      <c r="J64" s="7">
        <v>0.56100928783416748</v>
      </c>
      <c r="K64" s="7">
        <v>-0.41945143039892813</v>
      </c>
      <c r="L64" s="61">
        <v>-0.41945143039892813</v>
      </c>
      <c r="M64" s="64">
        <v>1.6781196286999089</v>
      </c>
      <c r="N64" s="55">
        <v>-1.2826358434626322</v>
      </c>
      <c r="O64" s="67">
        <v>-1.2826358434626322</v>
      </c>
    </row>
    <row r="65" spans="1:15" x14ac:dyDescent="0.3">
      <c r="A65" s="40">
        <v>60</v>
      </c>
      <c r="B65" s="7">
        <v>0.1282498836517334</v>
      </c>
      <c r="C65" s="46">
        <f t="shared" si="1"/>
        <v>4.3847496509552008E-5</v>
      </c>
      <c r="D65" s="49">
        <f t="shared" si="4"/>
        <v>3.1741695368289937E-3</v>
      </c>
      <c r="E65" s="55">
        <f t="shared" si="3"/>
        <v>0.79775581585203859</v>
      </c>
      <c r="F65" s="52">
        <v>3.1265850453720077E-3</v>
      </c>
      <c r="G65" s="7">
        <v>0</v>
      </c>
      <c r="H65" s="41">
        <v>0</v>
      </c>
      <c r="I65" s="40">
        <v>0.21673351526260376</v>
      </c>
      <c r="J65" s="7">
        <v>0.46800565719604492</v>
      </c>
      <c r="K65" s="7">
        <v>0.34933320275411994</v>
      </c>
      <c r="L65" s="61">
        <v>0.34933320275411994</v>
      </c>
      <c r="M65" s="64">
        <v>1.6810500966362116</v>
      </c>
      <c r="N65" s="55">
        <v>0.94129395286387962</v>
      </c>
      <c r="O65" s="67">
        <v>0.94129395286387962</v>
      </c>
    </row>
    <row r="66" spans="1:15" x14ac:dyDescent="0.3">
      <c r="A66" s="40">
        <v>61</v>
      </c>
      <c r="B66" s="7">
        <v>2.4121999740600586E-4</v>
      </c>
      <c r="C66" s="46">
        <f t="shared" si="1"/>
        <v>4.0007236599922182E-5</v>
      </c>
      <c r="D66" s="49">
        <f t="shared" si="4"/>
        <v>3.2180170333385456E-3</v>
      </c>
      <c r="E66" s="55">
        <f t="shared" si="3"/>
        <v>0.80877589368505565</v>
      </c>
      <c r="F66" s="52">
        <v>3.1265850453720077E-3</v>
      </c>
      <c r="G66" s="7">
        <v>0</v>
      </c>
      <c r="H66" s="41">
        <v>0</v>
      </c>
      <c r="I66" s="40">
        <v>0.74635475873947144</v>
      </c>
      <c r="J66" s="7">
        <v>0.75231087207794189</v>
      </c>
      <c r="K66" s="7">
        <v>-0.76484475614039493</v>
      </c>
      <c r="L66" s="61">
        <v>-0.76484475614039493</v>
      </c>
      <c r="M66" s="64">
        <v>1.6839734242698499</v>
      </c>
      <c r="N66" s="55">
        <v>1.1527323215956695</v>
      </c>
      <c r="O66" s="67">
        <v>1.1527323215956695</v>
      </c>
    </row>
    <row r="67" spans="1:15" x14ac:dyDescent="0.3">
      <c r="A67" s="40">
        <v>62</v>
      </c>
      <c r="B67" s="7">
        <v>0.53679406642913818</v>
      </c>
      <c r="C67" s="46">
        <f t="shared" si="1"/>
        <v>5.6103821992874146E-5</v>
      </c>
      <c r="D67" s="49">
        <f t="shared" si="4"/>
        <v>3.2580242699384678E-3</v>
      </c>
      <c r="E67" s="55">
        <f t="shared" si="3"/>
        <v>0.81883080893247517</v>
      </c>
      <c r="F67" s="52">
        <v>3.1265850453720077E-3</v>
      </c>
      <c r="G67" s="7">
        <v>0</v>
      </c>
      <c r="H67" s="41">
        <v>0</v>
      </c>
      <c r="I67" s="40">
        <v>0.39893227815628052</v>
      </c>
      <c r="J67" s="7">
        <v>0.90309882164001465</v>
      </c>
      <c r="K67" s="7">
        <v>-0.77554296304624737</v>
      </c>
      <c r="L67" s="61">
        <v>-0.77554296304624737</v>
      </c>
      <c r="M67" s="64">
        <v>1.6868894963098382</v>
      </c>
      <c r="N67" s="55">
        <v>7.9035890790046137</v>
      </c>
      <c r="O67" s="67">
        <v>7.9035890790046137</v>
      </c>
    </row>
    <row r="68" spans="1:15" x14ac:dyDescent="0.3">
      <c r="A68" s="40">
        <v>63</v>
      </c>
      <c r="B68" s="7">
        <v>0.65705496072769165</v>
      </c>
      <c r="C68" s="46">
        <f t="shared" si="1"/>
        <v>5.9711648821830746E-5</v>
      </c>
      <c r="D68" s="49">
        <f t="shared" si="4"/>
        <v>3.3141280919313418E-3</v>
      </c>
      <c r="E68" s="55">
        <f t="shared" si="3"/>
        <v>0.83293123733336494</v>
      </c>
      <c r="F68" s="52">
        <v>3.1265850453720077E-3</v>
      </c>
      <c r="G68" s="7">
        <v>0</v>
      </c>
      <c r="H68" s="41">
        <v>0</v>
      </c>
      <c r="I68" s="40">
        <v>0.74600690603256226</v>
      </c>
      <c r="J68" s="7">
        <v>8.8559508323669434E-2</v>
      </c>
      <c r="K68" s="7">
        <v>0.40431559621919849</v>
      </c>
      <c r="L68" s="61">
        <v>0.40431559621919849</v>
      </c>
      <c r="M68" s="64">
        <v>1.689798197751339</v>
      </c>
      <c r="N68" s="55">
        <v>2.5621590181973932</v>
      </c>
      <c r="O68" s="67">
        <v>2.5621590181973932</v>
      </c>
    </row>
    <row r="69" spans="1:15" ht="15" thickBot="1" x14ac:dyDescent="0.35">
      <c r="A69" s="42">
        <v>64</v>
      </c>
      <c r="B69" s="43">
        <v>0.54401397705078125</v>
      </c>
      <c r="C69" s="47">
        <f t="shared" si="1"/>
        <v>5.632041931152344E-5</v>
      </c>
      <c r="D69" s="50">
        <f t="shared" si="4"/>
        <v>3.3738397407531728E-3</v>
      </c>
      <c r="E69" s="56">
        <f t="shared" si="3"/>
        <v>0.84793841151515681</v>
      </c>
      <c r="F69" s="53">
        <v>3.1265850453720077E-3</v>
      </c>
      <c r="G69" s="43">
        <v>0</v>
      </c>
      <c r="H69" s="44">
        <v>0</v>
      </c>
      <c r="I69" s="42">
        <v>0.6345711350440979</v>
      </c>
      <c r="J69" s="43">
        <v>0.7130279541015625</v>
      </c>
      <c r="K69" s="43">
        <v>-0.92808834277522911</v>
      </c>
      <c r="L69" s="62">
        <v>-0.92808834277522911</v>
      </c>
      <c r="M69" s="65">
        <v>1.6926994138801983</v>
      </c>
      <c r="N69" s="56">
        <v>-1.1873381941064791</v>
      </c>
      <c r="O69" s="68">
        <v>-1.1873381941064791</v>
      </c>
    </row>
  </sheetData>
  <mergeCells count="2">
    <mergeCell ref="I4:L4"/>
    <mergeCell ref="M4:O4"/>
  </mergeCells>
  <pageMargins left="0.78749999999999998" right="0.78749999999999998" top="1.05277777777778" bottom="1.05277777777778" header="0.78749999999999998" footer="0.78749999999999998"/>
  <pageSetup paperSize="9" orientation="portrait" horizontalDpi="300" verticalDpi="300" r:id="rId1"/>
  <headerFooter>
    <oddHeader>&amp;C&amp;"Times New Roman,Regular"&amp;12&amp;Kffffff&amp;A</oddHeader>
    <oddFooter>&amp;C&amp;"Times New Roman,Regular"&amp;12&amp;KffffffPage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calculate_time" altText="Recalc_time">
                <anchor moveWithCells="1" sizeWithCells="1">
                  <from>
                    <xdr:col>9</xdr:col>
                    <xdr:colOff>411480</xdr:colOff>
                    <xdr:row>0</xdr:row>
                    <xdr:rowOff>137160</xdr:rowOff>
                  </from>
                  <to>
                    <xdr:col>10</xdr:col>
                    <xdr:colOff>495300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alc_S">
                <anchor moveWithCells="1" sizeWithCells="1">
                  <from>
                    <xdr:col>10</xdr:col>
                    <xdr:colOff>617220</xdr:colOff>
                    <xdr:row>0</xdr:row>
                    <xdr:rowOff>106680</xdr:rowOff>
                  </from>
                  <to>
                    <xdr:col>12</xdr:col>
                    <xdr:colOff>259080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alc_y1">
                <anchor moveWithCells="1" sizeWithCells="1">
                  <from>
                    <xdr:col>12</xdr:col>
                    <xdr:colOff>601980</xdr:colOff>
                    <xdr:row>0</xdr:row>
                    <xdr:rowOff>99060</xdr:rowOff>
                  </from>
                  <to>
                    <xdr:col>14</xdr:col>
                    <xdr:colOff>541020</xdr:colOff>
                    <xdr:row>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Calc_y2">
                <anchor moveWithCells="1" sizeWithCells="1">
                  <from>
                    <xdr:col>15</xdr:col>
                    <xdr:colOff>76200</xdr:colOff>
                    <xdr:row>0</xdr:row>
                    <xdr:rowOff>137160</xdr:rowOff>
                  </from>
                  <to>
                    <xdr:col>16</xdr:col>
                    <xdr:colOff>617220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124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Sheet2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максим романько</dc:creator>
  <dc:description/>
  <cp:lastModifiedBy>Lenovo</cp:lastModifiedBy>
  <cp:revision>77</cp:revision>
  <dcterms:created xsi:type="dcterms:W3CDTF">2022-10-07T14:16:40Z</dcterms:created>
  <dcterms:modified xsi:type="dcterms:W3CDTF">2022-11-24T12:22:24Z</dcterms:modified>
  <dc:language>ru-RU</dc:language>
</cp:coreProperties>
</file>