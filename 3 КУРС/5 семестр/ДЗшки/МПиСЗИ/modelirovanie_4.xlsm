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Учеба\Studies\3 КУРС\5 семестр\ДЗшки\МПиСЗИ\"/>
    </mc:Choice>
  </mc:AlternateContent>
  <bookViews>
    <workbookView xWindow="0" yWindow="0" windowWidth="23040" windowHeight="9192"/>
  </bookViews>
  <sheets>
    <sheet name="Лист1" sheetId="1" r:id="rId1"/>
    <sheet name="Лист2" sheetId="2" r:id="rId2"/>
    <sheet name="Лист3" sheetId="3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2" l="1"/>
  <c r="E214" i="1" l="1"/>
  <c r="L18" i="3"/>
  <c r="L19" i="3"/>
  <c r="L20" i="3" s="1"/>
  <c r="F15" i="3"/>
  <c r="F16" i="3"/>
  <c r="F17" i="3"/>
  <c r="F18" i="3"/>
  <c r="F19" i="3"/>
  <c r="F20" i="3"/>
  <c r="F14" i="3"/>
  <c r="L14" i="3"/>
  <c r="L13" i="3"/>
  <c r="E5" i="3"/>
  <c r="F5" i="3"/>
  <c r="G5" i="3"/>
  <c r="H5" i="3"/>
  <c r="I5" i="3"/>
  <c r="J5" i="3"/>
  <c r="D5" i="3"/>
  <c r="C14" i="3" a="1"/>
  <c r="C20" i="3" s="1"/>
  <c r="J11" i="3"/>
  <c r="I11" i="3"/>
  <c r="H11" i="3"/>
  <c r="G11" i="3"/>
  <c r="F11" i="3"/>
  <c r="E11" i="3"/>
  <c r="D11" i="3"/>
  <c r="F10" i="2"/>
  <c r="G14" i="3" l="1"/>
  <c r="G15" i="3"/>
  <c r="G16" i="3"/>
  <c r="G17" i="3"/>
  <c r="G18" i="3"/>
  <c r="G20" i="3"/>
  <c r="G19" i="3"/>
  <c r="B14" i="3" a="1"/>
  <c r="B20" i="3" s="1"/>
  <c r="D20" i="3" s="1"/>
  <c r="F11" i="2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E20" i="3"/>
  <c r="C14" i="3"/>
  <c r="C15" i="3"/>
  <c r="C16" i="3"/>
  <c r="C17" i="3"/>
  <c r="C18" i="3"/>
  <c r="C19" i="3"/>
  <c r="B19" i="3" l="1"/>
  <c r="D19" i="3" s="1"/>
  <c r="B15" i="3"/>
  <c r="D15" i="3" s="1"/>
  <c r="B18" i="3"/>
  <c r="D18" i="3" s="1"/>
  <c r="B17" i="3"/>
  <c r="D17" i="3" s="1"/>
  <c r="B14" i="3"/>
  <c r="D14" i="3" s="1"/>
  <c r="B16" i="3"/>
  <c r="D16" i="3" s="1"/>
  <c r="E16" i="3"/>
  <c r="E19" i="3"/>
  <c r="E15" i="3"/>
  <c r="E18" i="3"/>
  <c r="E14" i="3"/>
  <c r="E17" i="3"/>
  <c r="B10" i="2" l="1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9" i="2"/>
  <c r="D12" i="1" l="1"/>
  <c r="F12" i="1" s="1"/>
  <c r="C12" i="1"/>
  <c r="E12" i="1" s="1"/>
  <c r="D11" i="1"/>
  <c r="F11" i="1" s="1"/>
  <c r="C11" i="1"/>
  <c r="E11" i="1" s="1"/>
  <c r="C13" i="1"/>
  <c r="E13" i="1" s="1"/>
  <c r="D13" i="1"/>
  <c r="F13" i="1" s="1"/>
  <c r="C14" i="1"/>
  <c r="E14" i="1" s="1"/>
  <c r="D14" i="1"/>
  <c r="F14" i="1" s="1"/>
  <c r="C15" i="1"/>
  <c r="E15" i="1" s="1"/>
  <c r="D15" i="1"/>
  <c r="F15" i="1" s="1"/>
  <c r="C16" i="1"/>
  <c r="E16" i="1" s="1"/>
  <c r="D16" i="1"/>
  <c r="F16" i="1" s="1"/>
  <c r="C17" i="1"/>
  <c r="E17" i="1" s="1"/>
  <c r="D17" i="1"/>
  <c r="F17" i="1" s="1"/>
  <c r="C18" i="1"/>
  <c r="E18" i="1" s="1"/>
  <c r="D18" i="1"/>
  <c r="F18" i="1" s="1"/>
  <c r="C19" i="1"/>
  <c r="E19" i="1" s="1"/>
  <c r="D19" i="1"/>
  <c r="F19" i="1" s="1"/>
  <c r="C20" i="1"/>
  <c r="E20" i="1" s="1"/>
  <c r="D20" i="1"/>
  <c r="F20" i="1" s="1"/>
  <c r="C21" i="1"/>
  <c r="E21" i="1" s="1"/>
  <c r="D21" i="1"/>
  <c r="F21" i="1" s="1"/>
  <c r="C22" i="1"/>
  <c r="E22" i="1" s="1"/>
  <c r="D22" i="1"/>
  <c r="F22" i="1" s="1"/>
  <c r="C23" i="1"/>
  <c r="E23" i="1" s="1"/>
  <c r="D23" i="1"/>
  <c r="F23" i="1" s="1"/>
  <c r="C24" i="1"/>
  <c r="E24" i="1" s="1"/>
  <c r="D24" i="1"/>
  <c r="F24" i="1" s="1"/>
  <c r="C25" i="1"/>
  <c r="E25" i="1" s="1"/>
  <c r="D25" i="1"/>
  <c r="F25" i="1" s="1"/>
  <c r="C26" i="1"/>
  <c r="E26" i="1" s="1"/>
  <c r="D26" i="1"/>
  <c r="F26" i="1" s="1"/>
  <c r="C27" i="1"/>
  <c r="E27" i="1" s="1"/>
  <c r="D27" i="1"/>
  <c r="F27" i="1" s="1"/>
  <c r="C28" i="1"/>
  <c r="E28" i="1" s="1"/>
  <c r="D28" i="1"/>
  <c r="F28" i="1" s="1"/>
  <c r="C29" i="1"/>
  <c r="E29" i="1" s="1"/>
  <c r="D29" i="1"/>
  <c r="F29" i="1" s="1"/>
  <c r="C30" i="1"/>
  <c r="E30" i="1" s="1"/>
  <c r="D30" i="1"/>
  <c r="F30" i="1" s="1"/>
  <c r="C31" i="1"/>
  <c r="E31" i="1" s="1"/>
  <c r="D31" i="1"/>
  <c r="F31" i="1" s="1"/>
  <c r="C32" i="1"/>
  <c r="E32" i="1" s="1"/>
  <c r="D32" i="1"/>
  <c r="F32" i="1" s="1"/>
  <c r="C33" i="1"/>
  <c r="E33" i="1" s="1"/>
  <c r="D33" i="1"/>
  <c r="F33" i="1" s="1"/>
  <c r="C34" i="1"/>
  <c r="E34" i="1" s="1"/>
  <c r="D34" i="1"/>
  <c r="F34" i="1" s="1"/>
  <c r="C35" i="1"/>
  <c r="E35" i="1" s="1"/>
  <c r="D35" i="1"/>
  <c r="F35" i="1" s="1"/>
  <c r="C36" i="1"/>
  <c r="E36" i="1" s="1"/>
  <c r="D36" i="1"/>
  <c r="F36" i="1" s="1"/>
  <c r="C37" i="1"/>
  <c r="E37" i="1" s="1"/>
  <c r="D37" i="1"/>
  <c r="F37" i="1" s="1"/>
  <c r="C38" i="1"/>
  <c r="E38" i="1" s="1"/>
  <c r="D38" i="1"/>
  <c r="F38" i="1" s="1"/>
  <c r="C39" i="1"/>
  <c r="E39" i="1" s="1"/>
  <c r="D39" i="1"/>
  <c r="F39" i="1" s="1"/>
  <c r="C40" i="1"/>
  <c r="E40" i="1" s="1"/>
  <c r="D40" i="1"/>
  <c r="F40" i="1" s="1"/>
  <c r="C41" i="1"/>
  <c r="E41" i="1" s="1"/>
  <c r="D41" i="1"/>
  <c r="F41" i="1" s="1"/>
  <c r="C42" i="1"/>
  <c r="E42" i="1" s="1"/>
  <c r="D42" i="1"/>
  <c r="F42" i="1" s="1"/>
  <c r="C43" i="1"/>
  <c r="E43" i="1" s="1"/>
  <c r="D43" i="1"/>
  <c r="F43" i="1" s="1"/>
  <c r="C44" i="1"/>
  <c r="E44" i="1" s="1"/>
  <c r="D44" i="1"/>
  <c r="F44" i="1" s="1"/>
  <c r="C45" i="1"/>
  <c r="E45" i="1" s="1"/>
  <c r="D45" i="1"/>
  <c r="F45" i="1" s="1"/>
  <c r="C46" i="1"/>
  <c r="E46" i="1" s="1"/>
  <c r="D46" i="1"/>
  <c r="F46" i="1" s="1"/>
  <c r="C47" i="1"/>
  <c r="E47" i="1" s="1"/>
  <c r="D47" i="1"/>
  <c r="F47" i="1" s="1"/>
  <c r="C48" i="1"/>
  <c r="E48" i="1" s="1"/>
  <c r="D48" i="1"/>
  <c r="F48" i="1" s="1"/>
  <c r="C49" i="1"/>
  <c r="E49" i="1" s="1"/>
  <c r="D49" i="1"/>
  <c r="F49" i="1" s="1"/>
  <c r="C50" i="1"/>
  <c r="E50" i="1" s="1"/>
  <c r="D50" i="1"/>
  <c r="F50" i="1" s="1"/>
  <c r="C51" i="1"/>
  <c r="E51" i="1" s="1"/>
  <c r="D51" i="1"/>
  <c r="F51" i="1" s="1"/>
  <c r="C52" i="1"/>
  <c r="E52" i="1" s="1"/>
  <c r="D52" i="1"/>
  <c r="F52" i="1" s="1"/>
  <c r="C53" i="1"/>
  <c r="E53" i="1" s="1"/>
  <c r="D53" i="1"/>
  <c r="F53" i="1" s="1"/>
  <c r="C54" i="1"/>
  <c r="E54" i="1" s="1"/>
  <c r="D54" i="1"/>
  <c r="F54" i="1" s="1"/>
  <c r="C55" i="1"/>
  <c r="E55" i="1" s="1"/>
  <c r="D55" i="1"/>
  <c r="F55" i="1" s="1"/>
  <c r="C56" i="1"/>
  <c r="E56" i="1" s="1"/>
  <c r="D56" i="1"/>
  <c r="F56" i="1" s="1"/>
  <c r="C57" i="1"/>
  <c r="E57" i="1" s="1"/>
  <c r="D57" i="1"/>
  <c r="F57" i="1" s="1"/>
  <c r="C58" i="1"/>
  <c r="E58" i="1" s="1"/>
  <c r="D58" i="1"/>
  <c r="F58" i="1" s="1"/>
  <c r="C59" i="1"/>
  <c r="E59" i="1" s="1"/>
  <c r="D59" i="1"/>
  <c r="F59" i="1" s="1"/>
  <c r="C60" i="1"/>
  <c r="E60" i="1" s="1"/>
  <c r="D60" i="1"/>
  <c r="F60" i="1" s="1"/>
  <c r="C61" i="1"/>
  <c r="E61" i="1" s="1"/>
  <c r="D61" i="1"/>
  <c r="F61" i="1" s="1"/>
  <c r="C62" i="1"/>
  <c r="E62" i="1" s="1"/>
  <c r="D62" i="1"/>
  <c r="F62" i="1" s="1"/>
  <c r="C63" i="1"/>
  <c r="E63" i="1" s="1"/>
  <c r="D63" i="1"/>
  <c r="F63" i="1" s="1"/>
  <c r="C64" i="1"/>
  <c r="E64" i="1" s="1"/>
  <c r="D64" i="1"/>
  <c r="F64" i="1" s="1"/>
  <c r="C65" i="1"/>
  <c r="E65" i="1" s="1"/>
  <c r="D65" i="1"/>
  <c r="F65" i="1" s="1"/>
  <c r="C66" i="1"/>
  <c r="E66" i="1" s="1"/>
  <c r="D66" i="1"/>
  <c r="F66" i="1" s="1"/>
  <c r="C67" i="1"/>
  <c r="E67" i="1" s="1"/>
  <c r="D67" i="1"/>
  <c r="F67" i="1" s="1"/>
  <c r="C68" i="1"/>
  <c r="E68" i="1" s="1"/>
  <c r="D68" i="1"/>
  <c r="F68" i="1" s="1"/>
  <c r="C69" i="1"/>
  <c r="E69" i="1" s="1"/>
  <c r="D69" i="1"/>
  <c r="F69" i="1" s="1"/>
  <c r="C70" i="1"/>
  <c r="E70" i="1" s="1"/>
  <c r="D70" i="1"/>
  <c r="F70" i="1" s="1"/>
  <c r="C71" i="1"/>
  <c r="E71" i="1" s="1"/>
  <c r="D71" i="1"/>
  <c r="F71" i="1" s="1"/>
  <c r="C72" i="1"/>
  <c r="E72" i="1" s="1"/>
  <c r="D72" i="1"/>
  <c r="F72" i="1" s="1"/>
  <c r="C73" i="1"/>
  <c r="E73" i="1" s="1"/>
  <c r="D73" i="1"/>
  <c r="F73" i="1" s="1"/>
  <c r="C74" i="1"/>
  <c r="E74" i="1" s="1"/>
  <c r="D74" i="1"/>
  <c r="F74" i="1" s="1"/>
  <c r="C75" i="1"/>
  <c r="E75" i="1" s="1"/>
  <c r="D75" i="1"/>
  <c r="F75" i="1" s="1"/>
  <c r="C76" i="1"/>
  <c r="E76" i="1" s="1"/>
  <c r="D76" i="1"/>
  <c r="F76" i="1" s="1"/>
  <c r="C77" i="1"/>
  <c r="E77" i="1" s="1"/>
  <c r="D77" i="1"/>
  <c r="F77" i="1" s="1"/>
  <c r="C78" i="1"/>
  <c r="E78" i="1" s="1"/>
  <c r="D78" i="1"/>
  <c r="F78" i="1" s="1"/>
  <c r="C79" i="1"/>
  <c r="E79" i="1" s="1"/>
  <c r="D79" i="1"/>
  <c r="F79" i="1" s="1"/>
  <c r="C80" i="1"/>
  <c r="E80" i="1" s="1"/>
  <c r="D80" i="1"/>
  <c r="F80" i="1" s="1"/>
  <c r="C81" i="1"/>
  <c r="E81" i="1" s="1"/>
  <c r="D81" i="1"/>
  <c r="F81" i="1" s="1"/>
  <c r="C82" i="1"/>
  <c r="E82" i="1" s="1"/>
  <c r="D82" i="1"/>
  <c r="F82" i="1" s="1"/>
  <c r="C83" i="1"/>
  <c r="E83" i="1" s="1"/>
  <c r="D83" i="1"/>
  <c r="F83" i="1" s="1"/>
  <c r="C84" i="1"/>
  <c r="E84" i="1" s="1"/>
  <c r="D84" i="1"/>
  <c r="F84" i="1" s="1"/>
  <c r="C85" i="1"/>
  <c r="E85" i="1" s="1"/>
  <c r="D85" i="1"/>
  <c r="F85" i="1" s="1"/>
  <c r="C86" i="1"/>
  <c r="E86" i="1" s="1"/>
  <c r="D86" i="1"/>
  <c r="F86" i="1" s="1"/>
  <c r="C87" i="1"/>
  <c r="E87" i="1" s="1"/>
  <c r="D87" i="1"/>
  <c r="F87" i="1" s="1"/>
  <c r="C88" i="1"/>
  <c r="E88" i="1" s="1"/>
  <c r="D88" i="1"/>
  <c r="F88" i="1" s="1"/>
  <c r="C89" i="1"/>
  <c r="E89" i="1" s="1"/>
  <c r="D89" i="1"/>
  <c r="F89" i="1" s="1"/>
  <c r="C90" i="1"/>
  <c r="E90" i="1" s="1"/>
  <c r="D90" i="1"/>
  <c r="F90" i="1" s="1"/>
  <c r="C91" i="1"/>
  <c r="E91" i="1" s="1"/>
  <c r="D91" i="1"/>
  <c r="F91" i="1" s="1"/>
  <c r="C92" i="1"/>
  <c r="E92" i="1" s="1"/>
  <c r="D92" i="1"/>
  <c r="F92" i="1" s="1"/>
  <c r="C93" i="1"/>
  <c r="E93" i="1" s="1"/>
  <c r="D93" i="1"/>
  <c r="F93" i="1" s="1"/>
  <c r="C94" i="1"/>
  <c r="E94" i="1" s="1"/>
  <c r="D94" i="1"/>
  <c r="F94" i="1" s="1"/>
  <c r="C95" i="1"/>
  <c r="E95" i="1" s="1"/>
  <c r="D95" i="1"/>
  <c r="F95" i="1" s="1"/>
  <c r="C96" i="1"/>
  <c r="E96" i="1" s="1"/>
  <c r="D96" i="1"/>
  <c r="F96" i="1" s="1"/>
  <c r="C97" i="1"/>
  <c r="E97" i="1" s="1"/>
  <c r="D97" i="1"/>
  <c r="F97" i="1" s="1"/>
  <c r="C98" i="1"/>
  <c r="E98" i="1" s="1"/>
  <c r="D98" i="1"/>
  <c r="F98" i="1" s="1"/>
  <c r="C99" i="1"/>
  <c r="E99" i="1" s="1"/>
  <c r="D99" i="1"/>
  <c r="F99" i="1" s="1"/>
  <c r="C100" i="1"/>
  <c r="E100" i="1" s="1"/>
  <c r="D100" i="1"/>
  <c r="F100" i="1" s="1"/>
  <c r="C101" i="1"/>
  <c r="E101" i="1" s="1"/>
  <c r="D101" i="1"/>
  <c r="F101" i="1" s="1"/>
  <c r="C102" i="1"/>
  <c r="E102" i="1" s="1"/>
  <c r="D102" i="1"/>
  <c r="F102" i="1" s="1"/>
  <c r="C103" i="1"/>
  <c r="E103" i="1" s="1"/>
  <c r="D103" i="1"/>
  <c r="F103" i="1" s="1"/>
  <c r="C104" i="1"/>
  <c r="E104" i="1" s="1"/>
  <c r="D104" i="1"/>
  <c r="F104" i="1" s="1"/>
  <c r="C105" i="1"/>
  <c r="E105" i="1" s="1"/>
  <c r="D105" i="1"/>
  <c r="F105" i="1" s="1"/>
  <c r="C106" i="1"/>
  <c r="E106" i="1" s="1"/>
  <c r="D106" i="1"/>
  <c r="F106" i="1" s="1"/>
  <c r="C107" i="1"/>
  <c r="E107" i="1" s="1"/>
  <c r="D107" i="1"/>
  <c r="F107" i="1" s="1"/>
  <c r="C108" i="1"/>
  <c r="E108" i="1" s="1"/>
  <c r="D108" i="1"/>
  <c r="F108" i="1" s="1"/>
  <c r="C109" i="1"/>
  <c r="E109" i="1" s="1"/>
  <c r="D109" i="1"/>
  <c r="F109" i="1" s="1"/>
  <c r="C110" i="1"/>
  <c r="E110" i="1" s="1"/>
  <c r="D110" i="1"/>
  <c r="F110" i="1" s="1"/>
  <c r="C111" i="1"/>
  <c r="E111" i="1" s="1"/>
  <c r="D111" i="1"/>
  <c r="F111" i="1" s="1"/>
  <c r="C112" i="1"/>
  <c r="E112" i="1" s="1"/>
  <c r="D112" i="1"/>
  <c r="F112" i="1" s="1"/>
  <c r="C113" i="1"/>
  <c r="E113" i="1" s="1"/>
  <c r="D113" i="1"/>
  <c r="F113" i="1" s="1"/>
  <c r="C114" i="1"/>
  <c r="E114" i="1" s="1"/>
  <c r="D114" i="1"/>
  <c r="F114" i="1" s="1"/>
  <c r="C115" i="1"/>
  <c r="E115" i="1" s="1"/>
  <c r="D115" i="1"/>
  <c r="F115" i="1" s="1"/>
  <c r="C116" i="1"/>
  <c r="E116" i="1" s="1"/>
  <c r="D116" i="1"/>
  <c r="F116" i="1" s="1"/>
  <c r="C117" i="1"/>
  <c r="E117" i="1" s="1"/>
  <c r="D117" i="1"/>
  <c r="F117" i="1" s="1"/>
  <c r="C118" i="1"/>
  <c r="E118" i="1" s="1"/>
  <c r="D118" i="1"/>
  <c r="F118" i="1" s="1"/>
  <c r="C119" i="1"/>
  <c r="E119" i="1" s="1"/>
  <c r="D119" i="1"/>
  <c r="F119" i="1" s="1"/>
  <c r="C120" i="1"/>
  <c r="E120" i="1" s="1"/>
  <c r="D120" i="1"/>
  <c r="F120" i="1" s="1"/>
  <c r="C121" i="1"/>
  <c r="E121" i="1" s="1"/>
  <c r="D121" i="1"/>
  <c r="F121" i="1" s="1"/>
  <c r="C122" i="1"/>
  <c r="E122" i="1" s="1"/>
  <c r="D122" i="1"/>
  <c r="F122" i="1" s="1"/>
  <c r="C123" i="1"/>
  <c r="E123" i="1" s="1"/>
  <c r="D123" i="1"/>
  <c r="F123" i="1" s="1"/>
  <c r="C124" i="1"/>
  <c r="E124" i="1" s="1"/>
  <c r="D124" i="1"/>
  <c r="F124" i="1" s="1"/>
  <c r="C125" i="1"/>
  <c r="E125" i="1" s="1"/>
  <c r="D125" i="1"/>
  <c r="F125" i="1" s="1"/>
  <c r="C126" i="1"/>
  <c r="E126" i="1" s="1"/>
  <c r="D126" i="1"/>
  <c r="F126" i="1" s="1"/>
  <c r="C127" i="1"/>
  <c r="E127" i="1" s="1"/>
  <c r="D127" i="1"/>
  <c r="F127" i="1" s="1"/>
  <c r="C128" i="1"/>
  <c r="E128" i="1" s="1"/>
  <c r="D128" i="1"/>
  <c r="F128" i="1" s="1"/>
  <c r="C129" i="1"/>
  <c r="E129" i="1" s="1"/>
  <c r="D129" i="1"/>
  <c r="F129" i="1" s="1"/>
  <c r="C130" i="1"/>
  <c r="E130" i="1" s="1"/>
  <c r="D130" i="1"/>
  <c r="F130" i="1" s="1"/>
  <c r="C131" i="1"/>
  <c r="E131" i="1" s="1"/>
  <c r="D131" i="1"/>
  <c r="F131" i="1" s="1"/>
  <c r="C132" i="1"/>
  <c r="E132" i="1" s="1"/>
  <c r="D132" i="1"/>
  <c r="F132" i="1" s="1"/>
  <c r="C133" i="1"/>
  <c r="E133" i="1" s="1"/>
  <c r="D133" i="1"/>
  <c r="F133" i="1" s="1"/>
  <c r="C134" i="1"/>
  <c r="E134" i="1" s="1"/>
  <c r="D134" i="1"/>
  <c r="F134" i="1" s="1"/>
  <c r="C135" i="1"/>
  <c r="E135" i="1" s="1"/>
  <c r="D135" i="1"/>
  <c r="F135" i="1" s="1"/>
  <c r="C136" i="1"/>
  <c r="E136" i="1" s="1"/>
  <c r="D136" i="1"/>
  <c r="F136" i="1" s="1"/>
  <c r="C137" i="1"/>
  <c r="E137" i="1" s="1"/>
  <c r="D137" i="1"/>
  <c r="F137" i="1" s="1"/>
  <c r="C138" i="1"/>
  <c r="E138" i="1" s="1"/>
  <c r="D138" i="1"/>
  <c r="F138" i="1" s="1"/>
  <c r="C139" i="1"/>
  <c r="E139" i="1" s="1"/>
  <c r="D139" i="1"/>
  <c r="F139" i="1" s="1"/>
  <c r="C140" i="1"/>
  <c r="E140" i="1" s="1"/>
  <c r="D140" i="1"/>
  <c r="F140" i="1" s="1"/>
  <c r="C141" i="1"/>
  <c r="E141" i="1" s="1"/>
  <c r="D141" i="1"/>
  <c r="F141" i="1" s="1"/>
  <c r="C142" i="1"/>
  <c r="E142" i="1" s="1"/>
  <c r="D142" i="1"/>
  <c r="F142" i="1" s="1"/>
  <c r="C143" i="1"/>
  <c r="E143" i="1" s="1"/>
  <c r="D143" i="1"/>
  <c r="F143" i="1" s="1"/>
  <c r="C144" i="1"/>
  <c r="E144" i="1" s="1"/>
  <c r="D144" i="1"/>
  <c r="F144" i="1" s="1"/>
  <c r="C145" i="1"/>
  <c r="E145" i="1" s="1"/>
  <c r="D145" i="1"/>
  <c r="F145" i="1" s="1"/>
  <c r="C146" i="1"/>
  <c r="E146" i="1" s="1"/>
  <c r="D146" i="1"/>
  <c r="F146" i="1" s="1"/>
  <c r="C147" i="1"/>
  <c r="E147" i="1" s="1"/>
  <c r="D147" i="1"/>
  <c r="F147" i="1" s="1"/>
  <c r="C148" i="1"/>
  <c r="E148" i="1" s="1"/>
  <c r="D148" i="1"/>
  <c r="F148" i="1" s="1"/>
  <c r="C149" i="1"/>
  <c r="E149" i="1" s="1"/>
  <c r="D149" i="1"/>
  <c r="F149" i="1" s="1"/>
  <c r="C150" i="1"/>
  <c r="E150" i="1" s="1"/>
  <c r="D150" i="1"/>
  <c r="F150" i="1" s="1"/>
  <c r="C151" i="1"/>
  <c r="E151" i="1" s="1"/>
  <c r="D151" i="1"/>
  <c r="F151" i="1" s="1"/>
  <c r="C152" i="1"/>
  <c r="E152" i="1" s="1"/>
  <c r="D152" i="1"/>
  <c r="F152" i="1" s="1"/>
  <c r="C153" i="1"/>
  <c r="E153" i="1" s="1"/>
  <c r="D153" i="1"/>
  <c r="F153" i="1" s="1"/>
  <c r="C154" i="1"/>
  <c r="E154" i="1" s="1"/>
  <c r="D154" i="1"/>
  <c r="F154" i="1" s="1"/>
  <c r="C155" i="1"/>
  <c r="E155" i="1" s="1"/>
  <c r="D155" i="1"/>
  <c r="F155" i="1" s="1"/>
  <c r="C156" i="1"/>
  <c r="E156" i="1" s="1"/>
  <c r="D156" i="1"/>
  <c r="F156" i="1" s="1"/>
  <c r="C157" i="1"/>
  <c r="E157" i="1" s="1"/>
  <c r="D157" i="1"/>
  <c r="F157" i="1" s="1"/>
  <c r="C158" i="1"/>
  <c r="E158" i="1" s="1"/>
  <c r="D158" i="1"/>
  <c r="F158" i="1" s="1"/>
  <c r="C159" i="1"/>
  <c r="E159" i="1" s="1"/>
  <c r="D159" i="1"/>
  <c r="F159" i="1" s="1"/>
  <c r="C160" i="1"/>
  <c r="E160" i="1" s="1"/>
  <c r="D160" i="1"/>
  <c r="F160" i="1" s="1"/>
  <c r="C161" i="1"/>
  <c r="E161" i="1" s="1"/>
  <c r="D161" i="1"/>
  <c r="F161" i="1" s="1"/>
  <c r="C162" i="1"/>
  <c r="E162" i="1" s="1"/>
  <c r="D162" i="1"/>
  <c r="F162" i="1" s="1"/>
  <c r="C163" i="1"/>
  <c r="E163" i="1" s="1"/>
  <c r="D163" i="1"/>
  <c r="F163" i="1" s="1"/>
  <c r="C164" i="1"/>
  <c r="E164" i="1" s="1"/>
  <c r="D164" i="1"/>
  <c r="F164" i="1" s="1"/>
  <c r="C165" i="1"/>
  <c r="E165" i="1" s="1"/>
  <c r="D165" i="1"/>
  <c r="F165" i="1" s="1"/>
  <c r="C166" i="1"/>
  <c r="E166" i="1" s="1"/>
  <c r="D166" i="1"/>
  <c r="F166" i="1" s="1"/>
  <c r="C167" i="1"/>
  <c r="E167" i="1" s="1"/>
  <c r="D167" i="1"/>
  <c r="F167" i="1" s="1"/>
  <c r="C168" i="1"/>
  <c r="E168" i="1" s="1"/>
  <c r="D168" i="1"/>
  <c r="F168" i="1" s="1"/>
  <c r="C169" i="1"/>
  <c r="E169" i="1" s="1"/>
  <c r="D169" i="1"/>
  <c r="F169" i="1" s="1"/>
  <c r="C170" i="1"/>
  <c r="E170" i="1" s="1"/>
  <c r="D170" i="1"/>
  <c r="F170" i="1" s="1"/>
  <c r="C171" i="1"/>
  <c r="E171" i="1" s="1"/>
  <c r="D171" i="1"/>
  <c r="F171" i="1" s="1"/>
  <c r="C172" i="1"/>
  <c r="E172" i="1" s="1"/>
  <c r="D172" i="1"/>
  <c r="F172" i="1" s="1"/>
  <c r="C173" i="1"/>
  <c r="E173" i="1" s="1"/>
  <c r="D173" i="1"/>
  <c r="F173" i="1" s="1"/>
  <c r="C174" i="1"/>
  <c r="E174" i="1" s="1"/>
  <c r="D174" i="1"/>
  <c r="F174" i="1" s="1"/>
  <c r="C175" i="1"/>
  <c r="E175" i="1" s="1"/>
  <c r="D175" i="1"/>
  <c r="F175" i="1" s="1"/>
  <c r="C176" i="1"/>
  <c r="E176" i="1" s="1"/>
  <c r="D176" i="1"/>
  <c r="F176" i="1" s="1"/>
  <c r="C177" i="1"/>
  <c r="E177" i="1" s="1"/>
  <c r="D177" i="1"/>
  <c r="F177" i="1" s="1"/>
  <c r="C178" i="1"/>
  <c r="E178" i="1" s="1"/>
  <c r="D178" i="1"/>
  <c r="F178" i="1" s="1"/>
  <c r="C179" i="1"/>
  <c r="E179" i="1" s="1"/>
  <c r="D179" i="1"/>
  <c r="F179" i="1" s="1"/>
  <c r="C180" i="1"/>
  <c r="E180" i="1" s="1"/>
  <c r="D180" i="1"/>
  <c r="F180" i="1" s="1"/>
  <c r="C181" i="1"/>
  <c r="E181" i="1" s="1"/>
  <c r="D181" i="1"/>
  <c r="F181" i="1" s="1"/>
  <c r="C182" i="1"/>
  <c r="E182" i="1" s="1"/>
  <c r="D182" i="1"/>
  <c r="F182" i="1" s="1"/>
  <c r="C183" i="1"/>
  <c r="E183" i="1" s="1"/>
  <c r="D183" i="1"/>
  <c r="F183" i="1" s="1"/>
  <c r="C184" i="1"/>
  <c r="E184" i="1" s="1"/>
  <c r="D184" i="1"/>
  <c r="F184" i="1" s="1"/>
  <c r="C185" i="1"/>
  <c r="E185" i="1" s="1"/>
  <c r="D185" i="1"/>
  <c r="F185" i="1" s="1"/>
  <c r="C186" i="1"/>
  <c r="E186" i="1" s="1"/>
  <c r="D186" i="1"/>
  <c r="F186" i="1" s="1"/>
  <c r="C187" i="1"/>
  <c r="E187" i="1" s="1"/>
  <c r="D187" i="1"/>
  <c r="F187" i="1" s="1"/>
  <c r="C188" i="1"/>
  <c r="E188" i="1" s="1"/>
  <c r="D188" i="1"/>
  <c r="F188" i="1" s="1"/>
  <c r="C189" i="1"/>
  <c r="E189" i="1" s="1"/>
  <c r="D189" i="1"/>
  <c r="F189" i="1" s="1"/>
  <c r="C190" i="1"/>
  <c r="E190" i="1" s="1"/>
  <c r="D190" i="1"/>
  <c r="F190" i="1" s="1"/>
  <c r="C191" i="1"/>
  <c r="E191" i="1" s="1"/>
  <c r="D191" i="1"/>
  <c r="F191" i="1" s="1"/>
  <c r="C192" i="1"/>
  <c r="E192" i="1" s="1"/>
  <c r="D192" i="1"/>
  <c r="F192" i="1" s="1"/>
  <c r="C193" i="1"/>
  <c r="E193" i="1" s="1"/>
  <c r="D193" i="1"/>
  <c r="F193" i="1" s="1"/>
  <c r="C194" i="1"/>
  <c r="E194" i="1" s="1"/>
  <c r="D194" i="1"/>
  <c r="F194" i="1" s="1"/>
  <c r="C195" i="1"/>
  <c r="E195" i="1" s="1"/>
  <c r="D195" i="1"/>
  <c r="F195" i="1" s="1"/>
  <c r="C196" i="1"/>
  <c r="E196" i="1" s="1"/>
  <c r="D196" i="1"/>
  <c r="F196" i="1" s="1"/>
  <c r="C197" i="1"/>
  <c r="E197" i="1" s="1"/>
  <c r="D197" i="1"/>
  <c r="F197" i="1" s="1"/>
  <c r="C198" i="1"/>
  <c r="E198" i="1" s="1"/>
  <c r="D198" i="1"/>
  <c r="F198" i="1" s="1"/>
  <c r="C199" i="1"/>
  <c r="E199" i="1" s="1"/>
  <c r="D199" i="1"/>
  <c r="F199" i="1" s="1"/>
  <c r="C200" i="1"/>
  <c r="E200" i="1" s="1"/>
  <c r="D200" i="1"/>
  <c r="F200" i="1" s="1"/>
  <c r="C201" i="1"/>
  <c r="E201" i="1" s="1"/>
  <c r="D201" i="1"/>
  <c r="F201" i="1" s="1"/>
  <c r="C202" i="1"/>
  <c r="E202" i="1" s="1"/>
  <c r="D202" i="1"/>
  <c r="F202" i="1" s="1"/>
  <c r="C203" i="1"/>
  <c r="E203" i="1" s="1"/>
  <c r="D203" i="1"/>
  <c r="F203" i="1" s="1"/>
  <c r="C204" i="1"/>
  <c r="E204" i="1" s="1"/>
  <c r="D204" i="1"/>
  <c r="F204" i="1" s="1"/>
  <c r="C205" i="1"/>
  <c r="E205" i="1" s="1"/>
  <c r="D205" i="1"/>
  <c r="F205" i="1" s="1"/>
  <c r="C206" i="1"/>
  <c r="E206" i="1" s="1"/>
  <c r="D206" i="1"/>
  <c r="F206" i="1" s="1"/>
  <c r="C207" i="1"/>
  <c r="E207" i="1" s="1"/>
  <c r="D207" i="1"/>
  <c r="F207" i="1" s="1"/>
  <c r="C208" i="1"/>
  <c r="E208" i="1" s="1"/>
  <c r="D208" i="1"/>
  <c r="F208" i="1" s="1"/>
  <c r="C209" i="1"/>
  <c r="E209" i="1" s="1"/>
  <c r="D209" i="1"/>
  <c r="F209" i="1" s="1"/>
  <c r="C210" i="1"/>
  <c r="E210" i="1" s="1"/>
  <c r="D210" i="1"/>
  <c r="F210" i="1" s="1"/>
  <c r="F212" i="1" l="1"/>
  <c r="F214" i="1" s="1"/>
  <c r="G11" i="1"/>
  <c r="I11" i="1" s="1"/>
  <c r="J11" i="1" s="1"/>
  <c r="G12" i="1" l="1"/>
  <c r="H12" i="1" s="1"/>
  <c r="K11" i="1"/>
  <c r="I12" i="1" l="1"/>
  <c r="J12" i="1" s="1"/>
  <c r="K12" i="1" s="1"/>
  <c r="G13" i="1"/>
  <c r="G14" i="1" s="1"/>
  <c r="G15" i="1" l="1"/>
  <c r="H13" i="1" l="1"/>
  <c r="G16" i="1"/>
  <c r="I13" i="1" l="1"/>
  <c r="G17" i="1"/>
  <c r="J13" i="1" l="1"/>
  <c r="G18" i="1"/>
  <c r="K13" i="1" l="1"/>
  <c r="H14" i="1"/>
  <c r="G19" i="1"/>
  <c r="I14" i="1" l="1"/>
  <c r="J14" i="1" s="1"/>
  <c r="K14" i="1" s="1"/>
  <c r="G20" i="1"/>
  <c r="H15" i="1" l="1"/>
  <c r="I15" i="1" s="1"/>
  <c r="J15" i="1" s="1"/>
  <c r="K15" i="1" s="1"/>
  <c r="G21" i="1"/>
  <c r="H16" i="1" l="1"/>
  <c r="I16" i="1" s="1"/>
  <c r="J16" i="1" s="1"/>
  <c r="K16" i="1" s="1"/>
  <c r="G22" i="1"/>
  <c r="H17" i="1" l="1"/>
  <c r="I17" i="1" s="1"/>
  <c r="J17" i="1" s="1"/>
  <c r="H18" i="1" s="1"/>
  <c r="I18" i="1" s="1"/>
  <c r="G23" i="1"/>
  <c r="K17" i="1" l="1"/>
  <c r="J18" i="1"/>
  <c r="G24" i="1"/>
  <c r="K18" i="1" l="1"/>
  <c r="H19" i="1"/>
  <c r="I19" i="1" s="1"/>
  <c r="J19" i="1" s="1"/>
  <c r="G25" i="1"/>
  <c r="K19" i="1" l="1"/>
  <c r="H20" i="1"/>
  <c r="I20" i="1" s="1"/>
  <c r="J20" i="1" s="1"/>
  <c r="G26" i="1"/>
  <c r="K20" i="1" l="1"/>
  <c r="H21" i="1"/>
  <c r="I21" i="1" s="1"/>
  <c r="J21" i="1" s="1"/>
  <c r="G27" i="1"/>
  <c r="K21" i="1" l="1"/>
  <c r="H22" i="1"/>
  <c r="I22" i="1" s="1"/>
  <c r="J22" i="1" s="1"/>
  <c r="G28" i="1"/>
  <c r="K22" i="1" l="1"/>
  <c r="H23" i="1"/>
  <c r="I23" i="1" s="1"/>
  <c r="J23" i="1" s="1"/>
  <c r="G29" i="1"/>
  <c r="K23" i="1" l="1"/>
  <c r="H24" i="1"/>
  <c r="I24" i="1" s="1"/>
  <c r="J24" i="1" s="1"/>
  <c r="G30" i="1"/>
  <c r="K24" i="1" l="1"/>
  <c r="H25" i="1"/>
  <c r="I25" i="1" s="1"/>
  <c r="J25" i="1" s="1"/>
  <c r="G31" i="1"/>
  <c r="K25" i="1" l="1"/>
  <c r="H26" i="1"/>
  <c r="I26" i="1" s="1"/>
  <c r="J26" i="1" s="1"/>
  <c r="G32" i="1"/>
  <c r="K26" i="1" l="1"/>
  <c r="H27" i="1"/>
  <c r="I27" i="1" s="1"/>
  <c r="J27" i="1" s="1"/>
  <c r="G33" i="1"/>
  <c r="K27" i="1" l="1"/>
  <c r="H28" i="1"/>
  <c r="I28" i="1" s="1"/>
  <c r="J28" i="1" s="1"/>
  <c r="G34" i="1"/>
  <c r="K28" i="1" l="1"/>
  <c r="H29" i="1"/>
  <c r="I29" i="1" s="1"/>
  <c r="J29" i="1" s="1"/>
  <c r="G35" i="1"/>
  <c r="K29" i="1" l="1"/>
  <c r="H30" i="1"/>
  <c r="I30" i="1" s="1"/>
  <c r="J30" i="1" s="1"/>
  <c r="G36" i="1"/>
  <c r="K30" i="1" l="1"/>
  <c r="H31" i="1"/>
  <c r="I31" i="1" s="1"/>
  <c r="J31" i="1" s="1"/>
  <c r="G37" i="1"/>
  <c r="K31" i="1" l="1"/>
  <c r="H32" i="1"/>
  <c r="I32" i="1" s="1"/>
  <c r="J32" i="1" s="1"/>
  <c r="G38" i="1"/>
  <c r="K32" i="1" l="1"/>
  <c r="H33" i="1"/>
  <c r="I33" i="1" s="1"/>
  <c r="J33" i="1" s="1"/>
  <c r="G39" i="1"/>
  <c r="K33" i="1" l="1"/>
  <c r="H34" i="1"/>
  <c r="I34" i="1" s="1"/>
  <c r="J34" i="1" s="1"/>
  <c r="G40" i="1"/>
  <c r="K34" i="1" l="1"/>
  <c r="H35" i="1"/>
  <c r="I35" i="1" s="1"/>
  <c r="J35" i="1" s="1"/>
  <c r="G41" i="1"/>
  <c r="K35" i="1" l="1"/>
  <c r="H36" i="1"/>
  <c r="I36" i="1" s="1"/>
  <c r="J36" i="1" s="1"/>
  <c r="G42" i="1"/>
  <c r="K36" i="1" l="1"/>
  <c r="H37" i="1"/>
  <c r="I37" i="1" s="1"/>
  <c r="J37" i="1" s="1"/>
  <c r="G43" i="1"/>
  <c r="K37" i="1" l="1"/>
  <c r="H38" i="1"/>
  <c r="I38" i="1" s="1"/>
  <c r="J38" i="1" s="1"/>
  <c r="G44" i="1"/>
  <c r="K38" i="1" l="1"/>
  <c r="H39" i="1"/>
  <c r="I39" i="1" s="1"/>
  <c r="J39" i="1" s="1"/>
  <c r="G45" i="1"/>
  <c r="K39" i="1" l="1"/>
  <c r="H40" i="1"/>
  <c r="I40" i="1" s="1"/>
  <c r="J40" i="1" s="1"/>
  <c r="G46" i="1"/>
  <c r="K40" i="1" l="1"/>
  <c r="H41" i="1"/>
  <c r="I41" i="1" s="1"/>
  <c r="J41" i="1" s="1"/>
  <c r="G47" i="1"/>
  <c r="K41" i="1" l="1"/>
  <c r="H42" i="1"/>
  <c r="I42" i="1" s="1"/>
  <c r="J42" i="1" s="1"/>
  <c r="G48" i="1"/>
  <c r="K42" i="1" l="1"/>
  <c r="H43" i="1"/>
  <c r="I43" i="1" s="1"/>
  <c r="J43" i="1" s="1"/>
  <c r="G49" i="1"/>
  <c r="K43" i="1" l="1"/>
  <c r="H44" i="1"/>
  <c r="I44" i="1" s="1"/>
  <c r="J44" i="1" s="1"/>
  <c r="G50" i="1"/>
  <c r="K44" i="1" l="1"/>
  <c r="H45" i="1"/>
  <c r="I45" i="1" s="1"/>
  <c r="J45" i="1" s="1"/>
  <c r="G51" i="1"/>
  <c r="K45" i="1" l="1"/>
  <c r="H46" i="1"/>
  <c r="I46" i="1" s="1"/>
  <c r="J46" i="1" s="1"/>
  <c r="G52" i="1"/>
  <c r="K46" i="1" l="1"/>
  <c r="H47" i="1"/>
  <c r="I47" i="1" s="1"/>
  <c r="J47" i="1" s="1"/>
  <c r="G53" i="1"/>
  <c r="K47" i="1" l="1"/>
  <c r="H48" i="1"/>
  <c r="I48" i="1" s="1"/>
  <c r="J48" i="1" s="1"/>
  <c r="G54" i="1"/>
  <c r="K48" i="1" l="1"/>
  <c r="H49" i="1"/>
  <c r="I49" i="1" s="1"/>
  <c r="J49" i="1" s="1"/>
  <c r="G55" i="1"/>
  <c r="K49" i="1" l="1"/>
  <c r="H50" i="1"/>
  <c r="I50" i="1" s="1"/>
  <c r="J50" i="1" s="1"/>
  <c r="G56" i="1"/>
  <c r="K50" i="1" l="1"/>
  <c r="H51" i="1"/>
  <c r="I51" i="1" s="1"/>
  <c r="J51" i="1" s="1"/>
  <c r="G57" i="1"/>
  <c r="K51" i="1" l="1"/>
  <c r="H52" i="1"/>
  <c r="I52" i="1" s="1"/>
  <c r="J52" i="1" s="1"/>
  <c r="G58" i="1"/>
  <c r="K52" i="1" l="1"/>
  <c r="H53" i="1"/>
  <c r="I53" i="1" s="1"/>
  <c r="J53" i="1" s="1"/>
  <c r="G59" i="1"/>
  <c r="K53" i="1" l="1"/>
  <c r="H54" i="1"/>
  <c r="I54" i="1" s="1"/>
  <c r="J54" i="1" s="1"/>
  <c r="G60" i="1"/>
  <c r="K54" i="1" l="1"/>
  <c r="H55" i="1"/>
  <c r="I55" i="1" s="1"/>
  <c r="J55" i="1" s="1"/>
  <c r="G61" i="1"/>
  <c r="K55" i="1" l="1"/>
  <c r="H56" i="1"/>
  <c r="I56" i="1" s="1"/>
  <c r="J56" i="1" s="1"/>
  <c r="G62" i="1"/>
  <c r="K56" i="1" l="1"/>
  <c r="H57" i="1"/>
  <c r="I57" i="1" s="1"/>
  <c r="J57" i="1" s="1"/>
  <c r="G63" i="1"/>
  <c r="K57" i="1" l="1"/>
  <c r="H58" i="1"/>
  <c r="I58" i="1" s="1"/>
  <c r="J58" i="1" s="1"/>
  <c r="G64" i="1"/>
  <c r="K58" i="1" l="1"/>
  <c r="H59" i="1"/>
  <c r="I59" i="1" s="1"/>
  <c r="J59" i="1" s="1"/>
  <c r="G65" i="1"/>
  <c r="K59" i="1" l="1"/>
  <c r="H60" i="1"/>
  <c r="I60" i="1" s="1"/>
  <c r="J60" i="1" s="1"/>
  <c r="G66" i="1"/>
  <c r="K60" i="1" l="1"/>
  <c r="H61" i="1"/>
  <c r="I61" i="1" s="1"/>
  <c r="J61" i="1" s="1"/>
  <c r="G67" i="1"/>
  <c r="K61" i="1" l="1"/>
  <c r="H62" i="1"/>
  <c r="I62" i="1" s="1"/>
  <c r="J62" i="1" s="1"/>
  <c r="G68" i="1"/>
  <c r="K62" i="1" l="1"/>
  <c r="H63" i="1"/>
  <c r="I63" i="1" s="1"/>
  <c r="J63" i="1" s="1"/>
  <c r="G69" i="1"/>
  <c r="K63" i="1" l="1"/>
  <c r="H64" i="1"/>
  <c r="I64" i="1" s="1"/>
  <c r="J64" i="1" s="1"/>
  <c r="G70" i="1"/>
  <c r="K64" i="1" l="1"/>
  <c r="H65" i="1"/>
  <c r="I65" i="1" s="1"/>
  <c r="J65" i="1" s="1"/>
  <c r="G71" i="1"/>
  <c r="K65" i="1" l="1"/>
  <c r="H66" i="1"/>
  <c r="I66" i="1" s="1"/>
  <c r="J66" i="1" s="1"/>
  <c r="G72" i="1"/>
  <c r="K66" i="1" l="1"/>
  <c r="H67" i="1"/>
  <c r="I67" i="1" s="1"/>
  <c r="J67" i="1" s="1"/>
  <c r="G73" i="1"/>
  <c r="K67" i="1" l="1"/>
  <c r="H68" i="1"/>
  <c r="I68" i="1" s="1"/>
  <c r="J68" i="1" s="1"/>
  <c r="G74" i="1"/>
  <c r="K68" i="1" l="1"/>
  <c r="H69" i="1"/>
  <c r="I69" i="1" s="1"/>
  <c r="J69" i="1" s="1"/>
  <c r="G75" i="1"/>
  <c r="K69" i="1" l="1"/>
  <c r="H70" i="1"/>
  <c r="I70" i="1" s="1"/>
  <c r="J70" i="1" s="1"/>
  <c r="G76" i="1"/>
  <c r="K70" i="1" l="1"/>
  <c r="H71" i="1"/>
  <c r="I71" i="1" s="1"/>
  <c r="J71" i="1" s="1"/>
  <c r="G77" i="1"/>
  <c r="K71" i="1" l="1"/>
  <c r="H72" i="1"/>
  <c r="I72" i="1" s="1"/>
  <c r="J72" i="1" s="1"/>
  <c r="G78" i="1"/>
  <c r="K72" i="1" l="1"/>
  <c r="H73" i="1"/>
  <c r="I73" i="1" s="1"/>
  <c r="J73" i="1" s="1"/>
  <c r="G79" i="1"/>
  <c r="K73" i="1" l="1"/>
  <c r="H74" i="1"/>
  <c r="I74" i="1" s="1"/>
  <c r="J74" i="1" s="1"/>
  <c r="G80" i="1"/>
  <c r="K74" i="1" l="1"/>
  <c r="H75" i="1"/>
  <c r="I75" i="1" s="1"/>
  <c r="J75" i="1" s="1"/>
  <c r="G81" i="1"/>
  <c r="K75" i="1" l="1"/>
  <c r="H76" i="1"/>
  <c r="I76" i="1" s="1"/>
  <c r="J76" i="1" s="1"/>
  <c r="G82" i="1"/>
  <c r="K76" i="1" l="1"/>
  <c r="H77" i="1"/>
  <c r="I77" i="1" s="1"/>
  <c r="J77" i="1" s="1"/>
  <c r="G83" i="1"/>
  <c r="K77" i="1" l="1"/>
  <c r="H78" i="1"/>
  <c r="I78" i="1" s="1"/>
  <c r="J78" i="1" s="1"/>
  <c r="G84" i="1"/>
  <c r="K78" i="1" l="1"/>
  <c r="H79" i="1"/>
  <c r="I79" i="1" s="1"/>
  <c r="J79" i="1" s="1"/>
  <c r="G85" i="1"/>
  <c r="K79" i="1" l="1"/>
  <c r="H80" i="1"/>
  <c r="I80" i="1" s="1"/>
  <c r="J80" i="1" s="1"/>
  <c r="G86" i="1"/>
  <c r="K80" i="1" l="1"/>
  <c r="H81" i="1"/>
  <c r="I81" i="1" s="1"/>
  <c r="J81" i="1" s="1"/>
  <c r="G87" i="1"/>
  <c r="K81" i="1" l="1"/>
  <c r="H82" i="1"/>
  <c r="I82" i="1" s="1"/>
  <c r="J82" i="1" s="1"/>
  <c r="G88" i="1"/>
  <c r="K82" i="1" l="1"/>
  <c r="H83" i="1"/>
  <c r="I83" i="1" s="1"/>
  <c r="J83" i="1" s="1"/>
  <c r="G89" i="1"/>
  <c r="K83" i="1" l="1"/>
  <c r="H84" i="1"/>
  <c r="I84" i="1" s="1"/>
  <c r="J84" i="1" s="1"/>
  <c r="G90" i="1"/>
  <c r="K84" i="1" l="1"/>
  <c r="H85" i="1"/>
  <c r="I85" i="1" s="1"/>
  <c r="J85" i="1" s="1"/>
  <c r="G91" i="1"/>
  <c r="K85" i="1" l="1"/>
  <c r="H86" i="1"/>
  <c r="I86" i="1" s="1"/>
  <c r="J86" i="1" s="1"/>
  <c r="G92" i="1"/>
  <c r="K86" i="1" l="1"/>
  <c r="H87" i="1"/>
  <c r="I87" i="1" s="1"/>
  <c r="J87" i="1" s="1"/>
  <c r="G93" i="1"/>
  <c r="K87" i="1" l="1"/>
  <c r="H88" i="1"/>
  <c r="I88" i="1" s="1"/>
  <c r="J88" i="1" s="1"/>
  <c r="G94" i="1"/>
  <c r="K88" i="1" l="1"/>
  <c r="H89" i="1"/>
  <c r="I89" i="1" s="1"/>
  <c r="J89" i="1" s="1"/>
  <c r="G95" i="1"/>
  <c r="K89" i="1" l="1"/>
  <c r="H90" i="1"/>
  <c r="I90" i="1" s="1"/>
  <c r="J90" i="1" s="1"/>
  <c r="G96" i="1"/>
  <c r="K90" i="1" l="1"/>
  <c r="H91" i="1"/>
  <c r="I91" i="1" s="1"/>
  <c r="J91" i="1" s="1"/>
  <c r="G97" i="1"/>
  <c r="K91" i="1" l="1"/>
  <c r="H92" i="1"/>
  <c r="I92" i="1" s="1"/>
  <c r="J92" i="1" s="1"/>
  <c r="G98" i="1"/>
  <c r="K92" i="1" l="1"/>
  <c r="H93" i="1"/>
  <c r="I93" i="1" s="1"/>
  <c r="J93" i="1" s="1"/>
  <c r="G99" i="1"/>
  <c r="K93" i="1" l="1"/>
  <c r="H94" i="1"/>
  <c r="I94" i="1" s="1"/>
  <c r="J94" i="1" s="1"/>
  <c r="G100" i="1"/>
  <c r="K94" i="1" l="1"/>
  <c r="H95" i="1"/>
  <c r="I95" i="1" s="1"/>
  <c r="J95" i="1" s="1"/>
  <c r="G101" i="1"/>
  <c r="K95" i="1" l="1"/>
  <c r="H96" i="1"/>
  <c r="I96" i="1" s="1"/>
  <c r="J96" i="1" s="1"/>
  <c r="G102" i="1"/>
  <c r="K96" i="1" l="1"/>
  <c r="H97" i="1"/>
  <c r="I97" i="1" s="1"/>
  <c r="J97" i="1" s="1"/>
  <c r="G103" i="1"/>
  <c r="K97" i="1" l="1"/>
  <c r="H98" i="1"/>
  <c r="I98" i="1" s="1"/>
  <c r="J98" i="1" s="1"/>
  <c r="G104" i="1"/>
  <c r="K98" i="1" l="1"/>
  <c r="H99" i="1"/>
  <c r="I99" i="1" s="1"/>
  <c r="J99" i="1" s="1"/>
  <c r="G105" i="1"/>
  <c r="K99" i="1" l="1"/>
  <c r="H100" i="1"/>
  <c r="I100" i="1" s="1"/>
  <c r="J100" i="1" s="1"/>
  <c r="G106" i="1"/>
  <c r="K100" i="1" l="1"/>
  <c r="H101" i="1"/>
  <c r="I101" i="1" s="1"/>
  <c r="J101" i="1" s="1"/>
  <c r="G107" i="1"/>
  <c r="K101" i="1" l="1"/>
  <c r="H102" i="1"/>
  <c r="I102" i="1" s="1"/>
  <c r="J102" i="1" s="1"/>
  <c r="G108" i="1"/>
  <c r="K102" i="1" l="1"/>
  <c r="H103" i="1"/>
  <c r="I103" i="1" s="1"/>
  <c r="J103" i="1" s="1"/>
  <c r="G109" i="1"/>
  <c r="K103" i="1" l="1"/>
  <c r="H104" i="1"/>
  <c r="I104" i="1" s="1"/>
  <c r="J104" i="1" s="1"/>
  <c r="G110" i="1"/>
  <c r="K104" i="1" l="1"/>
  <c r="H105" i="1"/>
  <c r="I105" i="1" s="1"/>
  <c r="J105" i="1" s="1"/>
  <c r="G111" i="1"/>
  <c r="K105" i="1" l="1"/>
  <c r="H106" i="1"/>
  <c r="I106" i="1" s="1"/>
  <c r="J106" i="1" s="1"/>
  <c r="G112" i="1"/>
  <c r="K106" i="1" l="1"/>
  <c r="H107" i="1"/>
  <c r="I107" i="1" s="1"/>
  <c r="J107" i="1" s="1"/>
  <c r="G113" i="1"/>
  <c r="K107" i="1" l="1"/>
  <c r="H108" i="1"/>
  <c r="I108" i="1" s="1"/>
  <c r="J108" i="1" s="1"/>
  <c r="G114" i="1"/>
  <c r="K108" i="1" l="1"/>
  <c r="H109" i="1"/>
  <c r="I109" i="1" s="1"/>
  <c r="J109" i="1" s="1"/>
  <c r="G115" i="1"/>
  <c r="K109" i="1" l="1"/>
  <c r="H110" i="1"/>
  <c r="I110" i="1" s="1"/>
  <c r="J110" i="1" s="1"/>
  <c r="G116" i="1"/>
  <c r="K110" i="1" l="1"/>
  <c r="H111" i="1"/>
  <c r="I111" i="1" s="1"/>
  <c r="J111" i="1" s="1"/>
  <c r="G117" i="1"/>
  <c r="K111" i="1" l="1"/>
  <c r="H112" i="1"/>
  <c r="I112" i="1" s="1"/>
  <c r="J112" i="1" s="1"/>
  <c r="G118" i="1"/>
  <c r="K112" i="1" l="1"/>
  <c r="H113" i="1"/>
  <c r="I113" i="1" s="1"/>
  <c r="J113" i="1" s="1"/>
  <c r="G119" i="1"/>
  <c r="K113" i="1" l="1"/>
  <c r="H114" i="1"/>
  <c r="I114" i="1" s="1"/>
  <c r="J114" i="1" s="1"/>
  <c r="G120" i="1"/>
  <c r="K114" i="1" l="1"/>
  <c r="H115" i="1"/>
  <c r="I115" i="1" s="1"/>
  <c r="J115" i="1" s="1"/>
  <c r="G121" i="1"/>
  <c r="K115" i="1" l="1"/>
  <c r="H116" i="1"/>
  <c r="I116" i="1" s="1"/>
  <c r="J116" i="1" s="1"/>
  <c r="G122" i="1"/>
  <c r="K116" i="1" l="1"/>
  <c r="H117" i="1"/>
  <c r="I117" i="1" s="1"/>
  <c r="J117" i="1" s="1"/>
  <c r="G123" i="1"/>
  <c r="K117" i="1" l="1"/>
  <c r="H118" i="1"/>
  <c r="I118" i="1" s="1"/>
  <c r="J118" i="1" s="1"/>
  <c r="G124" i="1"/>
  <c r="K118" i="1" l="1"/>
  <c r="H119" i="1"/>
  <c r="I119" i="1" s="1"/>
  <c r="J119" i="1" s="1"/>
  <c r="G125" i="1"/>
  <c r="K119" i="1" l="1"/>
  <c r="H120" i="1"/>
  <c r="I120" i="1" s="1"/>
  <c r="J120" i="1" s="1"/>
  <c r="G126" i="1"/>
  <c r="K120" i="1" l="1"/>
  <c r="H121" i="1"/>
  <c r="I121" i="1" s="1"/>
  <c r="J121" i="1" s="1"/>
  <c r="G127" i="1"/>
  <c r="K121" i="1" l="1"/>
  <c r="H122" i="1"/>
  <c r="I122" i="1" s="1"/>
  <c r="J122" i="1" s="1"/>
  <c r="G128" i="1"/>
  <c r="K122" i="1" l="1"/>
  <c r="H123" i="1"/>
  <c r="I123" i="1" s="1"/>
  <c r="J123" i="1" s="1"/>
  <c r="G129" i="1"/>
  <c r="K123" i="1" l="1"/>
  <c r="H124" i="1"/>
  <c r="I124" i="1" s="1"/>
  <c r="J124" i="1" s="1"/>
  <c r="G130" i="1"/>
  <c r="K124" i="1" l="1"/>
  <c r="H125" i="1"/>
  <c r="I125" i="1" s="1"/>
  <c r="J125" i="1" s="1"/>
  <c r="G131" i="1"/>
  <c r="K125" i="1" l="1"/>
  <c r="H126" i="1"/>
  <c r="I126" i="1" s="1"/>
  <c r="J126" i="1" s="1"/>
  <c r="G132" i="1"/>
  <c r="K126" i="1" l="1"/>
  <c r="H127" i="1"/>
  <c r="I127" i="1" s="1"/>
  <c r="J127" i="1" s="1"/>
  <c r="G133" i="1"/>
  <c r="K127" i="1" l="1"/>
  <c r="H128" i="1"/>
  <c r="I128" i="1" s="1"/>
  <c r="J128" i="1" s="1"/>
  <c r="G134" i="1"/>
  <c r="K128" i="1" l="1"/>
  <c r="H129" i="1"/>
  <c r="I129" i="1" s="1"/>
  <c r="J129" i="1" s="1"/>
  <c r="G135" i="1"/>
  <c r="K129" i="1" l="1"/>
  <c r="H130" i="1"/>
  <c r="I130" i="1" s="1"/>
  <c r="J130" i="1" s="1"/>
  <c r="G136" i="1"/>
  <c r="K130" i="1" l="1"/>
  <c r="H131" i="1"/>
  <c r="I131" i="1" s="1"/>
  <c r="J131" i="1" s="1"/>
  <c r="G137" i="1"/>
  <c r="K131" i="1" l="1"/>
  <c r="H132" i="1"/>
  <c r="I132" i="1" s="1"/>
  <c r="J132" i="1" s="1"/>
  <c r="G138" i="1"/>
  <c r="K132" i="1" l="1"/>
  <c r="H133" i="1"/>
  <c r="I133" i="1" s="1"/>
  <c r="J133" i="1" s="1"/>
  <c r="G139" i="1"/>
  <c r="K133" i="1" l="1"/>
  <c r="H134" i="1"/>
  <c r="I134" i="1" s="1"/>
  <c r="J134" i="1" s="1"/>
  <c r="G140" i="1"/>
  <c r="K134" i="1" l="1"/>
  <c r="H135" i="1"/>
  <c r="I135" i="1" s="1"/>
  <c r="J135" i="1" s="1"/>
  <c r="G141" i="1"/>
  <c r="K135" i="1" l="1"/>
  <c r="H136" i="1"/>
  <c r="I136" i="1" s="1"/>
  <c r="J136" i="1" s="1"/>
  <c r="G142" i="1"/>
  <c r="K136" i="1" l="1"/>
  <c r="H137" i="1"/>
  <c r="I137" i="1" s="1"/>
  <c r="J137" i="1" s="1"/>
  <c r="G143" i="1"/>
  <c r="K137" i="1" l="1"/>
  <c r="H138" i="1"/>
  <c r="I138" i="1" s="1"/>
  <c r="J138" i="1" s="1"/>
  <c r="G144" i="1"/>
  <c r="K138" i="1" l="1"/>
  <c r="H139" i="1"/>
  <c r="I139" i="1" s="1"/>
  <c r="J139" i="1" s="1"/>
  <c r="G145" i="1"/>
  <c r="K139" i="1" l="1"/>
  <c r="H140" i="1"/>
  <c r="I140" i="1" s="1"/>
  <c r="J140" i="1" s="1"/>
  <c r="G146" i="1"/>
  <c r="K140" i="1" l="1"/>
  <c r="H141" i="1"/>
  <c r="I141" i="1" s="1"/>
  <c r="J141" i="1" s="1"/>
  <c r="G147" i="1"/>
  <c r="K141" i="1" l="1"/>
  <c r="H142" i="1"/>
  <c r="I142" i="1" s="1"/>
  <c r="J142" i="1" s="1"/>
  <c r="G148" i="1"/>
  <c r="K142" i="1" l="1"/>
  <c r="H143" i="1"/>
  <c r="I143" i="1" s="1"/>
  <c r="J143" i="1" s="1"/>
  <c r="G149" i="1"/>
  <c r="K143" i="1" l="1"/>
  <c r="H144" i="1"/>
  <c r="I144" i="1" s="1"/>
  <c r="J144" i="1" s="1"/>
  <c r="G150" i="1"/>
  <c r="K144" i="1" l="1"/>
  <c r="H145" i="1"/>
  <c r="I145" i="1" s="1"/>
  <c r="J145" i="1" s="1"/>
  <c r="G151" i="1"/>
  <c r="K145" i="1" l="1"/>
  <c r="H146" i="1"/>
  <c r="I146" i="1" s="1"/>
  <c r="J146" i="1" s="1"/>
  <c r="G152" i="1"/>
  <c r="K146" i="1" l="1"/>
  <c r="H147" i="1"/>
  <c r="I147" i="1" s="1"/>
  <c r="J147" i="1" s="1"/>
  <c r="G153" i="1"/>
  <c r="K147" i="1" l="1"/>
  <c r="H148" i="1"/>
  <c r="I148" i="1" s="1"/>
  <c r="J148" i="1" s="1"/>
  <c r="G154" i="1"/>
  <c r="K148" i="1" l="1"/>
  <c r="H149" i="1"/>
  <c r="I149" i="1" s="1"/>
  <c r="J149" i="1" s="1"/>
  <c r="G155" i="1"/>
  <c r="K149" i="1" l="1"/>
  <c r="H150" i="1"/>
  <c r="I150" i="1" s="1"/>
  <c r="J150" i="1" s="1"/>
  <c r="G156" i="1"/>
  <c r="K150" i="1" l="1"/>
  <c r="H151" i="1"/>
  <c r="I151" i="1" s="1"/>
  <c r="J151" i="1" s="1"/>
  <c r="G157" i="1"/>
  <c r="K151" i="1" l="1"/>
  <c r="H152" i="1"/>
  <c r="I152" i="1" s="1"/>
  <c r="J152" i="1" s="1"/>
  <c r="G158" i="1"/>
  <c r="K152" i="1" l="1"/>
  <c r="H153" i="1"/>
  <c r="I153" i="1" s="1"/>
  <c r="J153" i="1" s="1"/>
  <c r="G159" i="1"/>
  <c r="K153" i="1" l="1"/>
  <c r="H154" i="1"/>
  <c r="I154" i="1" s="1"/>
  <c r="J154" i="1" s="1"/>
  <c r="G160" i="1"/>
  <c r="K154" i="1" l="1"/>
  <c r="H155" i="1"/>
  <c r="I155" i="1" s="1"/>
  <c r="J155" i="1" s="1"/>
  <c r="G161" i="1"/>
  <c r="K155" i="1" l="1"/>
  <c r="H156" i="1"/>
  <c r="I156" i="1" s="1"/>
  <c r="J156" i="1" s="1"/>
  <c r="G162" i="1"/>
  <c r="K156" i="1" l="1"/>
  <c r="H157" i="1"/>
  <c r="I157" i="1" s="1"/>
  <c r="J157" i="1" s="1"/>
  <c r="G163" i="1"/>
  <c r="K157" i="1" l="1"/>
  <c r="H158" i="1"/>
  <c r="I158" i="1" s="1"/>
  <c r="J158" i="1" s="1"/>
  <c r="G164" i="1"/>
  <c r="K158" i="1" l="1"/>
  <c r="H159" i="1"/>
  <c r="I159" i="1" s="1"/>
  <c r="J159" i="1" s="1"/>
  <c r="G165" i="1"/>
  <c r="K159" i="1" l="1"/>
  <c r="H160" i="1"/>
  <c r="I160" i="1" s="1"/>
  <c r="J160" i="1" s="1"/>
  <c r="G166" i="1"/>
  <c r="K160" i="1" l="1"/>
  <c r="H161" i="1"/>
  <c r="I161" i="1" s="1"/>
  <c r="J161" i="1" s="1"/>
  <c r="G167" i="1"/>
  <c r="K161" i="1" l="1"/>
  <c r="H162" i="1"/>
  <c r="I162" i="1" s="1"/>
  <c r="J162" i="1" s="1"/>
  <c r="G168" i="1"/>
  <c r="K162" i="1" l="1"/>
  <c r="H163" i="1"/>
  <c r="I163" i="1" s="1"/>
  <c r="J163" i="1" s="1"/>
  <c r="G169" i="1"/>
  <c r="K163" i="1" l="1"/>
  <c r="H164" i="1"/>
  <c r="I164" i="1" s="1"/>
  <c r="J164" i="1" s="1"/>
  <c r="G170" i="1"/>
  <c r="K164" i="1" l="1"/>
  <c r="H165" i="1"/>
  <c r="I165" i="1" s="1"/>
  <c r="J165" i="1" s="1"/>
  <c r="G171" i="1"/>
  <c r="K165" i="1" l="1"/>
  <c r="H166" i="1"/>
  <c r="I166" i="1" s="1"/>
  <c r="J166" i="1" s="1"/>
  <c r="G172" i="1"/>
  <c r="K166" i="1" l="1"/>
  <c r="H167" i="1"/>
  <c r="I167" i="1" s="1"/>
  <c r="J167" i="1" s="1"/>
  <c r="G173" i="1"/>
  <c r="K167" i="1" l="1"/>
  <c r="H168" i="1"/>
  <c r="I168" i="1" s="1"/>
  <c r="J168" i="1" s="1"/>
  <c r="G174" i="1"/>
  <c r="K168" i="1" l="1"/>
  <c r="H169" i="1"/>
  <c r="I169" i="1" s="1"/>
  <c r="J169" i="1" s="1"/>
  <c r="G175" i="1"/>
  <c r="K169" i="1" l="1"/>
  <c r="H170" i="1"/>
  <c r="I170" i="1" s="1"/>
  <c r="J170" i="1" s="1"/>
  <c r="G176" i="1"/>
  <c r="K170" i="1" l="1"/>
  <c r="H171" i="1"/>
  <c r="I171" i="1" s="1"/>
  <c r="J171" i="1" s="1"/>
  <c r="G177" i="1"/>
  <c r="K171" i="1" l="1"/>
  <c r="H172" i="1"/>
  <c r="I172" i="1" s="1"/>
  <c r="J172" i="1" s="1"/>
  <c r="G178" i="1"/>
  <c r="K172" i="1" l="1"/>
  <c r="H173" i="1"/>
  <c r="I173" i="1" s="1"/>
  <c r="J173" i="1" s="1"/>
  <c r="G179" i="1"/>
  <c r="K173" i="1" l="1"/>
  <c r="H174" i="1"/>
  <c r="I174" i="1" s="1"/>
  <c r="J174" i="1" s="1"/>
  <c r="G180" i="1"/>
  <c r="K174" i="1" l="1"/>
  <c r="H175" i="1"/>
  <c r="I175" i="1" s="1"/>
  <c r="J175" i="1" s="1"/>
  <c r="G181" i="1"/>
  <c r="K175" i="1" l="1"/>
  <c r="H176" i="1"/>
  <c r="I176" i="1" s="1"/>
  <c r="J176" i="1" s="1"/>
  <c r="G182" i="1"/>
  <c r="K176" i="1" l="1"/>
  <c r="H177" i="1"/>
  <c r="I177" i="1" s="1"/>
  <c r="J177" i="1" s="1"/>
  <c r="G183" i="1"/>
  <c r="K177" i="1" l="1"/>
  <c r="H178" i="1"/>
  <c r="I178" i="1" s="1"/>
  <c r="J178" i="1" s="1"/>
  <c r="G184" i="1"/>
  <c r="K178" i="1" l="1"/>
  <c r="H179" i="1"/>
  <c r="I179" i="1" s="1"/>
  <c r="J179" i="1" s="1"/>
  <c r="G185" i="1"/>
  <c r="K179" i="1" l="1"/>
  <c r="H180" i="1"/>
  <c r="I180" i="1" s="1"/>
  <c r="J180" i="1" s="1"/>
  <c r="G186" i="1"/>
  <c r="K180" i="1" l="1"/>
  <c r="H181" i="1"/>
  <c r="I181" i="1" s="1"/>
  <c r="J181" i="1" s="1"/>
  <c r="G187" i="1"/>
  <c r="K181" i="1" l="1"/>
  <c r="H182" i="1"/>
  <c r="I182" i="1" s="1"/>
  <c r="J182" i="1" s="1"/>
  <c r="G188" i="1"/>
  <c r="K182" i="1" l="1"/>
  <c r="H183" i="1"/>
  <c r="I183" i="1" s="1"/>
  <c r="J183" i="1" s="1"/>
  <c r="G189" i="1"/>
  <c r="K183" i="1" l="1"/>
  <c r="H184" i="1"/>
  <c r="I184" i="1" s="1"/>
  <c r="J184" i="1" s="1"/>
  <c r="G190" i="1"/>
  <c r="K184" i="1" l="1"/>
  <c r="H185" i="1"/>
  <c r="I185" i="1" s="1"/>
  <c r="J185" i="1" s="1"/>
  <c r="G191" i="1"/>
  <c r="K185" i="1" l="1"/>
  <c r="H186" i="1"/>
  <c r="I186" i="1" s="1"/>
  <c r="J186" i="1" s="1"/>
  <c r="G192" i="1"/>
  <c r="K186" i="1" l="1"/>
  <c r="H187" i="1"/>
  <c r="I187" i="1" s="1"/>
  <c r="J187" i="1" s="1"/>
  <c r="G193" i="1"/>
  <c r="K187" i="1" l="1"/>
  <c r="H188" i="1"/>
  <c r="I188" i="1" s="1"/>
  <c r="J188" i="1" s="1"/>
  <c r="G194" i="1"/>
  <c r="K188" i="1" l="1"/>
  <c r="H189" i="1"/>
  <c r="I189" i="1" s="1"/>
  <c r="J189" i="1" s="1"/>
  <c r="G195" i="1"/>
  <c r="K189" i="1" l="1"/>
  <c r="H190" i="1"/>
  <c r="I190" i="1" s="1"/>
  <c r="J190" i="1" s="1"/>
  <c r="G196" i="1"/>
  <c r="K190" i="1" l="1"/>
  <c r="H191" i="1"/>
  <c r="I191" i="1" s="1"/>
  <c r="J191" i="1" s="1"/>
  <c r="G197" i="1"/>
  <c r="K191" i="1" l="1"/>
  <c r="H192" i="1"/>
  <c r="I192" i="1" s="1"/>
  <c r="J192" i="1" s="1"/>
  <c r="G198" i="1"/>
  <c r="K192" i="1" l="1"/>
  <c r="H193" i="1"/>
  <c r="I193" i="1" s="1"/>
  <c r="J193" i="1" s="1"/>
  <c r="G199" i="1"/>
  <c r="K193" i="1" l="1"/>
  <c r="H194" i="1"/>
  <c r="I194" i="1" s="1"/>
  <c r="J194" i="1" s="1"/>
  <c r="G200" i="1"/>
  <c r="K194" i="1" l="1"/>
  <c r="H195" i="1"/>
  <c r="I195" i="1" s="1"/>
  <c r="J195" i="1" s="1"/>
  <c r="G201" i="1"/>
  <c r="K195" i="1" l="1"/>
  <c r="H196" i="1"/>
  <c r="I196" i="1" s="1"/>
  <c r="J196" i="1" s="1"/>
  <c r="G202" i="1"/>
  <c r="K196" i="1" l="1"/>
  <c r="H197" i="1"/>
  <c r="I197" i="1" s="1"/>
  <c r="J197" i="1" s="1"/>
  <c r="G203" i="1"/>
  <c r="K197" i="1" l="1"/>
  <c r="H198" i="1"/>
  <c r="I198" i="1" s="1"/>
  <c r="J198" i="1" s="1"/>
  <c r="G204" i="1"/>
  <c r="K198" i="1" l="1"/>
  <c r="H199" i="1"/>
  <c r="I199" i="1" s="1"/>
  <c r="J199" i="1" s="1"/>
  <c r="G205" i="1"/>
  <c r="K199" i="1" l="1"/>
  <c r="H200" i="1"/>
  <c r="I200" i="1" s="1"/>
  <c r="J200" i="1" s="1"/>
  <c r="G206" i="1"/>
  <c r="K200" i="1" l="1"/>
  <c r="H201" i="1"/>
  <c r="I201" i="1" s="1"/>
  <c r="J201" i="1" s="1"/>
  <c r="G207" i="1"/>
  <c r="K201" i="1" l="1"/>
  <c r="H202" i="1"/>
  <c r="I202" i="1" s="1"/>
  <c r="J202" i="1" s="1"/>
  <c r="G208" i="1"/>
  <c r="K202" i="1" l="1"/>
  <c r="H203" i="1"/>
  <c r="I203" i="1" s="1"/>
  <c r="J203" i="1" s="1"/>
  <c r="G209" i="1"/>
  <c r="G210" i="1" s="1"/>
  <c r="K203" i="1" l="1"/>
  <c r="H204" i="1"/>
  <c r="I204" i="1" s="1"/>
  <c r="J204" i="1" s="1"/>
  <c r="K204" i="1" l="1"/>
  <c r="H205" i="1"/>
  <c r="I205" i="1" s="1"/>
  <c r="J205" i="1" s="1"/>
  <c r="K205" i="1" l="1"/>
  <c r="H206" i="1"/>
  <c r="I206" i="1" s="1"/>
  <c r="J206" i="1" s="1"/>
  <c r="K206" i="1" l="1"/>
  <c r="H207" i="1"/>
  <c r="I207" i="1" s="1"/>
  <c r="J207" i="1" s="1"/>
  <c r="K207" i="1" l="1"/>
  <c r="H208" i="1"/>
  <c r="I208" i="1" s="1"/>
  <c r="J208" i="1" s="1"/>
  <c r="K208" i="1" l="1"/>
  <c r="H209" i="1"/>
  <c r="I209" i="1" s="1"/>
  <c r="J209" i="1" s="1"/>
  <c r="H210" i="1" s="1"/>
  <c r="H212" i="1" l="1"/>
  <c r="K209" i="1"/>
  <c r="I210" i="1"/>
  <c r="J210" i="1" s="1"/>
  <c r="H214" i="1" s="1"/>
  <c r="K210" i="1" l="1"/>
  <c r="K212" i="1" s="1"/>
  <c r="K214" i="1" l="1"/>
</calcChain>
</file>

<file path=xl/sharedStrings.xml><?xml version="1.0" encoding="utf-8"?>
<sst xmlns="http://schemas.openxmlformats.org/spreadsheetml/2006/main" count="139" uniqueCount="102">
  <si>
    <t>№</t>
  </si>
  <si>
    <r>
      <t xml:space="preserve">Δt </t>
    </r>
    <r>
      <rPr>
        <b/>
        <vertAlign val="subscript"/>
        <sz val="11"/>
        <color theme="1"/>
        <rFont val="Calibri"/>
        <family val="2"/>
        <charset val="204"/>
        <scheme val="minor"/>
      </rPr>
      <t>пост.</t>
    </r>
  </si>
  <si>
    <r>
      <t xml:space="preserve">Δt </t>
    </r>
    <r>
      <rPr>
        <b/>
        <vertAlign val="subscript"/>
        <sz val="11"/>
        <color theme="1"/>
        <rFont val="Calibri"/>
        <family val="2"/>
        <charset val="204"/>
        <scheme val="minor"/>
      </rPr>
      <t>обсл.</t>
    </r>
  </si>
  <si>
    <r>
      <t xml:space="preserve">t </t>
    </r>
    <r>
      <rPr>
        <b/>
        <vertAlign val="subscript"/>
        <sz val="11"/>
        <color theme="1"/>
        <rFont val="Calibri"/>
        <family val="2"/>
        <charset val="204"/>
        <scheme val="minor"/>
      </rPr>
      <t>пост.</t>
    </r>
  </si>
  <si>
    <r>
      <t xml:space="preserve">Δt </t>
    </r>
    <r>
      <rPr>
        <b/>
        <vertAlign val="subscript"/>
        <sz val="11"/>
        <color theme="1"/>
        <rFont val="Calibri"/>
        <family val="2"/>
        <charset val="204"/>
        <scheme val="minor"/>
      </rPr>
      <t>ож.</t>
    </r>
  </si>
  <si>
    <r>
      <t xml:space="preserve">t </t>
    </r>
    <r>
      <rPr>
        <b/>
        <vertAlign val="subscript"/>
        <sz val="11"/>
        <color theme="1"/>
        <rFont val="Calibri"/>
        <family val="2"/>
        <charset val="204"/>
        <scheme val="minor"/>
      </rPr>
      <t>вых.</t>
    </r>
  </si>
  <si>
    <r>
      <t xml:space="preserve">Δt </t>
    </r>
    <r>
      <rPr>
        <b/>
        <vertAlign val="subscript"/>
        <sz val="11"/>
        <color theme="1"/>
        <rFont val="Calibri"/>
        <family val="2"/>
        <charset val="204"/>
        <scheme val="minor"/>
      </rPr>
      <t>пребыв.</t>
    </r>
  </si>
  <si>
    <r>
      <t>r</t>
    </r>
    <r>
      <rPr>
        <b/>
        <vertAlign val="subscript"/>
        <sz val="11"/>
        <rFont val="Calibri"/>
        <family val="2"/>
        <charset val="204"/>
        <scheme val="minor"/>
      </rPr>
      <t>μ</t>
    </r>
  </si>
  <si>
    <r>
      <t xml:space="preserve">Δt </t>
    </r>
    <r>
      <rPr>
        <b/>
        <vertAlign val="subscript"/>
        <sz val="11"/>
        <rFont val="Calibri"/>
        <family val="2"/>
        <charset val="204"/>
        <scheme val="minor"/>
      </rPr>
      <t>пост.</t>
    </r>
  </si>
  <si>
    <r>
      <t xml:space="preserve">Δt </t>
    </r>
    <r>
      <rPr>
        <b/>
        <vertAlign val="subscript"/>
        <sz val="11"/>
        <rFont val="Calibri"/>
        <family val="2"/>
        <charset val="204"/>
        <scheme val="minor"/>
      </rPr>
      <t>обсл.</t>
    </r>
  </si>
  <si>
    <r>
      <t xml:space="preserve">t </t>
    </r>
    <r>
      <rPr>
        <b/>
        <vertAlign val="subscript"/>
        <sz val="11"/>
        <rFont val="Calibri"/>
        <family val="2"/>
        <charset val="204"/>
        <scheme val="minor"/>
      </rPr>
      <t>пост.</t>
    </r>
  </si>
  <si>
    <r>
      <t xml:space="preserve">Δt </t>
    </r>
    <r>
      <rPr>
        <b/>
        <vertAlign val="subscript"/>
        <sz val="11"/>
        <rFont val="Calibri"/>
        <family val="2"/>
        <charset val="204"/>
        <scheme val="minor"/>
      </rPr>
      <t>ож.</t>
    </r>
  </si>
  <si>
    <r>
      <t xml:space="preserve">t </t>
    </r>
    <r>
      <rPr>
        <b/>
        <vertAlign val="subscript"/>
        <sz val="11"/>
        <rFont val="Calibri"/>
        <family val="2"/>
        <charset val="204"/>
        <scheme val="minor"/>
      </rPr>
      <t>обсл.</t>
    </r>
  </si>
  <si>
    <r>
      <t xml:space="preserve">t </t>
    </r>
    <r>
      <rPr>
        <b/>
        <vertAlign val="subscript"/>
        <sz val="11"/>
        <rFont val="Calibri"/>
        <family val="2"/>
        <charset val="204"/>
        <scheme val="minor"/>
      </rPr>
      <t>вых.</t>
    </r>
  </si>
  <si>
    <r>
      <t xml:space="preserve">Δt </t>
    </r>
    <r>
      <rPr>
        <b/>
        <vertAlign val="subscript"/>
        <sz val="11"/>
        <rFont val="Calibri"/>
        <family val="2"/>
        <charset val="204"/>
        <scheme val="minor"/>
      </rPr>
      <t>пребыв.</t>
    </r>
  </si>
  <si>
    <t>Обозначения</t>
  </si>
  <si>
    <t>— интервалы времени между поступлением заявок в систему</t>
  </si>
  <si>
    <t>— длительность (потребность) обслуживания поступившей заявки</t>
  </si>
  <si>
    <t>— моменты времени поступления заявки</t>
  </si>
  <si>
    <t>— длительность ожидания в очереди</t>
  </si>
  <si>
    <t>— моменты выхода заявок из системы</t>
  </si>
  <si>
    <t>— длительность пребывания заявки в системе</t>
  </si>
  <si>
    <t>λ=</t>
  </si>
  <si>
    <t>Интенсивность поступления заявок</t>
  </si>
  <si>
    <t>Интенсивность обслуживания</t>
  </si>
  <si>
    <t>μ=</t>
  </si>
  <si>
    <r>
      <t>r</t>
    </r>
    <r>
      <rPr>
        <b/>
        <vertAlign val="subscript"/>
        <sz val="11"/>
        <rFont val="Calibri"/>
        <family val="2"/>
        <charset val="204"/>
        <scheme val="minor"/>
      </rPr>
      <t>λ</t>
    </r>
  </si>
  <si>
    <t>`</t>
  </si>
  <si>
    <t>Среднее</t>
  </si>
  <si>
    <t>Стандартная ошибка</t>
  </si>
  <si>
    <t>Медиана</t>
  </si>
  <si>
    <t>Мода</t>
  </si>
  <si>
    <t>Стандартное отклонение</t>
  </si>
  <si>
    <t>Дисперсия выборки</t>
  </si>
  <si>
    <t>Эксцесс</t>
  </si>
  <si>
    <t>Асимметричность</t>
  </si>
  <si>
    <t>Интервал</t>
  </si>
  <si>
    <t>Минимум</t>
  </si>
  <si>
    <t>Максимум</t>
  </si>
  <si>
    <t>Сумма</t>
  </si>
  <si>
    <t>Счет</t>
  </si>
  <si>
    <t>K=</t>
  </si>
  <si>
    <t>h=</t>
  </si>
  <si>
    <t>Описательная статистика</t>
  </si>
  <si>
    <t>Карман</t>
  </si>
  <si>
    <t>Еще</t>
  </si>
  <si>
    <t>Частота</t>
  </si>
  <si>
    <t>Интегральный %</t>
  </si>
  <si>
    <t>Планирование эксперимента и получение уравнения регрессии</t>
  </si>
  <si>
    <r>
      <t>ρ=μ/</t>
    </r>
    <r>
      <rPr>
        <sz val="11"/>
        <color rgb="FF000000"/>
        <rFont val="Symbol"/>
        <family val="1"/>
        <charset val="2"/>
      </rPr>
      <t>l</t>
    </r>
  </si>
  <si>
    <t>μ</t>
  </si>
  <si>
    <t>y1</t>
  </si>
  <si>
    <t>y2</t>
  </si>
  <si>
    <t>y3</t>
  </si>
  <si>
    <t>y4</t>
  </si>
  <si>
    <t>y5</t>
  </si>
  <si>
    <t>yср</t>
  </si>
  <si>
    <t>Y</t>
  </si>
  <si>
    <t>X</t>
  </si>
  <si>
    <t>LNY</t>
  </si>
  <si>
    <t>LNX</t>
  </si>
  <si>
    <t>YL</t>
  </si>
  <si>
    <t>YR</t>
  </si>
  <si>
    <t>A=</t>
  </si>
  <si>
    <t>B=</t>
  </si>
  <si>
    <t>m=</t>
  </si>
  <si>
    <t>LNC=</t>
  </si>
  <si>
    <t>C=</t>
  </si>
  <si>
    <t>Δt српреб.</t>
  </si>
  <si>
    <t>Nпреб</t>
  </si>
  <si>
    <t>ВЫВОД ИТОГОВ</t>
  </si>
  <si>
    <t>Регрессионная статистика</t>
  </si>
  <si>
    <t>Множественный R</t>
  </si>
  <si>
    <t>R-квадрат</t>
  </si>
  <si>
    <t>Нормированный R-квадрат</t>
  </si>
  <si>
    <t>Наблюдения</t>
  </si>
  <si>
    <t>Дисперсионный анализ</t>
  </si>
  <si>
    <t>Регрессия</t>
  </si>
  <si>
    <t>Остаток</t>
  </si>
  <si>
    <t>Итого</t>
  </si>
  <si>
    <t>Y-пересечение</t>
  </si>
  <si>
    <t>df</t>
  </si>
  <si>
    <t>SS</t>
  </si>
  <si>
    <t>MS</t>
  </si>
  <si>
    <t>F</t>
  </si>
  <si>
    <t>Значимость F</t>
  </si>
  <si>
    <t>Коэффициенты</t>
  </si>
  <si>
    <t>t-статистика</t>
  </si>
  <si>
    <t>P-Значение</t>
  </si>
  <si>
    <t>Нижние 95%</t>
  </si>
  <si>
    <t>Верхние 95%</t>
  </si>
  <si>
    <t>Нижние 95,0%</t>
  </si>
  <si>
    <t>Верхние 95,0%</t>
  </si>
  <si>
    <t>Переменная X 1</t>
  </si>
  <si>
    <t>Δt срож.</t>
  </si>
  <si>
    <t>Nочер</t>
  </si>
  <si>
    <t>Δt српост.</t>
  </si>
  <si>
    <t>μср</t>
  </si>
  <si>
    <t>lср</t>
  </si>
  <si>
    <t>Δt сробсл.</t>
  </si>
  <si>
    <t>степеннаярегрессия</t>
  </si>
  <si>
    <t>линейная регрессия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</si>
</sst>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vertAlign val="subscript"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vertAlign val="subscript"/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4"/>
      <color rgb="FF000000"/>
      <name val="Calibri"/>
      <family val="2"/>
      <charset val="204"/>
    </font>
    <font>
      <sz val="11"/>
      <color rgb="FF000000"/>
      <name val="Symbol"/>
      <family val="1"/>
      <charset val="2"/>
    </font>
    <font>
      <b/>
      <i/>
      <sz val="11"/>
      <color rgb="FFFF0000"/>
      <name val="Calibri"/>
      <family val="2"/>
      <charset val="204"/>
    </font>
    <font>
      <b/>
      <sz val="11"/>
      <color rgb="FFFF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/>
    <xf numFmtId="0" fontId="5" fillId="2" borderId="1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right"/>
    </xf>
    <xf numFmtId="164" fontId="0" fillId="0" borderId="1" xfId="0" applyNumberFormat="1" applyBorder="1" applyAlignment="1">
      <alignment horizontal="right" vertical="center"/>
    </xf>
    <xf numFmtId="0" fontId="0" fillId="0" borderId="1" xfId="0" applyBorder="1"/>
    <xf numFmtId="0" fontId="0" fillId="4" borderId="1" xfId="0" applyFill="1" applyBorder="1"/>
    <xf numFmtId="0" fontId="0" fillId="4" borderId="11" xfId="0" applyFill="1" applyBorder="1"/>
    <xf numFmtId="10" fontId="0" fillId="0" borderId="1" xfId="0" applyNumberFormat="1" applyBorder="1"/>
    <xf numFmtId="0" fontId="9" fillId="0" borderId="0" xfId="0" applyFont="1"/>
    <xf numFmtId="0" fontId="10" fillId="0" borderId="0" xfId="0" applyFont="1"/>
    <xf numFmtId="0" fontId="7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/>
    </xf>
    <xf numFmtId="164" fontId="0" fillId="4" borderId="11" xfId="0" applyNumberFormat="1" applyFill="1" applyBorder="1"/>
    <xf numFmtId="164" fontId="0" fillId="0" borderId="11" xfId="0" applyNumberFormat="1" applyBorder="1"/>
    <xf numFmtId="164" fontId="0" fillId="4" borderId="14" xfId="0" applyNumberFormat="1" applyFill="1" applyBorder="1"/>
    <xf numFmtId="164" fontId="0" fillId="4" borderId="1" xfId="0" applyNumberFormat="1" applyFill="1" applyBorder="1"/>
    <xf numFmtId="164" fontId="0" fillId="0" borderId="11" xfId="0" applyNumberFormat="1" applyBorder="1" applyAlignment="1">
      <alignment horizontal="center"/>
    </xf>
    <xf numFmtId="164" fontId="0" fillId="0" borderId="4" xfId="0" applyNumberFormat="1" applyBorder="1" applyAlignment="1">
      <alignment horizontal="right"/>
    </xf>
    <xf numFmtId="164" fontId="0" fillId="4" borderId="1" xfId="0" applyNumberFormat="1" applyFill="1" applyBorder="1" applyAlignment="1">
      <alignment horizontal="right"/>
    </xf>
    <xf numFmtId="164" fontId="0" fillId="0" borderId="1" xfId="0" applyNumberFormat="1" applyBorder="1"/>
    <xf numFmtId="0" fontId="8" fillId="0" borderId="1" xfId="0" applyFont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0" fillId="2" borderId="1" xfId="0" applyFill="1" applyBorder="1"/>
    <xf numFmtId="2" fontId="0" fillId="0" borderId="1" xfId="0" applyNumberFormat="1" applyBorder="1"/>
    <xf numFmtId="0" fontId="0" fillId="2" borderId="1" xfId="0" applyFill="1" applyBorder="1" applyAlignment="1">
      <alignment horizontal="center"/>
    </xf>
    <xf numFmtId="2" fontId="9" fillId="0" borderId="1" xfId="0" applyNumberFormat="1" applyFont="1" applyBorder="1" applyAlignment="1">
      <alignment horizontal="center" vertical="center" wrapText="1"/>
    </xf>
    <xf numFmtId="2" fontId="9" fillId="5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" fillId="3" borderId="0" xfId="0" applyFont="1" applyFill="1" applyAlignment="1">
      <alignment horizontal="left" vertical="center"/>
    </xf>
    <xf numFmtId="0" fontId="1" fillId="3" borderId="8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left" vertical="center"/>
    </xf>
    <xf numFmtId="0" fontId="1" fillId="3" borderId="10" xfId="0" applyFont="1" applyFill="1" applyBorder="1" applyAlignment="1">
      <alignment horizontal="left" vertical="center"/>
    </xf>
    <xf numFmtId="0" fontId="0" fillId="3" borderId="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left" vertical="center"/>
    </xf>
    <xf numFmtId="0" fontId="1" fillId="3" borderId="7" xfId="0" applyFont="1" applyFill="1" applyBorder="1" applyAlignment="1">
      <alignment horizontal="left" vertical="center"/>
    </xf>
    <xf numFmtId="0" fontId="5" fillId="2" borderId="11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2" borderId="1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Диаграмма событий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6626314902130667E-2"/>
          <c:y val="0.14887342981138188"/>
          <c:w val="0.75253511382153793"/>
          <c:h val="0.68706734286943072"/>
        </c:manualLayout>
      </c:layout>
      <c:barChart>
        <c:barDir val="bar"/>
        <c:grouping val="stacked"/>
        <c:varyColors val="0"/>
        <c:ser>
          <c:idx val="0"/>
          <c:order val="0"/>
          <c:spPr>
            <a:noFill/>
            <a:ln>
              <a:solidFill>
                <a:schemeClr val="dk1">
                  <a:alpha val="0"/>
                </a:schemeClr>
              </a:solidFill>
            </a:ln>
          </c:spPr>
          <c:invertIfNegative val="0"/>
          <c:val>
            <c:numRef>
              <c:f>Лист1!$G$11:$G$30</c:f>
              <c:numCache>
                <c:formatCode>0.000</c:formatCode>
                <c:ptCount val="20"/>
                <c:pt idx="0">
                  <c:v>38.510603659003934</c:v>
                </c:pt>
                <c:pt idx="1">
                  <c:v>122.42656109743716</c:v>
                </c:pt>
                <c:pt idx="2">
                  <c:v>123.86790823356189</c:v>
                </c:pt>
                <c:pt idx="3">
                  <c:v>185.74501904793476</c:v>
                </c:pt>
                <c:pt idx="4">
                  <c:v>209.78173775735402</c:v>
                </c:pt>
                <c:pt idx="5">
                  <c:v>217.49555570957361</c:v>
                </c:pt>
                <c:pt idx="6">
                  <c:v>243.54725556623535</c:v>
                </c:pt>
                <c:pt idx="7">
                  <c:v>266.27884101194235</c:v>
                </c:pt>
                <c:pt idx="8">
                  <c:v>278.44916976589695</c:v>
                </c:pt>
                <c:pt idx="9">
                  <c:v>321.66414912368049</c:v>
                </c:pt>
                <c:pt idx="10">
                  <c:v>348.78603698044321</c:v>
                </c:pt>
                <c:pt idx="11">
                  <c:v>353.35963795997037</c:v>
                </c:pt>
                <c:pt idx="12">
                  <c:v>418.36824567480858</c:v>
                </c:pt>
                <c:pt idx="13">
                  <c:v>423.91989836348245</c:v>
                </c:pt>
                <c:pt idx="14">
                  <c:v>463.44316724463079</c:v>
                </c:pt>
                <c:pt idx="15">
                  <c:v>496.51582065762</c:v>
                </c:pt>
                <c:pt idx="16">
                  <c:v>509.98504550939765</c:v>
                </c:pt>
                <c:pt idx="17">
                  <c:v>512.11365259684135</c:v>
                </c:pt>
                <c:pt idx="18">
                  <c:v>535.97112067929083</c:v>
                </c:pt>
                <c:pt idx="19">
                  <c:v>543.77404539860561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5-446A-8E1B-D1B6D10EAC7F}"/>
            </c:ext>
          </c:extLst>
        </c:ser>
        <c:ser>
          <c:idx val="1"/>
          <c:order val="1"/>
          <c:invertIfNegative val="0"/>
          <c:val>
            <c:numRef>
              <c:f>Лист1!$K$11:$K$30</c:f>
              <c:numCache>
                <c:formatCode>0.000</c:formatCode>
                <c:ptCount val="20"/>
                <c:pt idx="0">
                  <c:v>25.644790369507504</c:v>
                </c:pt>
                <c:pt idx="1">
                  <c:v>13.759517091001371</c:v>
                </c:pt>
                <c:pt idx="2">
                  <c:v>48.766025194580592</c:v>
                </c:pt>
                <c:pt idx="3">
                  <c:v>2.179566991469045</c:v>
                </c:pt>
                <c:pt idx="4">
                  <c:v>11.146199692009674</c:v>
                </c:pt>
                <c:pt idx="5">
                  <c:v>78.001023854193789</c:v>
                </c:pt>
                <c:pt idx="6">
                  <c:v>68.713059214843923</c:v>
                </c:pt>
                <c:pt idx="7">
                  <c:v>54.365016340253419</c:v>
                </c:pt>
                <c:pt idx="8">
                  <c:v>43.499135215496665</c:v>
                </c:pt>
                <c:pt idx="9">
                  <c:v>17.86173017325342</c:v>
                </c:pt>
                <c:pt idx="10">
                  <c:v>24.911878117809977</c:v>
                </c:pt>
                <c:pt idx="11">
                  <c:v>46.606519682092937</c:v>
                </c:pt>
                <c:pt idx="12">
                  <c:v>9.4713289222373191</c:v>
                </c:pt>
                <c:pt idx="13">
                  <c:v>20.38188600484267</c:v>
                </c:pt>
                <c:pt idx="14">
                  <c:v>38.09930492931403</c:v>
                </c:pt>
                <c:pt idx="15">
                  <c:v>62.49016520048292</c:v>
                </c:pt>
                <c:pt idx="16">
                  <c:v>104.33697535232159</c:v>
                </c:pt>
                <c:pt idx="17">
                  <c:v>223.73167475710557</c:v>
                </c:pt>
                <c:pt idx="18">
                  <c:v>221.60797351624899</c:v>
                </c:pt>
                <c:pt idx="19">
                  <c:v>221.33520474270529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75-446A-8E1B-D1B6D10E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8091392"/>
        <c:axId val="188093568"/>
      </c:barChart>
      <c:catAx>
        <c:axId val="188091392"/>
        <c:scaling>
          <c:orientation val="minMax"/>
        </c:scaling>
        <c:delete val="0"/>
        <c:axPos val="l"/>
        <c:majorGridlines/>
        <c:title>
          <c:layout/>
          <c:overlay val="0"/>
          <c:txPr>
            <a:bodyPr rot="-5400000" vert="horz"/>
            <a:lstStyle/>
            <a:p>
              <a:pPr>
                <a:defRPr/>
              </a:pPr>
              <a:endParaRPr lang="ru-RU"/>
            </a:p>
          </c:txPr>
        </c:title>
        <c:majorTickMark val="out"/>
        <c:minorTickMark val="none"/>
        <c:tickLblPos val="nextTo"/>
        <c:crossAx val="188093568"/>
        <c:crosses val="autoZero"/>
        <c:auto val="1"/>
        <c:lblAlgn val="ctr"/>
        <c:lblOffset val="100"/>
        <c:noMultiLvlLbl val="0"/>
      </c:catAx>
      <c:valAx>
        <c:axId val="1880935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Время, сек</a:t>
                </a:r>
              </a:p>
            </c:rich>
          </c:tx>
          <c:layout/>
          <c:overlay val="0"/>
        </c:title>
        <c:numFmt formatCode="0.000" sourceLinked="1"/>
        <c:majorTickMark val="out"/>
        <c:minorTickMark val="none"/>
        <c:tickLblPos val="nextTo"/>
        <c:crossAx val="18809139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Лист2!$H$9:$H$23</c:f>
              <c:strCache>
                <c:ptCount val="15"/>
                <c:pt idx="0">
                  <c:v>0,079186474</c:v>
                </c:pt>
                <c:pt idx="1">
                  <c:v>25,7078365</c:v>
                </c:pt>
                <c:pt idx="2">
                  <c:v>51,33648652</c:v>
                </c:pt>
                <c:pt idx="3">
                  <c:v>76,96513654</c:v>
                </c:pt>
                <c:pt idx="4">
                  <c:v>102,5937866</c:v>
                </c:pt>
                <c:pt idx="5">
                  <c:v>128,2224366</c:v>
                </c:pt>
                <c:pt idx="6">
                  <c:v>153,8510866</c:v>
                </c:pt>
                <c:pt idx="7">
                  <c:v>179,4797366</c:v>
                </c:pt>
                <c:pt idx="8">
                  <c:v>205,1083866</c:v>
                </c:pt>
                <c:pt idx="9">
                  <c:v>230,7370367</c:v>
                </c:pt>
                <c:pt idx="10">
                  <c:v>256,3656867</c:v>
                </c:pt>
                <c:pt idx="11">
                  <c:v>281,9943367</c:v>
                </c:pt>
                <c:pt idx="12">
                  <c:v>307,6229867</c:v>
                </c:pt>
                <c:pt idx="13">
                  <c:v>333,2516368</c:v>
                </c:pt>
                <c:pt idx="14">
                  <c:v>Еще</c:v>
                </c:pt>
              </c:strCache>
            </c:strRef>
          </c:cat>
          <c:val>
            <c:numRef>
              <c:f>Лист2!$I$9:$I$23</c:f>
              <c:numCache>
                <c:formatCode>General</c:formatCode>
                <c:ptCount val="15"/>
                <c:pt idx="0">
                  <c:v>1</c:v>
                </c:pt>
                <c:pt idx="1">
                  <c:v>29</c:v>
                </c:pt>
                <c:pt idx="2">
                  <c:v>36</c:v>
                </c:pt>
                <c:pt idx="3">
                  <c:v>47</c:v>
                </c:pt>
                <c:pt idx="4">
                  <c:v>17</c:v>
                </c:pt>
                <c:pt idx="5">
                  <c:v>13</c:v>
                </c:pt>
                <c:pt idx="6">
                  <c:v>13</c:v>
                </c:pt>
                <c:pt idx="7">
                  <c:v>11</c:v>
                </c:pt>
                <c:pt idx="8">
                  <c:v>11</c:v>
                </c:pt>
                <c:pt idx="9">
                  <c:v>7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  <c:pt idx="13">
                  <c:v>4</c:v>
                </c:pt>
                <c:pt idx="1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F1-4B0B-BD88-0B3235EC8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8141936"/>
        <c:axId val="1308143184"/>
      </c:barChart>
      <c:lineChart>
        <c:grouping val="standard"/>
        <c:varyColors val="0"/>
        <c:ser>
          <c:idx val="1"/>
          <c:order val="1"/>
          <c:tx>
            <c:v>Интегральный %</c:v>
          </c:tx>
          <c:cat>
            <c:strRef>
              <c:f>Лист2!$H$9:$H$23</c:f>
              <c:strCache>
                <c:ptCount val="15"/>
                <c:pt idx="0">
                  <c:v>0,079186474</c:v>
                </c:pt>
                <c:pt idx="1">
                  <c:v>25,7078365</c:v>
                </c:pt>
                <c:pt idx="2">
                  <c:v>51,33648652</c:v>
                </c:pt>
                <c:pt idx="3">
                  <c:v>76,96513654</c:v>
                </c:pt>
                <c:pt idx="4">
                  <c:v>102,5937866</c:v>
                </c:pt>
                <c:pt idx="5">
                  <c:v>128,2224366</c:v>
                </c:pt>
                <c:pt idx="6">
                  <c:v>153,8510866</c:v>
                </c:pt>
                <c:pt idx="7">
                  <c:v>179,4797366</c:v>
                </c:pt>
                <c:pt idx="8">
                  <c:v>205,1083866</c:v>
                </c:pt>
                <c:pt idx="9">
                  <c:v>230,7370367</c:v>
                </c:pt>
                <c:pt idx="10">
                  <c:v>256,3656867</c:v>
                </c:pt>
                <c:pt idx="11">
                  <c:v>281,9943367</c:v>
                </c:pt>
                <c:pt idx="12">
                  <c:v>307,6229867</c:v>
                </c:pt>
                <c:pt idx="13">
                  <c:v>333,2516368</c:v>
                </c:pt>
                <c:pt idx="14">
                  <c:v>Еще</c:v>
                </c:pt>
              </c:strCache>
            </c:strRef>
          </c:cat>
          <c:val>
            <c:numRef>
              <c:f>Лист2!$J$9:$J$23</c:f>
              <c:numCache>
                <c:formatCode>0.00%</c:formatCode>
                <c:ptCount val="15"/>
                <c:pt idx="0">
                  <c:v>5.0000000000000001E-3</c:v>
                </c:pt>
                <c:pt idx="1">
                  <c:v>0.15</c:v>
                </c:pt>
                <c:pt idx="2">
                  <c:v>0.33</c:v>
                </c:pt>
                <c:pt idx="3">
                  <c:v>0.56499999999999995</c:v>
                </c:pt>
                <c:pt idx="4">
                  <c:v>0.65</c:v>
                </c:pt>
                <c:pt idx="5">
                  <c:v>0.71499999999999997</c:v>
                </c:pt>
                <c:pt idx="6">
                  <c:v>0.78</c:v>
                </c:pt>
                <c:pt idx="7">
                  <c:v>0.83499999999999996</c:v>
                </c:pt>
                <c:pt idx="8">
                  <c:v>0.89</c:v>
                </c:pt>
                <c:pt idx="9">
                  <c:v>0.92500000000000004</c:v>
                </c:pt>
                <c:pt idx="10">
                  <c:v>0.93500000000000005</c:v>
                </c:pt>
                <c:pt idx="11">
                  <c:v>0.94499999999999995</c:v>
                </c:pt>
                <c:pt idx="12">
                  <c:v>0.97</c:v>
                </c:pt>
                <c:pt idx="13">
                  <c:v>0.99</c:v>
                </c:pt>
                <c:pt idx="1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F1-4B0B-BD88-0B3235EC8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8107248"/>
        <c:axId val="1238103088"/>
      </c:lineChart>
      <c:catAx>
        <c:axId val="1308141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08143184"/>
        <c:crosses val="autoZero"/>
        <c:auto val="1"/>
        <c:lblAlgn val="ctr"/>
        <c:lblOffset val="100"/>
        <c:noMultiLvlLbl val="0"/>
      </c:catAx>
      <c:valAx>
        <c:axId val="13081431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08141936"/>
        <c:crosses val="autoZero"/>
        <c:crossBetween val="between"/>
      </c:valAx>
      <c:valAx>
        <c:axId val="12381030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1238107248"/>
        <c:crosses val="max"/>
        <c:crossBetween val="between"/>
      </c:valAx>
      <c:catAx>
        <c:axId val="1238107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8103088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Лист3!$D$5:$J$5</c:f>
              <c:numCache>
                <c:formatCode>0.00</c:formatCode>
                <c:ptCount val="7"/>
                <c:pt idx="0">
                  <c:v>2.7999999999999997E-2</c:v>
                </c:pt>
                <c:pt idx="1">
                  <c:v>3.2000000000000001E-2</c:v>
                </c:pt>
                <c:pt idx="2">
                  <c:v>3.6000000000000004E-2</c:v>
                </c:pt>
                <c:pt idx="3">
                  <c:v>0.04</c:v>
                </c:pt>
                <c:pt idx="4">
                  <c:v>4.4000000000000004E-2</c:v>
                </c:pt>
                <c:pt idx="5">
                  <c:v>4.8000000000000001E-2</c:v>
                </c:pt>
                <c:pt idx="6">
                  <c:v>5.2000000000000005E-2</c:v>
                </c:pt>
              </c:numCache>
            </c:numRef>
          </c:cat>
          <c:val>
            <c:numRef>
              <c:f>Лист3!$F$14:$F$20</c:f>
              <c:numCache>
                <c:formatCode>General</c:formatCode>
                <c:ptCount val="7"/>
                <c:pt idx="0">
                  <c:v>1050.2610633401314</c:v>
                </c:pt>
                <c:pt idx="1">
                  <c:v>848.78329962134467</c:v>
                </c:pt>
                <c:pt idx="2">
                  <c:v>647.30553590255818</c:v>
                </c:pt>
                <c:pt idx="3">
                  <c:v>445.82777218377191</c:v>
                </c:pt>
                <c:pt idx="4">
                  <c:v>244.35000846498542</c:v>
                </c:pt>
                <c:pt idx="5">
                  <c:v>42.872244746199158</c:v>
                </c:pt>
                <c:pt idx="6">
                  <c:v>-158.60551897258756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C4-4170-8181-0263367CE0C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Лист3!$D$5:$J$5</c:f>
              <c:numCache>
                <c:formatCode>0.00</c:formatCode>
                <c:ptCount val="7"/>
                <c:pt idx="0">
                  <c:v>2.7999999999999997E-2</c:v>
                </c:pt>
                <c:pt idx="1">
                  <c:v>3.2000000000000001E-2</c:v>
                </c:pt>
                <c:pt idx="2">
                  <c:v>3.6000000000000004E-2</c:v>
                </c:pt>
                <c:pt idx="3">
                  <c:v>0.04</c:v>
                </c:pt>
                <c:pt idx="4">
                  <c:v>4.4000000000000004E-2</c:v>
                </c:pt>
                <c:pt idx="5">
                  <c:v>4.8000000000000001E-2</c:v>
                </c:pt>
                <c:pt idx="6">
                  <c:v>5.2000000000000005E-2</c:v>
                </c:pt>
              </c:numCache>
            </c:numRef>
          </c:cat>
          <c:val>
            <c:numRef>
              <c:f>Лист3!$G$14:$G$20</c:f>
              <c:numCache>
                <c:formatCode>General</c:formatCode>
                <c:ptCount val="7"/>
                <c:pt idx="0">
                  <c:v>1507.0438822767539</c:v>
                </c:pt>
                <c:pt idx="1">
                  <c:v>746.16300336038523</c:v>
                </c:pt>
                <c:pt idx="2">
                  <c:v>401.37185793142169</c:v>
                </c:pt>
                <c:pt idx="3">
                  <c:v>230.49508762434101</c:v>
                </c:pt>
                <c:pt idx="4">
                  <c:v>139.55791235107912</c:v>
                </c:pt>
                <c:pt idx="5">
                  <c:v>88.271553066783184</c:v>
                </c:pt>
                <c:pt idx="6">
                  <c:v>57.918793516588728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C4-4170-8181-0263367CE0C3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Лист3!$D$5:$J$5</c:f>
              <c:numCache>
                <c:formatCode>0.00</c:formatCode>
                <c:ptCount val="7"/>
                <c:pt idx="0">
                  <c:v>2.7999999999999997E-2</c:v>
                </c:pt>
                <c:pt idx="1">
                  <c:v>3.2000000000000001E-2</c:v>
                </c:pt>
                <c:pt idx="2">
                  <c:v>3.6000000000000004E-2</c:v>
                </c:pt>
                <c:pt idx="3">
                  <c:v>0.04</c:v>
                </c:pt>
                <c:pt idx="4">
                  <c:v>4.4000000000000004E-2</c:v>
                </c:pt>
                <c:pt idx="5">
                  <c:v>4.8000000000000001E-2</c:v>
                </c:pt>
                <c:pt idx="6">
                  <c:v>5.2000000000000005E-2</c:v>
                </c:pt>
              </c:numCache>
            </c:numRef>
          </c:cat>
          <c:val>
            <c:numRef>
              <c:f>Лист3!$B$14:$B$20</c:f>
              <c:numCache>
                <c:formatCode>General</c:formatCode>
                <c:ptCount val="7"/>
                <c:pt idx="0">
                  <c:v>1321.8827212747285</c:v>
                </c:pt>
                <c:pt idx="1">
                  <c:v>870.42763710246857</c:v>
                </c:pt>
                <c:pt idx="2">
                  <c:v>431.67698414040677</c:v>
                </c:pt>
                <c:pt idx="3">
                  <c:v>202.98749042045725</c:v>
                </c:pt>
                <c:pt idx="4">
                  <c:v>143.07112338038121</c:v>
                </c:pt>
                <c:pt idx="5">
                  <c:v>98.513432240755378</c:v>
                </c:pt>
                <c:pt idx="6">
                  <c:v>52.23501672720603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C4-4170-8181-0263367CE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5508208"/>
        <c:axId val="1535509456"/>
      </c:lineChart>
      <c:catAx>
        <c:axId val="1535508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Интенсивность</a:t>
                </a:r>
                <a:r>
                  <a:rPr lang="ru-RU" baseline="0"/>
                  <a:t> обслуживания, 1/с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35509456"/>
        <c:crosses val="autoZero"/>
        <c:auto val="1"/>
        <c:lblAlgn val="ctr"/>
        <c:lblOffset val="100"/>
        <c:noMultiLvlLbl val="0"/>
      </c:catAx>
      <c:valAx>
        <c:axId val="153550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Время</a:t>
                </a:r>
                <a:r>
                  <a:rPr lang="ru-RU" baseline="0"/>
                  <a:t> пребывания, с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3550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8660</xdr:colOff>
      <xdr:row>11</xdr:row>
      <xdr:rowOff>13608</xdr:rowOff>
    </xdr:from>
    <xdr:to>
      <xdr:col>21</xdr:col>
      <xdr:colOff>584118</xdr:colOff>
      <xdr:row>29</xdr:row>
      <xdr:rowOff>168109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3</xdr:row>
          <xdr:rowOff>198120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35860</xdr:colOff>
      <xdr:row>1</xdr:row>
      <xdr:rowOff>17929</xdr:rowOff>
    </xdr:from>
    <xdr:to>
      <xdr:col>24</xdr:col>
      <xdr:colOff>566549</xdr:colOff>
      <xdr:row>9</xdr:row>
      <xdr:rowOff>116541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725836" y="197223"/>
          <a:ext cx="4188289" cy="16405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600076</xdr:colOff>
      <xdr:row>6</xdr:row>
      <xdr:rowOff>180974</xdr:rowOff>
    </xdr:from>
    <xdr:to>
      <xdr:col>22</xdr:col>
      <xdr:colOff>19050</xdr:colOff>
      <xdr:row>27</xdr:row>
      <xdr:rowOff>190499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133350</xdr:colOff>
      <xdr:row>12</xdr:row>
      <xdr:rowOff>142875</xdr:rowOff>
    </xdr:from>
    <xdr:ext cx="139065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4848225" y="2286000"/>
              <a:ext cx="139065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𝒀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𝑨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∙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𝑿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+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𝑩</m:t>
                    </m:r>
                  </m:oMath>
                </m:oMathPara>
              </a14:m>
              <a:endParaRPr lang="ru-RU" sz="11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2AE8F19C-6D86-41F5-B7EC-E0E55A42C428}"/>
                </a:ext>
              </a:extLst>
            </xdr:cNvPr>
            <xdr:cNvSpPr txBox="1"/>
          </xdr:nvSpPr>
          <xdr:spPr>
            <a:xfrm>
              <a:off x="4848225" y="2286000"/>
              <a:ext cx="139065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𝒀=𝑨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∙𝑿+𝑩</a:t>
              </a:r>
              <a:endParaRPr lang="ru-RU" sz="11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7</xdr:col>
      <xdr:colOff>83483</xdr:colOff>
      <xdr:row>14</xdr:row>
      <xdr:rowOff>132229</xdr:rowOff>
    </xdr:from>
    <xdr:ext cx="1400175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4789954" y="2696135"/>
              <a:ext cx="140017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𝒀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𝑪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∙</m:t>
                    </m:r>
                    <m:sSup>
                      <m:sSupPr>
                        <m:ctrlPr>
                          <a:rPr lang="en-US" sz="1100" b="1" i="1">
                            <a:solidFill>
                              <a:srgbClr val="FF0000"/>
                            </a:solidFill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pPr>
                      <m:e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𝑿</m:t>
                        </m:r>
                      </m:e>
                      <m:sup>
                        <m:r>
                          <a:rPr lang="en-US" sz="1100" b="1" i="1">
                            <a:solidFill>
                              <a:srgbClr val="FF0000"/>
                            </a:solidFill>
                            <a:latin typeface="Cambria Math"/>
                            <a:ea typeface="Cambria Math"/>
                          </a:rPr>
                          <m:t>𝒎</m:t>
                        </m:r>
                      </m:sup>
                    </m:sSup>
                  </m:oMath>
                </m:oMathPara>
              </a14:m>
              <a:endParaRPr lang="ru-RU" sz="11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4789954" y="2696135"/>
              <a:ext cx="1400175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𝒀=𝑪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∙𝑿</a:t>
              </a:r>
              <a:r>
                <a:rPr lang="en-US" sz="1100" b="1" i="0">
                  <a:solidFill>
                    <a:srgbClr val="FF0000"/>
                  </a:solidFill>
                  <a:latin typeface="Cambria Math" panose="02040503050406030204" pitchFamily="18" charset="0"/>
                  <a:ea typeface="Cambria Math"/>
                </a:rPr>
                <a:t>^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𝒎</a:t>
              </a:r>
              <a:endParaRPr lang="ru-RU" sz="11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oneCellAnchor>
    <xdr:from>
      <xdr:col>7</xdr:col>
      <xdr:colOff>228600</xdr:colOff>
      <xdr:row>16</xdr:row>
      <xdr:rowOff>38100</xdr:rowOff>
    </xdr:from>
    <xdr:ext cx="1638300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4943475" y="2943225"/>
              <a:ext cx="16383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𝑳𝑵𝒀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=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𝑳𝑵𝑪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+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</a:rPr>
                      <m:t>𝒎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∙</m:t>
                    </m:r>
                    <m:r>
                      <a:rPr lang="en-US" sz="1100" b="1" i="1">
                        <a:solidFill>
                          <a:srgbClr val="FF0000"/>
                        </a:solidFill>
                        <a:latin typeface="Cambria Math"/>
                        <a:ea typeface="Cambria Math"/>
                      </a:rPr>
                      <m:t>𝑳𝑵𝑿</m:t>
                    </m:r>
                  </m:oMath>
                </m:oMathPara>
              </a14:m>
              <a:endParaRPr lang="ru-RU" sz="1100" b="1">
                <a:solidFill>
                  <a:srgbClr val="FF0000"/>
                </a:solidFill>
              </a:endParaRPr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FD49CF67-08E8-429B-BB6C-F218D762B767}"/>
                </a:ext>
              </a:extLst>
            </xdr:cNvPr>
            <xdr:cNvSpPr txBox="1"/>
          </xdr:nvSpPr>
          <xdr:spPr>
            <a:xfrm>
              <a:off x="4943475" y="2943225"/>
              <a:ext cx="1638300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sz="1100" b="1" i="0">
                  <a:solidFill>
                    <a:srgbClr val="FF0000"/>
                  </a:solidFill>
                  <a:latin typeface="Cambria Math"/>
                </a:rPr>
                <a:t>𝑳𝑵𝒀=𝑳𝑵𝑪+𝒎</a:t>
              </a:r>
              <a:r>
                <a:rPr lang="en-US" sz="1100" b="1" i="0">
                  <a:solidFill>
                    <a:srgbClr val="FF0000"/>
                  </a:solidFill>
                  <a:latin typeface="Cambria Math"/>
                  <a:ea typeface="Cambria Math"/>
                </a:rPr>
                <a:t>∙𝑳𝑵𝑿</a:t>
              </a:r>
              <a:endParaRPr lang="ru-RU" sz="1100" b="1">
                <a:solidFill>
                  <a:srgbClr val="FF0000"/>
                </a:solidFill>
              </a:endParaRPr>
            </a:p>
          </xdr:txBody>
        </xdr:sp>
      </mc:Fallback>
    </mc:AlternateContent>
    <xdr:clientData/>
  </xdr:oneCellAnchor>
  <xdr:twoCellAnchor>
    <xdr:from>
      <xdr:col>1</xdr:col>
      <xdr:colOff>9525</xdr:colOff>
      <xdr:row>22</xdr:row>
      <xdr:rowOff>4762</xdr:rowOff>
    </xdr:from>
    <xdr:to>
      <xdr:col>8</xdr:col>
      <xdr:colOff>152400</xdr:colOff>
      <xdr:row>36</xdr:row>
      <xdr:rowOff>80962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2:Y214"/>
  <sheetViews>
    <sheetView tabSelected="1" topLeftCell="B1" zoomScale="85" zoomScaleNormal="85" workbookViewId="0">
      <selection activeCell="E213" sqref="E213"/>
    </sheetView>
  </sheetViews>
  <sheetFormatPr defaultRowHeight="14.4" x14ac:dyDescent="0.3"/>
  <cols>
    <col min="3" max="4" width="9.33203125" bestFit="1" customWidth="1"/>
    <col min="5" max="6" width="9.6640625" bestFit="1" customWidth="1"/>
    <col min="7" max="7" width="10.88671875" bestFit="1" customWidth="1"/>
    <col min="8" max="8" width="9.6640625" bestFit="1" customWidth="1"/>
    <col min="9" max="10" width="10.88671875" bestFit="1" customWidth="1"/>
    <col min="11" max="11" width="10.33203125" bestFit="1" customWidth="1"/>
  </cols>
  <sheetData>
    <row r="2" spans="2:25" x14ac:dyDescent="0.3">
      <c r="B2" s="45" t="s">
        <v>15</v>
      </c>
      <c r="C2" s="45"/>
      <c r="D2" s="45"/>
      <c r="E2" s="45"/>
      <c r="F2" s="45"/>
      <c r="G2" s="45"/>
      <c r="H2" s="45"/>
      <c r="I2" s="45"/>
      <c r="K2" s="46" t="s">
        <v>23</v>
      </c>
      <c r="L2" s="47"/>
      <c r="M2" s="47"/>
      <c r="N2" s="48"/>
      <c r="S2" s="36"/>
      <c r="T2" s="36"/>
      <c r="U2" s="36"/>
      <c r="V2" s="36"/>
      <c r="W2" s="36"/>
      <c r="X2" s="36"/>
      <c r="Y2" s="36"/>
    </row>
    <row r="3" spans="2:25" ht="15.6" x14ac:dyDescent="0.3">
      <c r="B3" s="3" t="s">
        <v>1</v>
      </c>
      <c r="C3" s="56" t="s">
        <v>16</v>
      </c>
      <c r="D3" s="56"/>
      <c r="E3" s="56"/>
      <c r="F3" s="56"/>
      <c r="G3" s="56"/>
      <c r="H3" s="56"/>
      <c r="I3" s="57"/>
      <c r="J3" s="1"/>
      <c r="K3" s="49" t="s">
        <v>22</v>
      </c>
      <c r="L3" s="50"/>
      <c r="M3" s="51">
        <v>0.04</v>
      </c>
      <c r="N3" s="52"/>
      <c r="S3" s="36"/>
      <c r="T3" s="36"/>
      <c r="U3" s="36"/>
      <c r="V3" s="36"/>
      <c r="W3" s="36"/>
      <c r="X3" s="36"/>
      <c r="Y3" s="36"/>
    </row>
    <row r="4" spans="2:25" ht="15.6" x14ac:dyDescent="0.3">
      <c r="B4" s="4" t="s">
        <v>2</v>
      </c>
      <c r="C4" s="37" t="s">
        <v>17</v>
      </c>
      <c r="D4" s="37"/>
      <c r="E4" s="37"/>
      <c r="F4" s="37"/>
      <c r="G4" s="37"/>
      <c r="H4" s="37"/>
      <c r="I4" s="38"/>
      <c r="J4" s="1"/>
      <c r="K4" s="1"/>
      <c r="S4" s="36"/>
      <c r="T4" s="36"/>
      <c r="U4" s="36"/>
      <c r="V4" s="36"/>
      <c r="W4" s="36"/>
      <c r="X4" s="36"/>
      <c r="Y4" s="36"/>
    </row>
    <row r="5" spans="2:25" ht="15.6" x14ac:dyDescent="0.3">
      <c r="B5" s="4" t="s">
        <v>3</v>
      </c>
      <c r="C5" s="37" t="s">
        <v>18</v>
      </c>
      <c r="D5" s="37"/>
      <c r="E5" s="37"/>
      <c r="F5" s="37"/>
      <c r="G5" s="37"/>
      <c r="H5" s="37"/>
      <c r="I5" s="38"/>
      <c r="J5" s="1"/>
      <c r="K5" s="53" t="s">
        <v>24</v>
      </c>
      <c r="L5" s="54"/>
      <c r="M5" s="54"/>
      <c r="N5" s="55"/>
      <c r="S5" s="36"/>
      <c r="T5" s="36"/>
      <c r="U5" s="36"/>
      <c r="V5" s="36"/>
      <c r="W5" s="36"/>
      <c r="X5" s="36"/>
      <c r="Y5" s="36"/>
    </row>
    <row r="6" spans="2:25" ht="15.6" x14ac:dyDescent="0.3">
      <c r="B6" s="4" t="s">
        <v>4</v>
      </c>
      <c r="C6" s="37" t="s">
        <v>19</v>
      </c>
      <c r="D6" s="37"/>
      <c r="E6" s="37"/>
      <c r="F6" s="37"/>
      <c r="G6" s="37"/>
      <c r="H6" s="37"/>
      <c r="I6" s="38"/>
      <c r="J6" s="1"/>
      <c r="K6" s="43" t="s">
        <v>25</v>
      </c>
      <c r="L6" s="44"/>
      <c r="M6" s="41">
        <v>4.4999999999999998E-2</v>
      </c>
      <c r="N6" s="42"/>
      <c r="S6" s="36"/>
      <c r="T6" s="36"/>
      <c r="U6" s="36"/>
      <c r="V6" s="36"/>
      <c r="W6" s="36"/>
      <c r="X6" s="36"/>
      <c r="Y6" s="36"/>
    </row>
    <row r="7" spans="2:25" ht="15.6" x14ac:dyDescent="0.3">
      <c r="B7" s="4" t="s">
        <v>5</v>
      </c>
      <c r="C7" s="37" t="s">
        <v>20</v>
      </c>
      <c r="D7" s="37"/>
      <c r="E7" s="37"/>
      <c r="F7" s="37"/>
      <c r="G7" s="37"/>
      <c r="H7" s="37"/>
      <c r="I7" s="38"/>
      <c r="J7" s="1"/>
      <c r="K7" s="1"/>
      <c r="S7" s="36"/>
      <c r="T7" s="36"/>
      <c r="U7" s="36"/>
      <c r="V7" s="36"/>
      <c r="W7" s="36"/>
      <c r="X7" s="36"/>
      <c r="Y7" s="36"/>
    </row>
    <row r="8" spans="2:25" ht="15.6" x14ac:dyDescent="0.3">
      <c r="B8" s="5" t="s">
        <v>6</v>
      </c>
      <c r="C8" s="39" t="s">
        <v>21</v>
      </c>
      <c r="D8" s="39"/>
      <c r="E8" s="39"/>
      <c r="F8" s="39"/>
      <c r="G8" s="39"/>
      <c r="H8" s="39"/>
      <c r="I8" s="40"/>
      <c r="J8" s="1"/>
      <c r="K8" s="1"/>
      <c r="S8" s="36"/>
      <c r="T8" s="36"/>
      <c r="U8" s="36"/>
      <c r="V8" s="36"/>
      <c r="W8" s="36"/>
      <c r="X8" s="36"/>
      <c r="Y8" s="36"/>
    </row>
    <row r="9" spans="2:25" x14ac:dyDescent="0.3">
      <c r="B9" s="1"/>
      <c r="C9" s="1"/>
      <c r="D9" s="1"/>
      <c r="E9" s="1"/>
      <c r="F9" s="1"/>
      <c r="G9" s="1"/>
      <c r="H9" s="1"/>
      <c r="I9" s="1"/>
      <c r="J9" s="1"/>
      <c r="K9" s="1"/>
      <c r="S9" s="36"/>
      <c r="T9" s="36"/>
      <c r="U9" s="36"/>
      <c r="V9" s="36"/>
      <c r="W9" s="36"/>
      <c r="X9" s="36"/>
      <c r="Y9" s="36"/>
    </row>
    <row r="10" spans="2:25" ht="15.6" x14ac:dyDescent="0.3">
      <c r="B10" s="2" t="s">
        <v>0</v>
      </c>
      <c r="C10" s="2" t="s">
        <v>26</v>
      </c>
      <c r="D10" s="2" t="s">
        <v>7</v>
      </c>
      <c r="E10" s="2" t="s">
        <v>8</v>
      </c>
      <c r="F10" s="2" t="s">
        <v>9</v>
      </c>
      <c r="G10" s="2" t="s">
        <v>10</v>
      </c>
      <c r="H10" s="2" t="s">
        <v>11</v>
      </c>
      <c r="I10" s="2" t="s">
        <v>12</v>
      </c>
      <c r="J10" s="2" t="s">
        <v>13</v>
      </c>
      <c r="K10" s="2" t="s">
        <v>14</v>
      </c>
      <c r="S10" s="36"/>
      <c r="T10" s="36"/>
      <c r="U10" s="36"/>
      <c r="V10" s="36"/>
      <c r="W10" s="36"/>
      <c r="X10" s="36"/>
      <c r="Y10" s="36"/>
    </row>
    <row r="11" spans="2:25" x14ac:dyDescent="0.3">
      <c r="B11" s="6">
        <v>1</v>
      </c>
      <c r="C11" s="8">
        <f ca="1">RAND()</f>
        <v>0.78570980825601033</v>
      </c>
      <c r="D11" s="8">
        <f ca="1">RAND()</f>
        <v>0.68463215723044257</v>
      </c>
      <c r="E11" s="8">
        <f ca="1">(1/$M$3)*LN(1/(1-C11))</f>
        <v>38.510603659003934</v>
      </c>
      <c r="F11" s="8">
        <f ca="1">(1/$M$6)*LN(1/(1-D11))</f>
        <v>25.644790369507501</v>
      </c>
      <c r="G11" s="8">
        <f ca="1">E11</f>
        <v>38.510603659003934</v>
      </c>
      <c r="H11" s="8">
        <v>0</v>
      </c>
      <c r="I11" s="8">
        <f ca="1">G11+H11</f>
        <v>38.510603659003934</v>
      </c>
      <c r="J11" s="8">
        <f ca="1">I11+F11</f>
        <v>64.155394028511438</v>
      </c>
      <c r="K11" s="8">
        <f ca="1">J11-G11</f>
        <v>25.644790369507504</v>
      </c>
    </row>
    <row r="12" spans="2:25" x14ac:dyDescent="0.3">
      <c r="B12" s="6">
        <v>2</v>
      </c>
      <c r="C12" s="8">
        <f ca="1">RAND()</f>
        <v>0.96514777495726878</v>
      </c>
      <c r="D12" s="8">
        <f ca="1">RAND()</f>
        <v>0.4616133351648033</v>
      </c>
      <c r="E12" s="8">
        <f t="shared" ref="E12:E75" ca="1" si="0">(1/$M$3)*LN(1/(1-C12))</f>
        <v>83.915957438433225</v>
      </c>
      <c r="F12" s="8">
        <f t="shared" ref="F12:F75" ca="1" si="1">(1/$M$6)*LN(1/(1-D12))</f>
        <v>13.759517091001376</v>
      </c>
      <c r="G12" s="8">
        <f ca="1">G11+E12</f>
        <v>122.42656109743716</v>
      </c>
      <c r="H12" s="8">
        <f ca="1">IF(J11&gt;G12,J11-G12,0)</f>
        <v>0</v>
      </c>
      <c r="I12" s="8">
        <f ca="1">G12+H12</f>
        <v>122.42656109743716</v>
      </c>
      <c r="J12" s="8">
        <f ca="1">I12+F12</f>
        <v>136.18607818843853</v>
      </c>
      <c r="K12" s="8">
        <f ca="1">J12-G12</f>
        <v>13.759517091001371</v>
      </c>
    </row>
    <row r="13" spans="2:25" x14ac:dyDescent="0.3">
      <c r="B13" s="6">
        <v>3</v>
      </c>
      <c r="C13" s="7">
        <f t="shared" ref="C13:D43" ca="1" si="2">RAND()</f>
        <v>5.6023385052629604E-2</v>
      </c>
      <c r="D13" s="7">
        <f t="shared" ca="1" si="2"/>
        <v>0.80604972860373603</v>
      </c>
      <c r="E13" s="8">
        <f t="shared" ca="1" si="0"/>
        <v>1.4413471361247336</v>
      </c>
      <c r="F13" s="8">
        <f t="shared" ca="1" si="1"/>
        <v>36.447855239703969</v>
      </c>
      <c r="G13" s="7">
        <f t="shared" ref="G13:G76" ca="1" si="3">E13+G12</f>
        <v>123.86790823356189</v>
      </c>
      <c r="H13" s="7">
        <f t="shared" ref="H13:H76" ca="1" si="4">IF(J12&gt;G13,J12-G13,0)</f>
        <v>12.318169954876637</v>
      </c>
      <c r="I13" s="7">
        <f t="shared" ref="I13:I76" ca="1" si="5">G13+H13</f>
        <v>136.18607818843853</v>
      </c>
      <c r="J13" s="7">
        <f t="shared" ref="J13" ca="1" si="6">F13+I13</f>
        <v>172.63393342814248</v>
      </c>
      <c r="K13" s="7">
        <f t="shared" ref="K13:K75" ca="1" si="7">J13-G13</f>
        <v>48.766025194580592</v>
      </c>
    </row>
    <row r="14" spans="2:25" x14ac:dyDescent="0.3">
      <c r="B14" s="6">
        <v>4</v>
      </c>
      <c r="C14" s="7">
        <f t="shared" ca="1" si="2"/>
        <v>0.91584411554068501</v>
      </c>
      <c r="D14" s="7">
        <f t="shared" ca="1" si="2"/>
        <v>9.3424091795865305E-2</v>
      </c>
      <c r="E14" s="8">
        <f t="shared" ca="1" si="0"/>
        <v>61.877110814372884</v>
      </c>
      <c r="F14" s="8">
        <f t="shared" ca="1" si="1"/>
        <v>2.1795669914690552</v>
      </c>
      <c r="G14" s="7">
        <f t="shared" ca="1" si="3"/>
        <v>185.74501904793476</v>
      </c>
      <c r="H14" s="7">
        <f t="shared" ca="1" si="4"/>
        <v>0</v>
      </c>
      <c r="I14" s="7">
        <f t="shared" ca="1" si="5"/>
        <v>185.74501904793476</v>
      </c>
      <c r="J14" s="7">
        <f t="shared" ref="J14" ca="1" si="8">F14+I14</f>
        <v>187.92458603940381</v>
      </c>
      <c r="K14" s="7">
        <f t="shared" ca="1" si="7"/>
        <v>2.179566991469045</v>
      </c>
    </row>
    <row r="15" spans="2:25" x14ac:dyDescent="0.3">
      <c r="B15" s="6">
        <v>5</v>
      </c>
      <c r="C15" s="7">
        <f t="shared" ca="1" si="2"/>
        <v>0.61766907453932129</v>
      </c>
      <c r="D15" s="7">
        <f t="shared" ca="1" si="2"/>
        <v>0.3944262880903211</v>
      </c>
      <c r="E15" s="8">
        <f t="shared" ca="1" si="0"/>
        <v>24.036718709419254</v>
      </c>
      <c r="F15" s="8">
        <f t="shared" ca="1" si="1"/>
        <v>11.146199692009665</v>
      </c>
      <c r="G15" s="7">
        <f t="shared" ca="1" si="3"/>
        <v>209.78173775735402</v>
      </c>
      <c r="H15" s="7">
        <f t="shared" ca="1" si="4"/>
        <v>0</v>
      </c>
      <c r="I15" s="7">
        <f t="shared" ca="1" si="5"/>
        <v>209.78173775735402</v>
      </c>
      <c r="J15" s="7">
        <f t="shared" ref="J15" ca="1" si="9">F15+I15</f>
        <v>220.9279374493637</v>
      </c>
      <c r="K15" s="7">
        <f t="shared" ca="1" si="7"/>
        <v>11.146199692009674</v>
      </c>
    </row>
    <row r="16" spans="2:25" x14ac:dyDescent="0.3">
      <c r="B16" s="6">
        <v>6</v>
      </c>
      <c r="C16" s="7">
        <f t="shared" ca="1" si="2"/>
        <v>0.26549077074428129</v>
      </c>
      <c r="D16" s="7">
        <f t="shared" ca="1" si="2"/>
        <v>0.96511118175190092</v>
      </c>
      <c r="E16" s="8">
        <f t="shared" ca="1" si="0"/>
        <v>7.713817952219598</v>
      </c>
      <c r="F16" s="8">
        <f t="shared" ca="1" si="1"/>
        <v>74.568642114403687</v>
      </c>
      <c r="G16" s="7">
        <f t="shared" ca="1" si="3"/>
        <v>217.49555570957361</v>
      </c>
      <c r="H16" s="7">
        <f t="shared" ca="1" si="4"/>
        <v>3.4323817397900882</v>
      </c>
      <c r="I16" s="7">
        <f t="shared" ca="1" si="5"/>
        <v>220.9279374493637</v>
      </c>
      <c r="J16" s="7">
        <f t="shared" ref="J16" ca="1" si="10">F16+I16</f>
        <v>295.4965795637674</v>
      </c>
      <c r="K16" s="7">
        <f t="shared" ca="1" si="7"/>
        <v>78.001023854193789</v>
      </c>
    </row>
    <row r="17" spans="2:11" x14ac:dyDescent="0.3">
      <c r="B17" s="6">
        <v>7</v>
      </c>
      <c r="C17" s="7">
        <f t="shared" ca="1" si="2"/>
        <v>0.64727550502549269</v>
      </c>
      <c r="D17" s="7">
        <f t="shared" ca="1" si="2"/>
        <v>0.52969228454664996</v>
      </c>
      <c r="E17" s="8">
        <f t="shared" ca="1" si="0"/>
        <v>26.051699856661752</v>
      </c>
      <c r="F17" s="8">
        <f t="shared" ca="1" si="1"/>
        <v>16.763735217311854</v>
      </c>
      <c r="G17" s="7">
        <f t="shared" ca="1" si="3"/>
        <v>243.54725556623535</v>
      </c>
      <c r="H17" s="7">
        <f t="shared" ca="1" si="4"/>
        <v>51.949323997532048</v>
      </c>
      <c r="I17" s="7">
        <f t="shared" ca="1" si="5"/>
        <v>295.4965795637674</v>
      </c>
      <c r="J17" s="7">
        <f t="shared" ref="J17" ca="1" si="11">F17+I17</f>
        <v>312.26031478107927</v>
      </c>
      <c r="K17" s="7">
        <f t="shared" ca="1" si="7"/>
        <v>68.713059214843923</v>
      </c>
    </row>
    <row r="18" spans="2:11" x14ac:dyDescent="0.3">
      <c r="B18" s="6">
        <v>8</v>
      </c>
      <c r="C18" s="7">
        <f t="shared" ca="1" si="2"/>
        <v>0.59717917457701764</v>
      </c>
      <c r="D18" s="7">
        <f t="shared" ca="1" si="2"/>
        <v>0.31426184042471539</v>
      </c>
      <c r="E18" s="8">
        <f t="shared" ca="1" si="0"/>
        <v>22.731585445706987</v>
      </c>
      <c r="F18" s="8">
        <f t="shared" ca="1" si="1"/>
        <v>8.3835425711165001</v>
      </c>
      <c r="G18" s="7">
        <f t="shared" ca="1" si="3"/>
        <v>266.27884101194235</v>
      </c>
      <c r="H18" s="7">
        <f t="shared" ca="1" si="4"/>
        <v>45.981473769136926</v>
      </c>
      <c r="I18" s="7">
        <f t="shared" ca="1" si="5"/>
        <v>312.26031478107927</v>
      </c>
      <c r="J18" s="7">
        <f t="shared" ref="J18" ca="1" si="12">F18+I18</f>
        <v>320.64385735219577</v>
      </c>
      <c r="K18" s="7">
        <f t="shared" ca="1" si="7"/>
        <v>54.365016340253419</v>
      </c>
    </row>
    <row r="19" spans="2:11" x14ac:dyDescent="0.3">
      <c r="B19" s="6">
        <v>9</v>
      </c>
      <c r="C19" s="7">
        <f t="shared" ca="1" si="2"/>
        <v>0.38541814326039314</v>
      </c>
      <c r="D19" s="7">
        <f t="shared" ca="1" si="2"/>
        <v>5.7010511529620445E-2</v>
      </c>
      <c r="E19" s="8">
        <f t="shared" ca="1" si="0"/>
        <v>12.170328753954628</v>
      </c>
      <c r="F19" s="8">
        <f t="shared" ca="1" si="1"/>
        <v>1.3044476291978622</v>
      </c>
      <c r="G19" s="7">
        <f t="shared" ca="1" si="3"/>
        <v>278.44916976589695</v>
      </c>
      <c r="H19" s="7">
        <f t="shared" ca="1" si="4"/>
        <v>42.194687586298812</v>
      </c>
      <c r="I19" s="7">
        <f t="shared" ca="1" si="5"/>
        <v>320.64385735219577</v>
      </c>
      <c r="J19" s="7">
        <f t="shared" ref="J19" ca="1" si="13">F19+I19</f>
        <v>321.94830498139362</v>
      </c>
      <c r="K19" s="7">
        <f t="shared" ca="1" si="7"/>
        <v>43.499135215496665</v>
      </c>
    </row>
    <row r="20" spans="2:11" x14ac:dyDescent="0.3">
      <c r="B20" s="6">
        <v>10</v>
      </c>
      <c r="C20" s="7">
        <f t="shared" ca="1" si="2"/>
        <v>0.82246707144947095</v>
      </c>
      <c r="D20" s="7">
        <f t="shared" ca="1" si="2"/>
        <v>0.5466046714878946</v>
      </c>
      <c r="E20" s="8">
        <f t="shared" ca="1" si="0"/>
        <v>43.214979357783527</v>
      </c>
      <c r="F20" s="8">
        <f t="shared" ca="1" si="1"/>
        <v>17.577574315540303</v>
      </c>
      <c r="G20" s="7">
        <f t="shared" ca="1" si="3"/>
        <v>321.66414912368049</v>
      </c>
      <c r="H20" s="7">
        <f t="shared" ca="1" si="4"/>
        <v>0.2841558577131309</v>
      </c>
      <c r="I20" s="7">
        <f t="shared" ca="1" si="5"/>
        <v>321.94830498139362</v>
      </c>
      <c r="J20" s="7">
        <f t="shared" ref="J20" ca="1" si="14">F20+I20</f>
        <v>339.52587929693391</v>
      </c>
      <c r="K20" s="7">
        <f t="shared" ca="1" si="7"/>
        <v>17.86173017325342</v>
      </c>
    </row>
    <row r="21" spans="2:11" x14ac:dyDescent="0.3">
      <c r="B21" s="6">
        <v>11</v>
      </c>
      <c r="C21" s="7">
        <f t="shared" ca="1" si="2"/>
        <v>0.66205614753668418</v>
      </c>
      <c r="D21" s="7">
        <f t="shared" ca="1" si="2"/>
        <v>0.67405757228135132</v>
      </c>
      <c r="E21" s="8">
        <f t="shared" ca="1" si="0"/>
        <v>27.121887856762726</v>
      </c>
      <c r="F21" s="8">
        <f t="shared" ca="1" si="1"/>
        <v>24.911878117809984</v>
      </c>
      <c r="G21" s="7">
        <f t="shared" ca="1" si="3"/>
        <v>348.78603698044321</v>
      </c>
      <c r="H21" s="7">
        <f t="shared" ca="1" si="4"/>
        <v>0</v>
      </c>
      <c r="I21" s="7">
        <f t="shared" ca="1" si="5"/>
        <v>348.78603698044321</v>
      </c>
      <c r="J21" s="7">
        <f t="shared" ref="J21" ca="1" si="15">F21+I21</f>
        <v>373.69791509825319</v>
      </c>
      <c r="K21" s="7">
        <f t="shared" ca="1" si="7"/>
        <v>24.911878117809977</v>
      </c>
    </row>
    <row r="22" spans="2:11" x14ac:dyDescent="0.3">
      <c r="B22" s="6">
        <v>12</v>
      </c>
      <c r="C22" s="7">
        <f t="shared" ca="1" si="2"/>
        <v>0.16718524057097028</v>
      </c>
      <c r="D22" s="7">
        <f t="shared" ca="1" si="2"/>
        <v>0.69335695092889538</v>
      </c>
      <c r="E22" s="8">
        <f t="shared" ca="1" si="0"/>
        <v>4.5736009795271508</v>
      </c>
      <c r="F22" s="8">
        <f t="shared" ca="1" si="1"/>
        <v>26.268242543810114</v>
      </c>
      <c r="G22" s="7">
        <f t="shared" ca="1" si="3"/>
        <v>353.35963795997037</v>
      </c>
      <c r="H22" s="7">
        <f t="shared" ca="1" si="4"/>
        <v>20.33827713828282</v>
      </c>
      <c r="I22" s="7">
        <f t="shared" ca="1" si="5"/>
        <v>373.69791509825319</v>
      </c>
      <c r="J22" s="7">
        <f t="shared" ref="J22" ca="1" si="16">F22+I22</f>
        <v>399.96615764206331</v>
      </c>
      <c r="K22" s="7">
        <f t="shared" ca="1" si="7"/>
        <v>46.606519682092937</v>
      </c>
    </row>
    <row r="23" spans="2:11" x14ac:dyDescent="0.3">
      <c r="B23" s="6">
        <v>13</v>
      </c>
      <c r="C23" s="7">
        <f t="shared" ca="1" si="2"/>
        <v>0.92575199041491552</v>
      </c>
      <c r="D23" s="7">
        <f t="shared" ca="1" si="2"/>
        <v>0.34702066829502087</v>
      </c>
      <c r="E23" s="8">
        <f t="shared" ca="1" si="0"/>
        <v>65.008607714838234</v>
      </c>
      <c r="F23" s="8">
        <f t="shared" ca="1" si="1"/>
        <v>9.4713289222372943</v>
      </c>
      <c r="G23" s="7">
        <f t="shared" ca="1" si="3"/>
        <v>418.36824567480858</v>
      </c>
      <c r="H23" s="7">
        <f t="shared" ca="1" si="4"/>
        <v>0</v>
      </c>
      <c r="I23" s="7">
        <f t="shared" ca="1" si="5"/>
        <v>418.36824567480858</v>
      </c>
      <c r="J23" s="7">
        <f t="shared" ref="J23" ca="1" si="17">F23+I23</f>
        <v>427.8395745970459</v>
      </c>
      <c r="K23" s="7">
        <f t="shared" ca="1" si="7"/>
        <v>9.4713289222373191</v>
      </c>
    </row>
    <row r="24" spans="2:11" x14ac:dyDescent="0.3">
      <c r="B24" s="6">
        <v>14</v>
      </c>
      <c r="C24" s="7">
        <f t="shared" ca="1" si="2"/>
        <v>0.19913758046535113</v>
      </c>
      <c r="D24" s="7">
        <f t="shared" ca="1" si="2"/>
        <v>0.52326735586601603</v>
      </c>
      <c r="E24" s="8">
        <f t="shared" ca="1" si="0"/>
        <v>5.5516526886738822</v>
      </c>
      <c r="F24" s="8">
        <f t="shared" ca="1" si="1"/>
        <v>16.462209771279227</v>
      </c>
      <c r="G24" s="7">
        <f t="shared" ca="1" si="3"/>
        <v>423.91989836348245</v>
      </c>
      <c r="H24" s="7">
        <f t="shared" ca="1" si="4"/>
        <v>3.9196762335634503</v>
      </c>
      <c r="I24" s="7">
        <f t="shared" ca="1" si="5"/>
        <v>427.8395745970459</v>
      </c>
      <c r="J24" s="7">
        <f t="shared" ref="J24" ca="1" si="18">F24+I24</f>
        <v>444.30178436832512</v>
      </c>
      <c r="K24" s="7">
        <f t="shared" ca="1" si="7"/>
        <v>20.38188600484267</v>
      </c>
    </row>
    <row r="25" spans="2:11" x14ac:dyDescent="0.3">
      <c r="B25" s="6">
        <v>15</v>
      </c>
      <c r="C25" s="7">
        <f t="shared" ca="1" si="2"/>
        <v>0.79421652500731377</v>
      </c>
      <c r="D25" s="7">
        <f t="shared" ca="1" si="2"/>
        <v>0.81994064308626102</v>
      </c>
      <c r="E25" s="8">
        <f t="shared" ca="1" si="0"/>
        <v>39.52326888114834</v>
      </c>
      <c r="F25" s="8">
        <f t="shared" ca="1" si="1"/>
        <v>38.099304929314009</v>
      </c>
      <c r="G25" s="7">
        <f t="shared" ca="1" si="3"/>
        <v>463.44316724463079</v>
      </c>
      <c r="H25" s="7">
        <f t="shared" ca="1" si="4"/>
        <v>0</v>
      </c>
      <c r="I25" s="7">
        <f t="shared" ca="1" si="5"/>
        <v>463.44316724463079</v>
      </c>
      <c r="J25" s="7">
        <f t="shared" ref="J25" ca="1" si="19">F25+I25</f>
        <v>501.54247217394482</v>
      </c>
      <c r="K25" s="7">
        <f t="shared" ca="1" si="7"/>
        <v>38.09930492931403</v>
      </c>
    </row>
    <row r="26" spans="2:11" x14ac:dyDescent="0.3">
      <c r="B26" s="6">
        <v>16</v>
      </c>
      <c r="C26" s="7">
        <f t="shared" ca="1" si="2"/>
        <v>0.73363990271994384</v>
      </c>
      <c r="D26" s="7">
        <f t="shared" ca="1" si="2"/>
        <v>0.92466859121357259</v>
      </c>
      <c r="E26" s="8">
        <f t="shared" ca="1" si="0"/>
        <v>33.072653412989204</v>
      </c>
      <c r="F26" s="8">
        <f t="shared" ca="1" si="1"/>
        <v>57.463513684158109</v>
      </c>
      <c r="G26" s="7">
        <f t="shared" ca="1" si="3"/>
        <v>496.51582065762</v>
      </c>
      <c r="H26" s="7">
        <f t="shared" ca="1" si="4"/>
        <v>5.0266515163248187</v>
      </c>
      <c r="I26" s="7">
        <f t="shared" ca="1" si="5"/>
        <v>501.54247217394482</v>
      </c>
      <c r="J26" s="7">
        <f t="shared" ref="J26" ca="1" si="20">F26+I26</f>
        <v>559.00598585810292</v>
      </c>
      <c r="K26" s="7">
        <f t="shared" ca="1" si="7"/>
        <v>62.49016520048292</v>
      </c>
    </row>
    <row r="27" spans="2:11" x14ac:dyDescent="0.3">
      <c r="B27" s="6">
        <v>17</v>
      </c>
      <c r="C27" s="7">
        <f t="shared" ca="1" si="2"/>
        <v>0.41653393934980953</v>
      </c>
      <c r="D27" s="7">
        <f t="shared" ca="1" si="2"/>
        <v>0.91702546912161997</v>
      </c>
      <c r="E27" s="8">
        <f t="shared" ca="1" si="0"/>
        <v>13.469224851777664</v>
      </c>
      <c r="F27" s="8">
        <f t="shared" ca="1" si="1"/>
        <v>55.316035003616328</v>
      </c>
      <c r="G27" s="7">
        <f t="shared" ca="1" si="3"/>
        <v>509.98504550939765</v>
      </c>
      <c r="H27" s="7">
        <f t="shared" ca="1" si="4"/>
        <v>49.020940348705267</v>
      </c>
      <c r="I27" s="7">
        <f t="shared" ca="1" si="5"/>
        <v>559.00598585810292</v>
      </c>
      <c r="J27" s="7">
        <f t="shared" ref="J27" ca="1" si="21">F27+I27</f>
        <v>614.32202086171924</v>
      </c>
      <c r="K27" s="7">
        <f t="shared" ca="1" si="7"/>
        <v>104.33697535232159</v>
      </c>
    </row>
    <row r="28" spans="2:11" x14ac:dyDescent="0.3">
      <c r="B28" s="6">
        <v>18</v>
      </c>
      <c r="C28" s="7">
        <f t="shared" ca="1" si="2"/>
        <v>8.1620232203450938E-2</v>
      </c>
      <c r="D28" s="7">
        <f t="shared" ca="1" si="2"/>
        <v>0.99578265203225591</v>
      </c>
      <c r="E28" s="8">
        <f t="shared" ca="1" si="0"/>
        <v>2.128607087443696</v>
      </c>
      <c r="F28" s="8">
        <f t="shared" ca="1" si="1"/>
        <v>121.52330649222766</v>
      </c>
      <c r="G28" s="7">
        <f t="shared" ca="1" si="3"/>
        <v>512.11365259684135</v>
      </c>
      <c r="H28" s="7">
        <f t="shared" ca="1" si="4"/>
        <v>102.20836826487789</v>
      </c>
      <c r="I28" s="7">
        <f t="shared" ca="1" si="5"/>
        <v>614.32202086171924</v>
      </c>
      <c r="J28" s="7">
        <f t="shared" ref="J28" ca="1" si="22">F28+I28</f>
        <v>735.84532735394691</v>
      </c>
      <c r="K28" s="7">
        <f t="shared" ca="1" si="7"/>
        <v>223.73167475710557</v>
      </c>
    </row>
    <row r="29" spans="2:11" x14ac:dyDescent="0.3">
      <c r="B29" s="6">
        <v>19</v>
      </c>
      <c r="C29" s="7">
        <f t="shared" ca="1" si="2"/>
        <v>0.61491790101007582</v>
      </c>
      <c r="D29" s="7">
        <f t="shared" ca="1" si="2"/>
        <v>0.62394486393492987</v>
      </c>
      <c r="E29" s="8">
        <f t="shared" ca="1" si="0"/>
        <v>23.857468082449433</v>
      </c>
      <c r="F29" s="8">
        <f t="shared" ca="1" si="1"/>
        <v>21.73376684159291</v>
      </c>
      <c r="G29" s="7">
        <f t="shared" ca="1" si="3"/>
        <v>535.97112067929083</v>
      </c>
      <c r="H29" s="7">
        <f t="shared" ca="1" si="4"/>
        <v>199.87420667465608</v>
      </c>
      <c r="I29" s="7">
        <f t="shared" ca="1" si="5"/>
        <v>735.84532735394691</v>
      </c>
      <c r="J29" s="7">
        <f t="shared" ref="J29" ca="1" si="23">F29+I29</f>
        <v>757.57909419553982</v>
      </c>
      <c r="K29" s="7">
        <f t="shared" ca="1" si="7"/>
        <v>221.60797351624899</v>
      </c>
    </row>
    <row r="30" spans="2:11" x14ac:dyDescent="0.3">
      <c r="B30" s="6">
        <v>20</v>
      </c>
      <c r="C30" s="7">
        <f t="shared" ca="1" si="2"/>
        <v>0.26810410038334487</v>
      </c>
      <c r="D30" s="7">
        <f t="shared" ca="1" si="2"/>
        <v>0.28741567114822997</v>
      </c>
      <c r="E30" s="8">
        <f t="shared" ca="1" si="0"/>
        <v>7.8029247193148255</v>
      </c>
      <c r="F30" s="8">
        <f t="shared" ca="1" si="1"/>
        <v>7.5301559457710603</v>
      </c>
      <c r="G30" s="7">
        <f t="shared" ca="1" si="3"/>
        <v>543.77404539860561</v>
      </c>
      <c r="H30" s="7">
        <f t="shared" ca="1" si="4"/>
        <v>213.80504879693422</v>
      </c>
      <c r="I30" s="7">
        <f t="shared" ca="1" si="5"/>
        <v>757.57909419553982</v>
      </c>
      <c r="J30" s="7">
        <f t="shared" ref="J30" ca="1" si="24">F30+I30</f>
        <v>765.10925014131089</v>
      </c>
      <c r="K30" s="7">
        <f t="shared" ca="1" si="7"/>
        <v>221.33520474270529</v>
      </c>
    </row>
    <row r="31" spans="2:11" x14ac:dyDescent="0.3">
      <c r="B31" s="6">
        <v>21</v>
      </c>
      <c r="C31" s="7">
        <f t="shared" ca="1" si="2"/>
        <v>0.66627344552232182</v>
      </c>
      <c r="D31" s="7">
        <f t="shared" ca="1" si="2"/>
        <v>3.1237872100409292E-2</v>
      </c>
      <c r="E31" s="8">
        <f t="shared" ca="1" si="0"/>
        <v>27.435833012281442</v>
      </c>
      <c r="F31" s="8">
        <f t="shared" ca="1" si="1"/>
        <v>0.70524842823968015</v>
      </c>
      <c r="G31" s="7">
        <f t="shared" ca="1" si="3"/>
        <v>571.20987841088709</v>
      </c>
      <c r="H31" s="7">
        <f t="shared" ca="1" si="4"/>
        <v>193.89937173042381</v>
      </c>
      <c r="I31" s="7">
        <f t="shared" ca="1" si="5"/>
        <v>765.10925014131089</v>
      </c>
      <c r="J31" s="7">
        <f t="shared" ref="J31" ca="1" si="25">F31+I31</f>
        <v>765.81449856955055</v>
      </c>
      <c r="K31" s="7">
        <f t="shared" ca="1" si="7"/>
        <v>194.60462015866347</v>
      </c>
    </row>
    <row r="32" spans="2:11" x14ac:dyDescent="0.3">
      <c r="B32" s="6">
        <v>22</v>
      </c>
      <c r="C32" s="7">
        <f t="shared" ca="1" si="2"/>
        <v>0.31332433942431892</v>
      </c>
      <c r="D32" s="7">
        <f t="shared" ca="1" si="2"/>
        <v>0.41936985192834142</v>
      </c>
      <c r="E32" s="8">
        <f t="shared" ca="1" si="0"/>
        <v>9.3973302006661967</v>
      </c>
      <c r="F32" s="8">
        <f t="shared" ca="1" si="1"/>
        <v>12.08091784493481</v>
      </c>
      <c r="G32" s="7">
        <f t="shared" ca="1" si="3"/>
        <v>580.60720861155323</v>
      </c>
      <c r="H32" s="7">
        <f t="shared" ca="1" si="4"/>
        <v>185.20728995799732</v>
      </c>
      <c r="I32" s="7">
        <f t="shared" ca="1" si="5"/>
        <v>765.81449856955055</v>
      </c>
      <c r="J32" s="7">
        <f t="shared" ref="J32" ca="1" si="26">F32+I32</f>
        <v>777.89541641448534</v>
      </c>
      <c r="K32" s="7">
        <f t="shared" ca="1" si="7"/>
        <v>197.28820780293211</v>
      </c>
    </row>
    <row r="33" spans="2:25" x14ac:dyDescent="0.3">
      <c r="B33" s="6">
        <v>23</v>
      </c>
      <c r="C33" s="7">
        <f t="shared" ca="1" si="2"/>
        <v>0.57869956776536857</v>
      </c>
      <c r="D33" s="7">
        <f t="shared" ca="1" si="2"/>
        <v>0.21214963526586761</v>
      </c>
      <c r="E33" s="8">
        <f t="shared" ca="1" si="0"/>
        <v>21.610227101079776</v>
      </c>
      <c r="F33" s="8">
        <f t="shared" ca="1" si="1"/>
        <v>5.2988244361220174</v>
      </c>
      <c r="G33" s="7">
        <f t="shared" ca="1" si="3"/>
        <v>602.21743571263301</v>
      </c>
      <c r="H33" s="7">
        <f t="shared" ca="1" si="4"/>
        <v>175.67798070185233</v>
      </c>
      <c r="I33" s="7">
        <f t="shared" ca="1" si="5"/>
        <v>777.89541641448534</v>
      </c>
      <c r="J33" s="7">
        <f t="shared" ref="J33" ca="1" si="27">F33+I33</f>
        <v>783.19424085060734</v>
      </c>
      <c r="K33" s="7">
        <f t="shared" ca="1" si="7"/>
        <v>180.97680513797434</v>
      </c>
    </row>
    <row r="34" spans="2:25" x14ac:dyDescent="0.3">
      <c r="B34" s="6">
        <v>24</v>
      </c>
      <c r="C34" s="7">
        <f t="shared" ca="1" si="2"/>
        <v>0.93971729790872294</v>
      </c>
      <c r="D34" s="7">
        <f t="shared" ca="1" si="2"/>
        <v>0.82863903303940656</v>
      </c>
      <c r="E34" s="8">
        <f t="shared" ca="1" si="0"/>
        <v>70.2177520140079</v>
      </c>
      <c r="F34" s="8">
        <f t="shared" ca="1" si="1"/>
        <v>39.199622876400298</v>
      </c>
      <c r="G34" s="7">
        <f t="shared" ca="1" si="3"/>
        <v>672.43518772664095</v>
      </c>
      <c r="H34" s="7">
        <f t="shared" ca="1" si="4"/>
        <v>110.7590531239664</v>
      </c>
      <c r="I34" s="7">
        <f t="shared" ca="1" si="5"/>
        <v>783.19424085060734</v>
      </c>
      <c r="J34" s="7">
        <f t="shared" ref="J34" ca="1" si="28">F34+I34</f>
        <v>822.39386372700767</v>
      </c>
      <c r="K34" s="7">
        <f t="shared" ca="1" si="7"/>
        <v>149.95867600036672</v>
      </c>
    </row>
    <row r="35" spans="2:25" x14ac:dyDescent="0.3">
      <c r="B35" s="6">
        <v>25</v>
      </c>
      <c r="C35" s="7">
        <f t="shared" ca="1" si="2"/>
        <v>0.64845042445642354</v>
      </c>
      <c r="D35" s="7">
        <f t="shared" ca="1" si="2"/>
        <v>0.63167398920642182</v>
      </c>
      <c r="E35" s="8">
        <f t="shared" ca="1" si="0"/>
        <v>26.135113443083519</v>
      </c>
      <c r="F35" s="8">
        <f t="shared" ca="1" si="1"/>
        <v>22.195262979876386</v>
      </c>
      <c r="G35" s="7">
        <f t="shared" ca="1" si="3"/>
        <v>698.57030116972442</v>
      </c>
      <c r="H35" s="7">
        <f t="shared" ca="1" si="4"/>
        <v>123.82356255728325</v>
      </c>
      <c r="I35" s="7">
        <f t="shared" ca="1" si="5"/>
        <v>822.39386372700767</v>
      </c>
      <c r="J35" s="7">
        <f t="shared" ref="J35" ca="1" si="29">F35+I35</f>
        <v>844.58912670688403</v>
      </c>
      <c r="K35" s="7">
        <f t="shared" ca="1" si="7"/>
        <v>146.01882553715961</v>
      </c>
    </row>
    <row r="36" spans="2:25" x14ac:dyDescent="0.3">
      <c r="B36" s="6">
        <v>26</v>
      </c>
      <c r="C36" s="7">
        <f t="shared" ca="1" si="2"/>
        <v>0.5279000405875004</v>
      </c>
      <c r="D36" s="7">
        <f t="shared" ca="1" si="2"/>
        <v>0.58338978512901107</v>
      </c>
      <c r="E36" s="8">
        <f t="shared" ca="1" si="0"/>
        <v>18.764113435053805</v>
      </c>
      <c r="F36" s="8">
        <f t="shared" ca="1" si="1"/>
        <v>19.457871796496772</v>
      </c>
      <c r="G36" s="7">
        <f t="shared" ca="1" si="3"/>
        <v>717.3344146047782</v>
      </c>
      <c r="H36" s="7">
        <f t="shared" ca="1" si="4"/>
        <v>127.25471210210583</v>
      </c>
      <c r="I36" s="7">
        <f t="shared" ca="1" si="5"/>
        <v>844.58912670688403</v>
      </c>
      <c r="J36" s="7">
        <f t="shared" ref="J36" ca="1" si="30">F36+I36</f>
        <v>864.04699850338079</v>
      </c>
      <c r="K36" s="7">
        <f t="shared" ca="1" si="7"/>
        <v>146.71258389860259</v>
      </c>
    </row>
    <row r="37" spans="2:25" x14ac:dyDescent="0.3">
      <c r="B37" s="6">
        <v>27</v>
      </c>
      <c r="C37" s="7">
        <f t="shared" ca="1" si="2"/>
        <v>0.98408006260323333</v>
      </c>
      <c r="D37" s="7">
        <f t="shared" ca="1" si="2"/>
        <v>0.52366588758448585</v>
      </c>
      <c r="E37" s="8">
        <f t="shared" ca="1" si="0"/>
        <v>103.50457577343836</v>
      </c>
      <c r="F37" s="8">
        <f t="shared" ca="1" si="1"/>
        <v>16.480794536440261</v>
      </c>
      <c r="G37" s="7">
        <f t="shared" ca="1" si="3"/>
        <v>820.83899037821652</v>
      </c>
      <c r="H37" s="7">
        <f t="shared" ca="1" si="4"/>
        <v>43.20800812516427</v>
      </c>
      <c r="I37" s="7">
        <f t="shared" ca="1" si="5"/>
        <v>864.04699850338079</v>
      </c>
      <c r="J37" s="7">
        <f t="shared" ref="J37" ca="1" si="31">F37+I37</f>
        <v>880.52779303982106</v>
      </c>
      <c r="K37" s="7">
        <f t="shared" ca="1" si="7"/>
        <v>59.688802661604541</v>
      </c>
    </row>
    <row r="38" spans="2:25" x14ac:dyDescent="0.3">
      <c r="B38" s="6">
        <v>28</v>
      </c>
      <c r="C38" s="7">
        <f t="shared" ca="1" si="2"/>
        <v>0.73365412060515744</v>
      </c>
      <c r="D38" s="7">
        <f t="shared" ca="1" si="2"/>
        <v>0.98956786310026645</v>
      </c>
      <c r="E38" s="8">
        <f t="shared" ca="1" si="0"/>
        <v>33.073987909488167</v>
      </c>
      <c r="F38" s="8">
        <f t="shared" ca="1" si="1"/>
        <v>101.39698112948146</v>
      </c>
      <c r="G38" s="7">
        <f t="shared" ca="1" si="3"/>
        <v>853.91297828770473</v>
      </c>
      <c r="H38" s="7">
        <f t="shared" ca="1" si="4"/>
        <v>26.614814752116331</v>
      </c>
      <c r="I38" s="7">
        <f t="shared" ca="1" si="5"/>
        <v>880.52779303982106</v>
      </c>
      <c r="J38" s="7">
        <f t="shared" ref="J38" ca="1" si="32">F38+I38</f>
        <v>981.92477416930251</v>
      </c>
      <c r="K38" s="7">
        <f t="shared" ca="1" si="7"/>
        <v>128.01179588159778</v>
      </c>
      <c r="Y38" t="s">
        <v>27</v>
      </c>
    </row>
    <row r="39" spans="2:25" x14ac:dyDescent="0.3">
      <c r="B39" s="6">
        <v>29</v>
      </c>
      <c r="C39" s="7">
        <f t="shared" ca="1" si="2"/>
        <v>0.1987978136678783</v>
      </c>
      <c r="D39" s="7">
        <f t="shared" ca="1" si="2"/>
        <v>0.68487005731440376</v>
      </c>
      <c r="E39" s="8">
        <f t="shared" ca="1" si="0"/>
        <v>5.5410486593069468</v>
      </c>
      <c r="F39" s="8">
        <f t="shared" ca="1" si="1"/>
        <v>25.661560194573717</v>
      </c>
      <c r="G39" s="7">
        <f t="shared" ca="1" si="3"/>
        <v>859.4540269470117</v>
      </c>
      <c r="H39" s="7">
        <f t="shared" ca="1" si="4"/>
        <v>122.47074722229081</v>
      </c>
      <c r="I39" s="7">
        <f t="shared" ca="1" si="5"/>
        <v>981.92477416930251</v>
      </c>
      <c r="J39" s="7">
        <f t="shared" ref="J39" ca="1" si="33">F39+I39</f>
        <v>1007.5863343638762</v>
      </c>
      <c r="K39" s="7">
        <f t="shared" ca="1" si="7"/>
        <v>148.13230741686448</v>
      </c>
    </row>
    <row r="40" spans="2:25" x14ac:dyDescent="0.3">
      <c r="B40" s="6">
        <v>30</v>
      </c>
      <c r="C40" s="7">
        <f t="shared" ca="1" si="2"/>
        <v>0.61186946408659071</v>
      </c>
      <c r="D40" s="7">
        <f t="shared" ca="1" si="2"/>
        <v>0.40411071783463348</v>
      </c>
      <c r="E40" s="8">
        <f t="shared" ca="1" si="0"/>
        <v>23.660339079328949</v>
      </c>
      <c r="F40" s="8">
        <f t="shared" ca="1" si="1"/>
        <v>11.50445327450551</v>
      </c>
      <c r="G40" s="7">
        <f t="shared" ca="1" si="3"/>
        <v>883.11436602634069</v>
      </c>
      <c r="H40" s="7">
        <f t="shared" ca="1" si="4"/>
        <v>124.47196833753549</v>
      </c>
      <c r="I40" s="7">
        <f t="shared" ca="1" si="5"/>
        <v>1007.5863343638762</v>
      </c>
      <c r="J40" s="7">
        <f t="shared" ref="J40" ca="1" si="34">F40+I40</f>
        <v>1019.0907876383817</v>
      </c>
      <c r="K40" s="7">
        <f t="shared" ca="1" si="7"/>
        <v>135.97642161204101</v>
      </c>
    </row>
    <row r="41" spans="2:25" x14ac:dyDescent="0.3">
      <c r="B41" s="6">
        <v>31</v>
      </c>
      <c r="C41" s="7">
        <f t="shared" ca="1" si="2"/>
        <v>0.76327435363596918</v>
      </c>
      <c r="D41" s="7">
        <f t="shared" ca="1" si="2"/>
        <v>0.38159800819736456</v>
      </c>
      <c r="E41" s="8">
        <f t="shared" ca="1" si="0"/>
        <v>36.021335466841862</v>
      </c>
      <c r="F41" s="8">
        <f t="shared" ca="1" si="1"/>
        <v>10.680368018160536</v>
      </c>
      <c r="G41" s="7">
        <f t="shared" ca="1" si="3"/>
        <v>919.13570149318252</v>
      </c>
      <c r="H41" s="7">
        <f t="shared" ca="1" si="4"/>
        <v>99.955086145199175</v>
      </c>
      <c r="I41" s="7">
        <f t="shared" ca="1" si="5"/>
        <v>1019.0907876383817</v>
      </c>
      <c r="J41" s="7">
        <f t="shared" ref="J41" ca="1" si="35">F41+I41</f>
        <v>1029.7711556565423</v>
      </c>
      <c r="K41" s="7">
        <f t="shared" ca="1" si="7"/>
        <v>110.63545416335978</v>
      </c>
    </row>
    <row r="42" spans="2:25" x14ac:dyDescent="0.3">
      <c r="B42" s="6">
        <v>32</v>
      </c>
      <c r="C42" s="7">
        <f t="shared" ca="1" si="2"/>
        <v>0.53669251195254752</v>
      </c>
      <c r="D42" s="7">
        <f t="shared" ca="1" si="2"/>
        <v>0.60976040509433282</v>
      </c>
      <c r="E42" s="8">
        <f t="shared" ca="1" si="0"/>
        <v>19.234108106847163</v>
      </c>
      <c r="F42" s="8">
        <f t="shared" ca="1" si="1"/>
        <v>20.910986279548315</v>
      </c>
      <c r="G42" s="7">
        <f t="shared" ca="1" si="3"/>
        <v>938.36980960002973</v>
      </c>
      <c r="H42" s="7">
        <f t="shared" ca="1" si="4"/>
        <v>91.40134605651258</v>
      </c>
      <c r="I42" s="7">
        <f t="shared" ca="1" si="5"/>
        <v>1029.7711556565423</v>
      </c>
      <c r="J42" s="7">
        <f t="shared" ref="J42" ca="1" si="36">F42+I42</f>
        <v>1050.6821419360906</v>
      </c>
      <c r="K42" s="7">
        <f t="shared" ca="1" si="7"/>
        <v>112.31233233606088</v>
      </c>
    </row>
    <row r="43" spans="2:25" x14ac:dyDescent="0.3">
      <c r="B43" s="6">
        <v>33</v>
      </c>
      <c r="C43" s="7">
        <f t="shared" ca="1" si="2"/>
        <v>0.50882922529770502</v>
      </c>
      <c r="D43" s="7">
        <f t="shared" ca="1" si="2"/>
        <v>0.15148484344916158</v>
      </c>
      <c r="E43" s="8">
        <f t="shared" ca="1" si="0"/>
        <v>17.774085041879502</v>
      </c>
      <c r="F43" s="8">
        <f t="shared" ca="1" si="1"/>
        <v>3.6503851490799368</v>
      </c>
      <c r="G43" s="7">
        <f t="shared" ca="1" si="3"/>
        <v>956.14389464190924</v>
      </c>
      <c r="H43" s="7">
        <f t="shared" ca="1" si="4"/>
        <v>94.53824729418136</v>
      </c>
      <c r="I43" s="7">
        <f t="shared" ca="1" si="5"/>
        <v>1050.6821419360906</v>
      </c>
      <c r="J43" s="7">
        <f t="shared" ref="J43" ca="1" si="37">F43+I43</f>
        <v>1054.3325270851706</v>
      </c>
      <c r="K43" s="7">
        <f t="shared" ca="1" si="7"/>
        <v>98.188632443261326</v>
      </c>
    </row>
    <row r="44" spans="2:25" x14ac:dyDescent="0.3">
      <c r="B44" s="6">
        <v>34</v>
      </c>
      <c r="C44" s="7">
        <f t="shared" ref="C44:D75" ca="1" si="38">RAND()</f>
        <v>1.0700793082213389E-2</v>
      </c>
      <c r="D44" s="7">
        <f t="shared" ca="1" si="38"/>
        <v>0.54182082719137725</v>
      </c>
      <c r="E44" s="8">
        <f t="shared" ca="1" si="0"/>
        <v>0.26896145783141495</v>
      </c>
      <c r="F44" s="8">
        <f t="shared" ca="1" si="1"/>
        <v>17.344332541416332</v>
      </c>
      <c r="G44" s="7">
        <f t="shared" ca="1" si="3"/>
        <v>956.41285609974068</v>
      </c>
      <c r="H44" s="7">
        <f t="shared" ca="1" si="4"/>
        <v>97.919670985429889</v>
      </c>
      <c r="I44" s="7">
        <f t="shared" ca="1" si="5"/>
        <v>1054.3325270851706</v>
      </c>
      <c r="J44" s="7">
        <f t="shared" ref="J44" ca="1" si="39">F44+I44</f>
        <v>1071.676859626587</v>
      </c>
      <c r="K44" s="7">
        <f t="shared" ca="1" si="7"/>
        <v>115.2640035268463</v>
      </c>
    </row>
    <row r="45" spans="2:25" x14ac:dyDescent="0.3">
      <c r="B45" s="6">
        <v>35</v>
      </c>
      <c r="C45" s="7">
        <f t="shared" ca="1" si="38"/>
        <v>0.44541136143066351</v>
      </c>
      <c r="D45" s="7">
        <f t="shared" ca="1" si="38"/>
        <v>0.17540796545697879</v>
      </c>
      <c r="E45" s="8">
        <f t="shared" ca="1" si="0"/>
        <v>14.738215795527134</v>
      </c>
      <c r="F45" s="8">
        <f t="shared" ca="1" si="1"/>
        <v>4.2859226341976147</v>
      </c>
      <c r="G45" s="7">
        <f t="shared" ca="1" si="3"/>
        <v>971.15107189526782</v>
      </c>
      <c r="H45" s="7">
        <f t="shared" ca="1" si="4"/>
        <v>100.52578773131916</v>
      </c>
      <c r="I45" s="7">
        <f t="shared" ca="1" si="5"/>
        <v>1071.676859626587</v>
      </c>
      <c r="J45" s="7">
        <f t="shared" ref="J45" ca="1" si="40">F45+I45</f>
        <v>1075.9627822607845</v>
      </c>
      <c r="K45" s="7">
        <f t="shared" ca="1" si="7"/>
        <v>104.81171036551666</v>
      </c>
    </row>
    <row r="46" spans="2:25" x14ac:dyDescent="0.3">
      <c r="B46" s="6">
        <v>36</v>
      </c>
      <c r="C46" s="7">
        <f t="shared" ca="1" si="38"/>
        <v>0.93836644218070686</v>
      </c>
      <c r="D46" s="7">
        <f t="shared" ca="1" si="38"/>
        <v>0.96411487764698467</v>
      </c>
      <c r="E46" s="8">
        <f t="shared" ca="1" si="0"/>
        <v>69.663719674553448</v>
      </c>
      <c r="F46" s="8">
        <f t="shared" ca="1" si="1"/>
        <v>73.942944189317984</v>
      </c>
      <c r="G46" s="7">
        <f t="shared" ca="1" si="3"/>
        <v>1040.8147915698212</v>
      </c>
      <c r="H46" s="7">
        <f t="shared" ca="1" si="4"/>
        <v>35.147990690963297</v>
      </c>
      <c r="I46" s="7">
        <f t="shared" ca="1" si="5"/>
        <v>1075.9627822607845</v>
      </c>
      <c r="J46" s="7">
        <f t="shared" ref="J46" ca="1" si="41">F46+I46</f>
        <v>1149.9057264501025</v>
      </c>
      <c r="K46" s="7">
        <f t="shared" ca="1" si="7"/>
        <v>109.09093488028134</v>
      </c>
    </row>
    <row r="47" spans="2:25" x14ac:dyDescent="0.3">
      <c r="B47" s="6">
        <v>37</v>
      </c>
      <c r="C47" s="7">
        <f t="shared" ca="1" si="38"/>
        <v>0.49632856238758249</v>
      </c>
      <c r="D47" s="7">
        <f t="shared" ca="1" si="38"/>
        <v>0.15312932440482019</v>
      </c>
      <c r="E47" s="8">
        <f t="shared" ca="1" si="0"/>
        <v>17.145778324883342</v>
      </c>
      <c r="F47" s="8">
        <f t="shared" ca="1" si="1"/>
        <v>3.6934951385640735</v>
      </c>
      <c r="G47" s="7">
        <f t="shared" ca="1" si="3"/>
        <v>1057.9605698947046</v>
      </c>
      <c r="H47" s="7">
        <f t="shared" ca="1" si="4"/>
        <v>91.945156555397944</v>
      </c>
      <c r="I47" s="7">
        <f t="shared" ca="1" si="5"/>
        <v>1149.9057264501025</v>
      </c>
      <c r="J47" s="7">
        <f t="shared" ref="J47" ca="1" si="42">F47+I47</f>
        <v>1153.5992215886665</v>
      </c>
      <c r="K47" s="7">
        <f t="shared" ca="1" si="7"/>
        <v>95.638651693961947</v>
      </c>
    </row>
    <row r="48" spans="2:25" x14ac:dyDescent="0.3">
      <c r="B48" s="6">
        <v>38</v>
      </c>
      <c r="C48" s="7">
        <f t="shared" ca="1" si="38"/>
        <v>0.24021353304604132</v>
      </c>
      <c r="D48" s="7">
        <f t="shared" ca="1" si="38"/>
        <v>1.6322600434640844E-2</v>
      </c>
      <c r="E48" s="8">
        <f t="shared" ca="1" si="0"/>
        <v>6.8679462428488662</v>
      </c>
      <c r="F48" s="8">
        <f t="shared" ca="1" si="1"/>
        <v>0.36571737007302096</v>
      </c>
      <c r="G48" s="7">
        <f t="shared" ca="1" si="3"/>
        <v>1064.8285161375534</v>
      </c>
      <c r="H48" s="7">
        <f t="shared" ca="1" si="4"/>
        <v>88.770705451113145</v>
      </c>
      <c r="I48" s="7">
        <f t="shared" ca="1" si="5"/>
        <v>1153.5992215886665</v>
      </c>
      <c r="J48" s="7">
        <f t="shared" ref="J48" ca="1" si="43">F48+I48</f>
        <v>1153.9649389587396</v>
      </c>
      <c r="K48" s="7">
        <f t="shared" ca="1" si="7"/>
        <v>89.136422821186216</v>
      </c>
    </row>
    <row r="49" spans="2:11" x14ac:dyDescent="0.3">
      <c r="B49" s="6">
        <v>39</v>
      </c>
      <c r="C49" s="7">
        <f t="shared" ca="1" si="38"/>
        <v>0.45546855422518773</v>
      </c>
      <c r="D49" s="7">
        <f t="shared" ca="1" si="38"/>
        <v>9.0599163128408322E-2</v>
      </c>
      <c r="E49" s="8">
        <f t="shared" ca="1" si="0"/>
        <v>15.195739665603417</v>
      </c>
      <c r="F49" s="8">
        <f t="shared" ca="1" si="1"/>
        <v>2.1104292743507349</v>
      </c>
      <c r="G49" s="7">
        <f t="shared" ca="1" si="3"/>
        <v>1080.0242558031568</v>
      </c>
      <c r="H49" s="7">
        <f t="shared" ca="1" si="4"/>
        <v>73.940683155582747</v>
      </c>
      <c r="I49" s="7">
        <f t="shared" ca="1" si="5"/>
        <v>1153.9649389587396</v>
      </c>
      <c r="J49" s="7">
        <f t="shared" ref="J49" ca="1" si="44">F49+I49</f>
        <v>1156.0753682330903</v>
      </c>
      <c r="K49" s="7">
        <f t="shared" ca="1" si="7"/>
        <v>76.051112429933482</v>
      </c>
    </row>
    <row r="50" spans="2:11" x14ac:dyDescent="0.3">
      <c r="B50" s="6">
        <v>40</v>
      </c>
      <c r="C50" s="7">
        <f t="shared" ca="1" si="38"/>
        <v>0.78261972117045508</v>
      </c>
      <c r="D50" s="7">
        <f t="shared" ca="1" si="38"/>
        <v>0.74111032350715056</v>
      </c>
      <c r="E50" s="8">
        <f t="shared" ca="1" si="0"/>
        <v>38.152675554132813</v>
      </c>
      <c r="F50" s="8">
        <f t="shared" ca="1" si="1"/>
        <v>30.030072611470665</v>
      </c>
      <c r="G50" s="7">
        <f t="shared" ca="1" si="3"/>
        <v>1118.1769313572897</v>
      </c>
      <c r="H50" s="7">
        <f t="shared" ca="1" si="4"/>
        <v>37.898436875800599</v>
      </c>
      <c r="I50" s="7">
        <f t="shared" ca="1" si="5"/>
        <v>1156.0753682330903</v>
      </c>
      <c r="J50" s="7">
        <f t="shared" ref="J50" ca="1" si="45">F50+I50</f>
        <v>1186.1054408445609</v>
      </c>
      <c r="K50" s="7">
        <f t="shared" ca="1" si="7"/>
        <v>67.928509487271185</v>
      </c>
    </row>
    <row r="51" spans="2:11" x14ac:dyDescent="0.3">
      <c r="B51" s="6">
        <v>41</v>
      </c>
      <c r="C51" s="7">
        <f t="shared" ca="1" si="38"/>
        <v>0.50829642206406389</v>
      </c>
      <c r="D51" s="7">
        <f t="shared" ca="1" si="38"/>
        <v>0.34070226786179769</v>
      </c>
      <c r="E51" s="8">
        <f t="shared" ca="1" si="0"/>
        <v>17.746980698155383</v>
      </c>
      <c r="F51" s="8">
        <f t="shared" ca="1" si="1"/>
        <v>9.2573345038069661</v>
      </c>
      <c r="G51" s="7">
        <f t="shared" ca="1" si="3"/>
        <v>1135.923912055445</v>
      </c>
      <c r="H51" s="7">
        <f t="shared" ca="1" si="4"/>
        <v>50.181528789115873</v>
      </c>
      <c r="I51" s="7">
        <f t="shared" ca="1" si="5"/>
        <v>1186.1054408445609</v>
      </c>
      <c r="J51" s="7">
        <f t="shared" ref="J51" ca="1" si="46">F51+I51</f>
        <v>1195.3627753483679</v>
      </c>
      <c r="K51" s="7">
        <f t="shared" ca="1" si="7"/>
        <v>59.438863292922861</v>
      </c>
    </row>
    <row r="52" spans="2:11" x14ac:dyDescent="0.3">
      <c r="B52" s="6">
        <v>42</v>
      </c>
      <c r="C52" s="7">
        <f t="shared" ca="1" si="38"/>
        <v>0.29789225152409093</v>
      </c>
      <c r="D52" s="7">
        <f t="shared" ca="1" si="38"/>
        <v>0.26931008411392809</v>
      </c>
      <c r="E52" s="8">
        <f t="shared" ca="1" si="0"/>
        <v>8.8417099719240397</v>
      </c>
      <c r="F52" s="8">
        <f t="shared" ca="1" si="1"/>
        <v>6.9725800200315105</v>
      </c>
      <c r="G52" s="7">
        <f t="shared" ca="1" si="3"/>
        <v>1144.7656220273691</v>
      </c>
      <c r="H52" s="7">
        <f t="shared" ca="1" si="4"/>
        <v>50.597153320998814</v>
      </c>
      <c r="I52" s="7">
        <f t="shared" ca="1" si="5"/>
        <v>1195.3627753483679</v>
      </c>
      <c r="J52" s="7">
        <f t="shared" ref="J52" ca="1" si="47">F52+I52</f>
        <v>1202.3353553683994</v>
      </c>
      <c r="K52" s="7">
        <f t="shared" ca="1" si="7"/>
        <v>57.569733341030314</v>
      </c>
    </row>
    <row r="53" spans="2:11" x14ac:dyDescent="0.3">
      <c r="B53" s="6">
        <v>43</v>
      </c>
      <c r="C53" s="7">
        <f t="shared" ca="1" si="38"/>
        <v>0.38680664486179384</v>
      </c>
      <c r="D53" s="7">
        <f t="shared" ca="1" si="38"/>
        <v>0.20938816759512668</v>
      </c>
      <c r="E53" s="8">
        <f t="shared" ca="1" si="0"/>
        <v>12.226874210317966</v>
      </c>
      <c r="F53" s="8">
        <f t="shared" ca="1" si="1"/>
        <v>5.2210702637936768</v>
      </c>
      <c r="G53" s="7">
        <f t="shared" ca="1" si="3"/>
        <v>1156.992496237687</v>
      </c>
      <c r="H53" s="7">
        <f t="shared" ca="1" si="4"/>
        <v>45.342859130712441</v>
      </c>
      <c r="I53" s="7">
        <f t="shared" ca="1" si="5"/>
        <v>1202.3353553683994</v>
      </c>
      <c r="J53" s="7">
        <f t="shared" ref="J53" ca="1" si="48">F53+I53</f>
        <v>1207.5564256321932</v>
      </c>
      <c r="K53" s="7">
        <f t="shared" ca="1" si="7"/>
        <v>50.563929394506204</v>
      </c>
    </row>
    <row r="54" spans="2:11" x14ac:dyDescent="0.3">
      <c r="B54" s="6">
        <v>44</v>
      </c>
      <c r="C54" s="7">
        <f t="shared" ca="1" si="38"/>
        <v>0.71733857234259146</v>
      </c>
      <c r="D54" s="7">
        <f t="shared" ca="1" si="38"/>
        <v>0.54560679806368306</v>
      </c>
      <c r="E54" s="8">
        <f t="shared" ca="1" si="0"/>
        <v>31.587636656524271</v>
      </c>
      <c r="F54" s="8">
        <f t="shared" ca="1" si="1"/>
        <v>17.52871938254615</v>
      </c>
      <c r="G54" s="7">
        <f t="shared" ca="1" si="3"/>
        <v>1188.5801328942111</v>
      </c>
      <c r="H54" s="7">
        <f t="shared" ca="1" si="4"/>
        <v>18.976292737982021</v>
      </c>
      <c r="I54" s="7">
        <f t="shared" ca="1" si="5"/>
        <v>1207.5564256321932</v>
      </c>
      <c r="J54" s="7">
        <f t="shared" ref="J54" ca="1" si="49">F54+I54</f>
        <v>1225.0851450147393</v>
      </c>
      <c r="K54" s="7">
        <f t="shared" ca="1" si="7"/>
        <v>36.505012120528136</v>
      </c>
    </row>
    <row r="55" spans="2:11" x14ac:dyDescent="0.3">
      <c r="B55" s="6">
        <v>45</v>
      </c>
      <c r="C55" s="7">
        <f t="shared" ca="1" si="38"/>
        <v>0.51886187653264548</v>
      </c>
      <c r="D55" s="7">
        <f t="shared" ca="1" si="38"/>
        <v>0.2442761535263962</v>
      </c>
      <c r="E55" s="8">
        <f t="shared" ca="1" si="0"/>
        <v>18.290022278070854</v>
      </c>
      <c r="F55" s="8">
        <f t="shared" ca="1" si="1"/>
        <v>6.2239833772624342</v>
      </c>
      <c r="G55" s="7">
        <f t="shared" ca="1" si="3"/>
        <v>1206.870155172282</v>
      </c>
      <c r="H55" s="7">
        <f t="shared" ca="1" si="4"/>
        <v>18.214989842457271</v>
      </c>
      <c r="I55" s="7">
        <f t="shared" ca="1" si="5"/>
        <v>1225.0851450147393</v>
      </c>
      <c r="J55" s="7">
        <f t="shared" ref="J55" ca="1" si="50">F55+I55</f>
        <v>1231.3091283920016</v>
      </c>
      <c r="K55" s="7">
        <f t="shared" ca="1" si="7"/>
        <v>24.438973219719628</v>
      </c>
    </row>
    <row r="56" spans="2:11" x14ac:dyDescent="0.3">
      <c r="B56" s="6">
        <v>46</v>
      </c>
      <c r="C56" s="7">
        <f t="shared" ca="1" si="38"/>
        <v>0.536741257123168</v>
      </c>
      <c r="D56" s="7">
        <f t="shared" ca="1" si="38"/>
        <v>0.97573808797534523</v>
      </c>
      <c r="E56" s="8">
        <f t="shared" ca="1" si="0"/>
        <v>19.2367385270502</v>
      </c>
      <c r="F56" s="8">
        <f t="shared" ca="1" si="1"/>
        <v>82.641056993220772</v>
      </c>
      <c r="G56" s="7">
        <f t="shared" ca="1" si="3"/>
        <v>1226.1068936993322</v>
      </c>
      <c r="H56" s="7">
        <f t="shared" ca="1" si="4"/>
        <v>5.2022346926694354</v>
      </c>
      <c r="I56" s="7">
        <f t="shared" ca="1" si="5"/>
        <v>1231.3091283920016</v>
      </c>
      <c r="J56" s="7">
        <f t="shared" ref="J56" ca="1" si="51">F56+I56</f>
        <v>1313.9501853852223</v>
      </c>
      <c r="K56" s="7">
        <f t="shared" ca="1" si="7"/>
        <v>87.843291685890108</v>
      </c>
    </row>
    <row r="57" spans="2:11" x14ac:dyDescent="0.3">
      <c r="B57" s="6">
        <v>47</v>
      </c>
      <c r="C57" s="7">
        <f t="shared" ca="1" si="38"/>
        <v>0.6522698997806069</v>
      </c>
      <c r="D57" s="7">
        <f t="shared" ca="1" si="38"/>
        <v>0.29128243653243968</v>
      </c>
      <c r="E57" s="8">
        <f t="shared" ca="1" si="0"/>
        <v>26.408216855076049</v>
      </c>
      <c r="F57" s="8">
        <f t="shared" ca="1" si="1"/>
        <v>7.6510709070681218</v>
      </c>
      <c r="G57" s="7">
        <f t="shared" ca="1" si="3"/>
        <v>1252.5151105544082</v>
      </c>
      <c r="H57" s="7">
        <f t="shared" ca="1" si="4"/>
        <v>61.435074830814074</v>
      </c>
      <c r="I57" s="7">
        <f t="shared" ca="1" si="5"/>
        <v>1313.9501853852223</v>
      </c>
      <c r="J57" s="7">
        <f t="shared" ref="J57" ca="1" si="52">F57+I57</f>
        <v>1321.6012562922904</v>
      </c>
      <c r="K57" s="7">
        <f t="shared" ca="1" si="7"/>
        <v>69.086145737882134</v>
      </c>
    </row>
    <row r="58" spans="2:11" x14ac:dyDescent="0.3">
      <c r="B58" s="6">
        <v>48</v>
      </c>
      <c r="C58" s="7">
        <f t="shared" ca="1" si="38"/>
        <v>0.3708866022267866</v>
      </c>
      <c r="D58" s="7">
        <f t="shared" ca="1" si="38"/>
        <v>0.10210863122823366</v>
      </c>
      <c r="E58" s="8">
        <f t="shared" ca="1" si="0"/>
        <v>11.586093897558412</v>
      </c>
      <c r="F58" s="8">
        <f t="shared" ca="1" si="1"/>
        <v>2.3934708485502934</v>
      </c>
      <c r="G58" s="7">
        <f t="shared" ca="1" si="3"/>
        <v>1264.1012044519666</v>
      </c>
      <c r="H58" s="7">
        <f t="shared" ca="1" si="4"/>
        <v>57.500051840323749</v>
      </c>
      <c r="I58" s="7">
        <f t="shared" ca="1" si="5"/>
        <v>1321.6012562922904</v>
      </c>
      <c r="J58" s="7">
        <f t="shared" ref="J58" ca="1" si="53">F58+I58</f>
        <v>1323.9947271408407</v>
      </c>
      <c r="K58" s="7">
        <f t="shared" ca="1" si="7"/>
        <v>59.8935226888741</v>
      </c>
    </row>
    <row r="59" spans="2:11" x14ac:dyDescent="0.3">
      <c r="B59" s="6">
        <v>49</v>
      </c>
      <c r="C59" s="7">
        <f t="shared" ca="1" si="38"/>
        <v>0.33340622485148985</v>
      </c>
      <c r="D59" s="7">
        <f t="shared" ca="1" si="38"/>
        <v>0.32075026242044535</v>
      </c>
      <c r="E59" s="8">
        <f t="shared" ca="1" si="0"/>
        <v>10.139361284078875</v>
      </c>
      <c r="F59" s="8">
        <f t="shared" ca="1" si="1"/>
        <v>8.594809266984063</v>
      </c>
      <c r="G59" s="7">
        <f t="shared" ca="1" si="3"/>
        <v>1274.2405657360455</v>
      </c>
      <c r="H59" s="7">
        <f t="shared" ca="1" si="4"/>
        <v>49.754161404795241</v>
      </c>
      <c r="I59" s="7">
        <f t="shared" ca="1" si="5"/>
        <v>1323.9947271408407</v>
      </c>
      <c r="J59" s="7">
        <f t="shared" ref="J59" ca="1" si="54">F59+I59</f>
        <v>1332.5895364078249</v>
      </c>
      <c r="K59" s="7">
        <f t="shared" ca="1" si="7"/>
        <v>58.348970671779398</v>
      </c>
    </row>
    <row r="60" spans="2:11" x14ac:dyDescent="0.3">
      <c r="B60" s="6">
        <v>50</v>
      </c>
      <c r="C60" s="7">
        <f t="shared" ca="1" si="38"/>
        <v>0.71845332833630982</v>
      </c>
      <c r="D60" s="7">
        <f t="shared" ca="1" si="38"/>
        <v>0.75096588213776139</v>
      </c>
      <c r="E60" s="8">
        <f t="shared" ca="1" si="0"/>
        <v>31.686426220661684</v>
      </c>
      <c r="F60" s="8">
        <f t="shared" ca="1" si="1"/>
        <v>30.892563830592991</v>
      </c>
      <c r="G60" s="7">
        <f t="shared" ca="1" si="3"/>
        <v>1305.9269919567071</v>
      </c>
      <c r="H60" s="7">
        <f t="shared" ca="1" si="4"/>
        <v>26.66254445111781</v>
      </c>
      <c r="I60" s="7">
        <f t="shared" ca="1" si="5"/>
        <v>1332.5895364078249</v>
      </c>
      <c r="J60" s="7">
        <f t="shared" ref="J60" ca="1" si="55">F60+I60</f>
        <v>1363.4821002384178</v>
      </c>
      <c r="K60" s="7">
        <f t="shared" ca="1" si="7"/>
        <v>57.555108281710773</v>
      </c>
    </row>
    <row r="61" spans="2:11" x14ac:dyDescent="0.3">
      <c r="B61" s="6">
        <v>51</v>
      </c>
      <c r="C61" s="7">
        <f t="shared" ca="1" si="38"/>
        <v>0.37890920165540798</v>
      </c>
      <c r="D61" s="7">
        <f t="shared" ca="1" si="38"/>
        <v>1.633451925795959E-2</v>
      </c>
      <c r="E61" s="8">
        <f t="shared" ca="1" si="0"/>
        <v>11.906949865536722</v>
      </c>
      <c r="F61" s="8">
        <f t="shared" ca="1" si="1"/>
        <v>0.36598662943098181</v>
      </c>
      <c r="G61" s="7">
        <f t="shared" ca="1" si="3"/>
        <v>1317.8339418222438</v>
      </c>
      <c r="H61" s="7">
        <f t="shared" ca="1" si="4"/>
        <v>45.648158416174056</v>
      </c>
      <c r="I61" s="7">
        <f t="shared" ca="1" si="5"/>
        <v>1363.4821002384178</v>
      </c>
      <c r="J61" s="7">
        <f t="shared" ref="J61" ca="1" si="56">F61+I61</f>
        <v>1363.8480868678489</v>
      </c>
      <c r="K61" s="7">
        <f t="shared" ca="1" si="7"/>
        <v>46.014145045605119</v>
      </c>
    </row>
    <row r="62" spans="2:11" x14ac:dyDescent="0.3">
      <c r="B62" s="6">
        <v>52</v>
      </c>
      <c r="C62" s="7">
        <f t="shared" ca="1" si="38"/>
        <v>0.99745932629887391</v>
      </c>
      <c r="D62" s="7">
        <f t="shared" ca="1" si="38"/>
        <v>0.41327469697926522</v>
      </c>
      <c r="E62" s="8">
        <f t="shared" ca="1" si="0"/>
        <v>149.38314991142249</v>
      </c>
      <c r="F62" s="8">
        <f t="shared" ca="1" si="1"/>
        <v>11.848856361816733</v>
      </c>
      <c r="G62" s="7">
        <f t="shared" ca="1" si="3"/>
        <v>1467.2170917336662</v>
      </c>
      <c r="H62" s="7">
        <f t="shared" ca="1" si="4"/>
        <v>0</v>
      </c>
      <c r="I62" s="7">
        <f t="shared" ca="1" si="5"/>
        <v>1467.2170917336662</v>
      </c>
      <c r="J62" s="7">
        <f t="shared" ref="J62" ca="1" si="57">F62+I62</f>
        <v>1479.065948095483</v>
      </c>
      <c r="K62" s="7">
        <f t="shared" ca="1" si="7"/>
        <v>11.848856361816843</v>
      </c>
    </row>
    <row r="63" spans="2:11" x14ac:dyDescent="0.3">
      <c r="B63" s="6">
        <v>53</v>
      </c>
      <c r="C63" s="7">
        <f t="shared" ca="1" si="38"/>
        <v>0.61167353338592956</v>
      </c>
      <c r="D63" s="7">
        <f t="shared" ca="1" si="38"/>
        <v>0.33485632497059492</v>
      </c>
      <c r="E63" s="8">
        <f t="shared" ca="1" si="0"/>
        <v>23.647722108641453</v>
      </c>
      <c r="F63" s="8">
        <f t="shared" ca="1" si="1"/>
        <v>9.0611601997000886</v>
      </c>
      <c r="G63" s="7">
        <f t="shared" ca="1" si="3"/>
        <v>1490.8648138423075</v>
      </c>
      <c r="H63" s="7">
        <f t="shared" ca="1" si="4"/>
        <v>0</v>
      </c>
      <c r="I63" s="7">
        <f t="shared" ca="1" si="5"/>
        <v>1490.8648138423075</v>
      </c>
      <c r="J63" s="7">
        <f t="shared" ref="J63" ca="1" si="58">F63+I63</f>
        <v>1499.9259740420075</v>
      </c>
      <c r="K63" s="7">
        <f t="shared" ca="1" si="7"/>
        <v>9.061160199699998</v>
      </c>
    </row>
    <row r="64" spans="2:11" x14ac:dyDescent="0.3">
      <c r="B64" s="6">
        <v>54</v>
      </c>
      <c r="C64" s="7">
        <f t="shared" ca="1" si="38"/>
        <v>0.15900591128520647</v>
      </c>
      <c r="D64" s="7">
        <f t="shared" ca="1" si="38"/>
        <v>0.30405114033141434</v>
      </c>
      <c r="E64" s="8">
        <f t="shared" ca="1" si="0"/>
        <v>4.3292661977618732</v>
      </c>
      <c r="F64" s="8">
        <f t="shared" ca="1" si="1"/>
        <v>8.0550910852218784</v>
      </c>
      <c r="G64" s="7">
        <f t="shared" ca="1" si="3"/>
        <v>1495.1940800400694</v>
      </c>
      <c r="H64" s="7">
        <f t="shared" ca="1" si="4"/>
        <v>4.7318940019381444</v>
      </c>
      <c r="I64" s="7">
        <f t="shared" ca="1" si="5"/>
        <v>1499.9259740420075</v>
      </c>
      <c r="J64" s="7">
        <f t="shared" ref="J64" ca="1" si="59">F64+I64</f>
        <v>1507.9810651272294</v>
      </c>
      <c r="K64" s="7">
        <f t="shared" ca="1" si="7"/>
        <v>12.786985087160019</v>
      </c>
    </row>
    <row r="65" spans="2:11" x14ac:dyDescent="0.3">
      <c r="B65" s="6">
        <v>55</v>
      </c>
      <c r="C65" s="7">
        <f t="shared" ca="1" si="38"/>
        <v>0.66983984917982287</v>
      </c>
      <c r="D65" s="7">
        <f t="shared" ca="1" si="38"/>
        <v>0.7695630099209676</v>
      </c>
      <c r="E65" s="8">
        <f t="shared" ca="1" si="0"/>
        <v>27.70443591821396</v>
      </c>
      <c r="F65" s="8">
        <f t="shared" ca="1" si="1"/>
        <v>32.61728479619341</v>
      </c>
      <c r="G65" s="7">
        <f t="shared" ca="1" si="3"/>
        <v>1522.8985159582833</v>
      </c>
      <c r="H65" s="7">
        <f t="shared" ca="1" si="4"/>
        <v>0</v>
      </c>
      <c r="I65" s="7">
        <f t="shared" ca="1" si="5"/>
        <v>1522.8985159582833</v>
      </c>
      <c r="J65" s="7">
        <f t="shared" ref="J65" ca="1" si="60">F65+I65</f>
        <v>1555.5158007544767</v>
      </c>
      <c r="K65" s="7">
        <f t="shared" ca="1" si="7"/>
        <v>32.617284796193417</v>
      </c>
    </row>
    <row r="66" spans="2:11" x14ac:dyDescent="0.3">
      <c r="B66" s="6">
        <v>56</v>
      </c>
      <c r="C66" s="7">
        <f t="shared" ca="1" si="38"/>
        <v>0.7954129519476516</v>
      </c>
      <c r="D66" s="7">
        <f t="shared" ca="1" si="38"/>
        <v>0.95795447570027736</v>
      </c>
      <c r="E66" s="8">
        <f t="shared" ca="1" si="0"/>
        <v>39.669043280508525</v>
      </c>
      <c r="F66" s="8">
        <f t="shared" ca="1" si="1"/>
        <v>70.422274129088308</v>
      </c>
      <c r="G66" s="7">
        <f t="shared" ca="1" si="3"/>
        <v>1562.5675592387918</v>
      </c>
      <c r="H66" s="7">
        <f t="shared" ca="1" si="4"/>
        <v>0</v>
      </c>
      <c r="I66" s="7">
        <f t="shared" ca="1" si="5"/>
        <v>1562.5675592387918</v>
      </c>
      <c r="J66" s="7">
        <f t="shared" ref="J66" ca="1" si="61">F66+I66</f>
        <v>1632.98983336788</v>
      </c>
      <c r="K66" s="7">
        <f t="shared" ca="1" si="7"/>
        <v>70.422274129088237</v>
      </c>
    </row>
    <row r="67" spans="2:11" x14ac:dyDescent="0.3">
      <c r="B67" s="6">
        <v>57</v>
      </c>
      <c r="C67" s="7">
        <f t="shared" ca="1" si="38"/>
        <v>0.30814208955337952</v>
      </c>
      <c r="D67" s="7">
        <f t="shared" ca="1" si="38"/>
        <v>0.72893064791252593</v>
      </c>
      <c r="E67" s="8">
        <f t="shared" ca="1" si="0"/>
        <v>9.2093669043112278</v>
      </c>
      <c r="F67" s="8">
        <f t="shared" ca="1" si="1"/>
        <v>29.008457312897079</v>
      </c>
      <c r="G67" s="7">
        <f t="shared" ca="1" si="3"/>
        <v>1571.7769261431031</v>
      </c>
      <c r="H67" s="7">
        <f t="shared" ca="1" si="4"/>
        <v>61.212907224776927</v>
      </c>
      <c r="I67" s="7">
        <f t="shared" ca="1" si="5"/>
        <v>1632.98983336788</v>
      </c>
      <c r="J67" s="7">
        <f t="shared" ref="J67" ca="1" si="62">F67+I67</f>
        <v>1661.998290680777</v>
      </c>
      <c r="K67" s="7">
        <f t="shared" ca="1" si="7"/>
        <v>90.221364537673935</v>
      </c>
    </row>
    <row r="68" spans="2:11" x14ac:dyDescent="0.3">
      <c r="B68" s="6">
        <v>58</v>
      </c>
      <c r="C68" s="7">
        <f t="shared" ca="1" si="38"/>
        <v>0.18551285136357487</v>
      </c>
      <c r="D68" s="7">
        <f t="shared" ca="1" si="38"/>
        <v>0.79964870207132865</v>
      </c>
      <c r="E68" s="8">
        <f t="shared" ca="1" si="0"/>
        <v>5.1299157322167606</v>
      </c>
      <c r="F68" s="8">
        <f t="shared" ca="1" si="1"/>
        <v>35.726288080325482</v>
      </c>
      <c r="G68" s="7">
        <f t="shared" ca="1" si="3"/>
        <v>1576.9068418753197</v>
      </c>
      <c r="H68" s="7">
        <f t="shared" ca="1" si="4"/>
        <v>85.091448805457276</v>
      </c>
      <c r="I68" s="7">
        <f t="shared" ca="1" si="5"/>
        <v>1661.998290680777</v>
      </c>
      <c r="J68" s="7">
        <f t="shared" ref="J68" ca="1" si="63">F68+I68</f>
        <v>1697.7245787611025</v>
      </c>
      <c r="K68" s="7">
        <f t="shared" ca="1" si="7"/>
        <v>120.81773688578278</v>
      </c>
    </row>
    <row r="69" spans="2:11" x14ac:dyDescent="0.3">
      <c r="B69" s="6">
        <v>59</v>
      </c>
      <c r="C69" s="7">
        <f t="shared" ca="1" si="38"/>
        <v>0.10780268550110839</v>
      </c>
      <c r="D69" s="7">
        <f t="shared" ca="1" si="38"/>
        <v>0.99391207232500955</v>
      </c>
      <c r="E69" s="8">
        <f t="shared" ca="1" si="0"/>
        <v>2.8516991567271681</v>
      </c>
      <c r="F69" s="8">
        <f t="shared" ca="1" si="1"/>
        <v>113.36550085383588</v>
      </c>
      <c r="G69" s="7">
        <f t="shared" ca="1" si="3"/>
        <v>1579.7585410320469</v>
      </c>
      <c r="H69" s="7">
        <f t="shared" ca="1" si="4"/>
        <v>117.96603772905564</v>
      </c>
      <c r="I69" s="7">
        <f t="shared" ca="1" si="5"/>
        <v>1697.7245787611025</v>
      </c>
      <c r="J69" s="7">
        <f t="shared" ref="J69" ca="1" si="64">F69+I69</f>
        <v>1811.0900796149383</v>
      </c>
      <c r="K69" s="7">
        <f t="shared" ca="1" si="7"/>
        <v>231.33153858289143</v>
      </c>
    </row>
    <row r="70" spans="2:11" x14ac:dyDescent="0.3">
      <c r="B70" s="6">
        <v>60</v>
      </c>
      <c r="C70" s="7">
        <f t="shared" ca="1" si="38"/>
        <v>0.58331428383962469</v>
      </c>
      <c r="D70" s="7">
        <f t="shared" ca="1" si="38"/>
        <v>0.53430691357470261</v>
      </c>
      <c r="E70" s="8">
        <f t="shared" ca="1" si="0"/>
        <v>21.885575490351776</v>
      </c>
      <c r="F70" s="8">
        <f t="shared" ca="1" si="1"/>
        <v>16.982854992409813</v>
      </c>
      <c r="G70" s="7">
        <f t="shared" ca="1" si="3"/>
        <v>1601.6441165223987</v>
      </c>
      <c r="H70" s="7">
        <f t="shared" ca="1" si="4"/>
        <v>209.44596309253961</v>
      </c>
      <c r="I70" s="7">
        <f t="shared" ca="1" si="5"/>
        <v>1811.0900796149383</v>
      </c>
      <c r="J70" s="7">
        <f t="shared" ref="J70" ca="1" si="65">F70+I70</f>
        <v>1828.0729346073481</v>
      </c>
      <c r="K70" s="7">
        <f t="shared" ca="1" si="7"/>
        <v>226.4288180849494</v>
      </c>
    </row>
    <row r="71" spans="2:11" x14ac:dyDescent="0.3">
      <c r="B71" s="6">
        <v>61</v>
      </c>
      <c r="C71" s="7">
        <f t="shared" ca="1" si="38"/>
        <v>0.68591943061482763</v>
      </c>
      <c r="D71" s="7">
        <f t="shared" ca="1" si="38"/>
        <v>0.16836901853852493</v>
      </c>
      <c r="E71" s="8">
        <f t="shared" ca="1" si="0"/>
        <v>28.952643389723292</v>
      </c>
      <c r="F71" s="8">
        <f t="shared" ca="1" si="1"/>
        <v>4.0970326321679886</v>
      </c>
      <c r="G71" s="7">
        <f t="shared" ca="1" si="3"/>
        <v>1630.596759912122</v>
      </c>
      <c r="H71" s="7">
        <f t="shared" ca="1" si="4"/>
        <v>197.47617469522606</v>
      </c>
      <c r="I71" s="7">
        <f t="shared" ca="1" si="5"/>
        <v>1828.0729346073481</v>
      </c>
      <c r="J71" s="7">
        <f t="shared" ref="J71" ca="1" si="66">F71+I71</f>
        <v>1832.1699672395162</v>
      </c>
      <c r="K71" s="7">
        <f t="shared" ca="1" si="7"/>
        <v>201.57320732739413</v>
      </c>
    </row>
    <row r="72" spans="2:11" x14ac:dyDescent="0.3">
      <c r="B72" s="6">
        <v>62</v>
      </c>
      <c r="C72" s="7">
        <f t="shared" ca="1" si="38"/>
        <v>1.4068546259949466E-2</v>
      </c>
      <c r="D72" s="7">
        <f t="shared" ca="1" si="38"/>
        <v>0.99793350401031655</v>
      </c>
      <c r="E72" s="8">
        <f t="shared" ca="1" si="0"/>
        <v>0.35421115823784149</v>
      </c>
      <c r="F72" s="8">
        <f t="shared" ca="1" si="1"/>
        <v>137.37557476992495</v>
      </c>
      <c r="G72" s="7">
        <f t="shared" ca="1" si="3"/>
        <v>1630.9509710703599</v>
      </c>
      <c r="H72" s="7">
        <f t="shared" ca="1" si="4"/>
        <v>201.2189961691563</v>
      </c>
      <c r="I72" s="7">
        <f t="shared" ca="1" si="5"/>
        <v>1832.1699672395162</v>
      </c>
      <c r="J72" s="7">
        <f t="shared" ref="J72" ca="1" si="67">F72+I72</f>
        <v>1969.5455420094411</v>
      </c>
      <c r="K72" s="7">
        <f t="shared" ca="1" si="7"/>
        <v>338.59457093908122</v>
      </c>
    </row>
    <row r="73" spans="2:11" x14ac:dyDescent="0.3">
      <c r="B73" s="6">
        <v>63</v>
      </c>
      <c r="C73" s="7">
        <f t="shared" ca="1" si="38"/>
        <v>7.0748221960936886E-2</v>
      </c>
      <c r="D73" s="7">
        <f t="shared" ca="1" si="38"/>
        <v>7.6829639664751426E-2</v>
      </c>
      <c r="E73" s="8">
        <f t="shared" ca="1" si="0"/>
        <v>1.8343889098392696</v>
      </c>
      <c r="F73" s="8">
        <f t="shared" ca="1" si="1"/>
        <v>1.7764775355508839</v>
      </c>
      <c r="G73" s="7">
        <f t="shared" ca="1" si="3"/>
        <v>1632.785359980199</v>
      </c>
      <c r="H73" s="7">
        <f t="shared" ca="1" si="4"/>
        <v>336.76018202924206</v>
      </c>
      <c r="I73" s="7">
        <f t="shared" ca="1" si="5"/>
        <v>1969.5455420094411</v>
      </c>
      <c r="J73" s="7">
        <f t="shared" ref="J73" ca="1" si="68">F73+I73</f>
        <v>1971.3220195449919</v>
      </c>
      <c r="K73" s="7">
        <f t="shared" ca="1" si="7"/>
        <v>338.5366595647929</v>
      </c>
    </row>
    <row r="74" spans="2:11" x14ac:dyDescent="0.3">
      <c r="B74" s="6">
        <v>64</v>
      </c>
      <c r="C74" s="7">
        <f t="shared" ca="1" si="38"/>
        <v>0.39433570309252119</v>
      </c>
      <c r="D74" s="7">
        <f t="shared" ca="1" si="38"/>
        <v>0.45498410701987058</v>
      </c>
      <c r="E74" s="8">
        <f t="shared" ca="1" si="0"/>
        <v>12.535735297690243</v>
      </c>
      <c r="F74" s="8">
        <f t="shared" ca="1" si="1"/>
        <v>13.487562740281092</v>
      </c>
      <c r="G74" s="7">
        <f t="shared" ca="1" si="3"/>
        <v>1645.3210952778893</v>
      </c>
      <c r="H74" s="7">
        <f t="shared" ca="1" si="4"/>
        <v>326.00092426710262</v>
      </c>
      <c r="I74" s="7">
        <f t="shared" ca="1" si="5"/>
        <v>1971.3220195449919</v>
      </c>
      <c r="J74" s="7">
        <f t="shared" ref="J74" ca="1" si="69">F74+I74</f>
        <v>1984.8095822852731</v>
      </c>
      <c r="K74" s="7">
        <f t="shared" ca="1" si="7"/>
        <v>339.48848700738381</v>
      </c>
    </row>
    <row r="75" spans="2:11" x14ac:dyDescent="0.3">
      <c r="B75" s="6">
        <v>65</v>
      </c>
      <c r="C75" s="7">
        <f t="shared" ca="1" si="38"/>
        <v>0.12460774533770924</v>
      </c>
      <c r="D75" s="7">
        <f t="shared" ca="1" si="38"/>
        <v>0.15589621752664151</v>
      </c>
      <c r="E75" s="8">
        <f t="shared" ca="1" si="0"/>
        <v>3.3270800508578486</v>
      </c>
      <c r="F75" s="8">
        <f t="shared" ca="1" si="1"/>
        <v>3.7662183762206687</v>
      </c>
      <c r="G75" s="7">
        <f t="shared" ca="1" si="3"/>
        <v>1648.6481753287471</v>
      </c>
      <c r="H75" s="7">
        <f t="shared" ca="1" si="4"/>
        <v>336.16140695652598</v>
      </c>
      <c r="I75" s="7">
        <f t="shared" ca="1" si="5"/>
        <v>1984.8095822852731</v>
      </c>
      <c r="J75" s="7">
        <f t="shared" ref="J75" ca="1" si="70">F75+I75</f>
        <v>1988.5758006614938</v>
      </c>
      <c r="K75" s="7">
        <f t="shared" ca="1" si="7"/>
        <v>339.92762533274663</v>
      </c>
    </row>
    <row r="76" spans="2:11" x14ac:dyDescent="0.3">
      <c r="B76" s="6">
        <v>66</v>
      </c>
      <c r="C76" s="7">
        <f t="shared" ref="C76:D107" ca="1" si="71">RAND()</f>
        <v>0.42735093863905893</v>
      </c>
      <c r="D76" s="7">
        <f t="shared" ca="1" si="71"/>
        <v>0.87534663131927282</v>
      </c>
      <c r="E76" s="8">
        <f t="shared" ref="E76:E139" ca="1" si="72">(1/$M$3)*LN(1/(1-C76))</f>
        <v>13.937055206362512</v>
      </c>
      <c r="F76" s="8">
        <f t="shared" ref="F76:F139" ca="1" si="73">(1/$M$6)*LN(1/(1-D76))</f>
        <v>46.271520983591088</v>
      </c>
      <c r="G76" s="7">
        <f t="shared" ca="1" si="3"/>
        <v>1662.5852305351095</v>
      </c>
      <c r="H76" s="7">
        <f t="shared" ca="1" si="4"/>
        <v>325.99057012638423</v>
      </c>
      <c r="I76" s="7">
        <f t="shared" ca="1" si="5"/>
        <v>1988.5758006614938</v>
      </c>
      <c r="J76" s="7">
        <f t="shared" ref="J76" ca="1" si="74">F76+I76</f>
        <v>2034.8473216450848</v>
      </c>
      <c r="K76" s="7">
        <f t="shared" ref="K76:K139" ca="1" si="75">J76-G76</f>
        <v>372.26209110997524</v>
      </c>
    </row>
    <row r="77" spans="2:11" x14ac:dyDescent="0.3">
      <c r="B77" s="6">
        <v>67</v>
      </c>
      <c r="C77" s="7">
        <f t="shared" ca="1" si="71"/>
        <v>0.73832581658719687</v>
      </c>
      <c r="D77" s="7">
        <f t="shared" ca="1" si="71"/>
        <v>0.52341735846335413</v>
      </c>
      <c r="E77" s="8">
        <f t="shared" ca="1" si="72"/>
        <v>33.516378096551954</v>
      </c>
      <c r="F77" s="8">
        <f t="shared" ca="1" si="73"/>
        <v>16.469203031808192</v>
      </c>
      <c r="G77" s="7">
        <f t="shared" ref="G77:G140" ca="1" si="76">E77+G76</f>
        <v>1696.1016086316615</v>
      </c>
      <c r="H77" s="7">
        <f t="shared" ref="H77:H140" ca="1" si="77">IF(J76&gt;G77,J76-G77,0)</f>
        <v>338.74571301342326</v>
      </c>
      <c r="I77" s="7">
        <f t="shared" ref="I77:I140" ca="1" si="78">G77+H77</f>
        <v>2034.8473216450848</v>
      </c>
      <c r="J77" s="7">
        <f t="shared" ref="J77" ca="1" si="79">F77+I77</f>
        <v>2051.3165246768931</v>
      </c>
      <c r="K77" s="7">
        <f t="shared" ca="1" si="75"/>
        <v>355.21491604523158</v>
      </c>
    </row>
    <row r="78" spans="2:11" x14ac:dyDescent="0.3">
      <c r="B78" s="6">
        <v>68</v>
      </c>
      <c r="C78" s="7">
        <f t="shared" ca="1" si="71"/>
        <v>0.34911766569626579</v>
      </c>
      <c r="D78" s="7">
        <f t="shared" ca="1" si="71"/>
        <v>0.69071617345612868</v>
      </c>
      <c r="E78" s="8">
        <f t="shared" ca="1" si="72"/>
        <v>10.735659979683042</v>
      </c>
      <c r="F78" s="8">
        <f t="shared" ca="1" si="73"/>
        <v>26.077686470506439</v>
      </c>
      <c r="G78" s="7">
        <f t="shared" ca="1" si="76"/>
        <v>1706.8372686113446</v>
      </c>
      <c r="H78" s="7">
        <f t="shared" ca="1" si="77"/>
        <v>344.4792560655485</v>
      </c>
      <c r="I78" s="7">
        <f t="shared" ca="1" si="78"/>
        <v>2051.3165246768931</v>
      </c>
      <c r="J78" s="7">
        <f t="shared" ref="J78" ca="1" si="80">F78+I78</f>
        <v>2077.3942111473993</v>
      </c>
      <c r="K78" s="7">
        <f t="shared" ca="1" si="75"/>
        <v>370.55694253605475</v>
      </c>
    </row>
    <row r="79" spans="2:11" x14ac:dyDescent="0.3">
      <c r="B79" s="6">
        <v>69</v>
      </c>
      <c r="C79" s="7">
        <f t="shared" ca="1" si="71"/>
        <v>0.10777182897408544</v>
      </c>
      <c r="D79" s="7">
        <f t="shared" ca="1" si="71"/>
        <v>0.90317866900508093</v>
      </c>
      <c r="E79" s="8">
        <f t="shared" ca="1" si="72"/>
        <v>2.8508345499594379</v>
      </c>
      <c r="F79" s="8">
        <f t="shared" ca="1" si="73"/>
        <v>51.886398832397326</v>
      </c>
      <c r="G79" s="7">
        <f t="shared" ca="1" si="76"/>
        <v>1709.6881031613041</v>
      </c>
      <c r="H79" s="7">
        <f t="shared" ca="1" si="77"/>
        <v>367.70610798609528</v>
      </c>
      <c r="I79" s="7">
        <f t="shared" ca="1" si="78"/>
        <v>2077.3942111473993</v>
      </c>
      <c r="J79" s="7">
        <f t="shared" ref="J79" ca="1" si="81">F79+I79</f>
        <v>2129.2806099797967</v>
      </c>
      <c r="K79" s="7">
        <f t="shared" ca="1" si="75"/>
        <v>419.59250681849267</v>
      </c>
    </row>
    <row r="80" spans="2:11" x14ac:dyDescent="0.3">
      <c r="B80" s="6">
        <v>70</v>
      </c>
      <c r="C80" s="7">
        <f t="shared" ca="1" si="71"/>
        <v>0.19663377683521455</v>
      </c>
      <c r="D80" s="7">
        <f t="shared" ca="1" si="71"/>
        <v>0.85082579559899485</v>
      </c>
      <c r="E80" s="8">
        <f t="shared" ca="1" si="72"/>
        <v>5.4736150076182888</v>
      </c>
      <c r="F80" s="8">
        <f t="shared" ca="1" si="73"/>
        <v>42.280899975884644</v>
      </c>
      <c r="G80" s="7">
        <f t="shared" ca="1" si="76"/>
        <v>1715.1617181689223</v>
      </c>
      <c r="H80" s="7">
        <f t="shared" ca="1" si="77"/>
        <v>414.1188918108744</v>
      </c>
      <c r="I80" s="7">
        <f t="shared" ca="1" si="78"/>
        <v>2129.2806099797967</v>
      </c>
      <c r="J80" s="7">
        <f t="shared" ref="J80" ca="1" si="82">F80+I80</f>
        <v>2171.5615099556812</v>
      </c>
      <c r="K80" s="7">
        <f t="shared" ca="1" si="75"/>
        <v>456.3997917867589</v>
      </c>
    </row>
    <row r="81" spans="2:11" x14ac:dyDescent="0.3">
      <c r="B81" s="6">
        <v>71</v>
      </c>
      <c r="C81" s="7">
        <f t="shared" ca="1" si="71"/>
        <v>0.73878384815703824</v>
      </c>
      <c r="D81" s="7">
        <f t="shared" ca="1" si="71"/>
        <v>0.27420662675096297</v>
      </c>
      <c r="E81" s="8">
        <f t="shared" ca="1" si="72"/>
        <v>33.560176160515759</v>
      </c>
      <c r="F81" s="8">
        <f t="shared" ca="1" si="73"/>
        <v>7.1219981003604875</v>
      </c>
      <c r="G81" s="7">
        <f t="shared" ca="1" si="76"/>
        <v>1748.7218943294381</v>
      </c>
      <c r="H81" s="7">
        <f t="shared" ca="1" si="77"/>
        <v>422.83961562624313</v>
      </c>
      <c r="I81" s="7">
        <f t="shared" ca="1" si="78"/>
        <v>2171.5615099556812</v>
      </c>
      <c r="J81" s="7">
        <f t="shared" ref="J81" ca="1" si="83">F81+I81</f>
        <v>2178.6835080560418</v>
      </c>
      <c r="K81" s="7">
        <f t="shared" ca="1" si="75"/>
        <v>429.96161372660367</v>
      </c>
    </row>
    <row r="82" spans="2:11" x14ac:dyDescent="0.3">
      <c r="B82" s="6">
        <v>72</v>
      </c>
      <c r="C82" s="7">
        <f t="shared" ca="1" si="71"/>
        <v>0.67395479497705857</v>
      </c>
      <c r="D82" s="7">
        <f t="shared" ca="1" si="71"/>
        <v>0.11939559415820067</v>
      </c>
      <c r="E82" s="8">
        <f t="shared" ca="1" si="72"/>
        <v>28.01798103785217</v>
      </c>
      <c r="F82" s="8">
        <f t="shared" ca="1" si="73"/>
        <v>2.8254840543529478</v>
      </c>
      <c r="G82" s="7">
        <f t="shared" ca="1" si="76"/>
        <v>1776.7398753672903</v>
      </c>
      <c r="H82" s="7">
        <f t="shared" ca="1" si="77"/>
        <v>401.94363268875145</v>
      </c>
      <c r="I82" s="7">
        <f t="shared" ca="1" si="78"/>
        <v>2178.6835080560418</v>
      </c>
      <c r="J82" s="7">
        <f t="shared" ref="J82" ca="1" si="84">F82+I82</f>
        <v>2181.5089921103945</v>
      </c>
      <c r="K82" s="7">
        <f t="shared" ca="1" si="75"/>
        <v>404.76911674310418</v>
      </c>
    </row>
    <row r="83" spans="2:11" x14ac:dyDescent="0.3">
      <c r="B83" s="6">
        <v>73</v>
      </c>
      <c r="C83" s="7">
        <f t="shared" ca="1" si="71"/>
        <v>9.5544088858544152E-2</v>
      </c>
      <c r="D83" s="7">
        <f t="shared" ca="1" si="71"/>
        <v>3.2185099834944553E-2</v>
      </c>
      <c r="E83" s="8">
        <f t="shared" ca="1" si="72"/>
        <v>2.51054298089772</v>
      </c>
      <c r="F83" s="8">
        <f t="shared" ca="1" si="73"/>
        <v>0.72698730728812477</v>
      </c>
      <c r="G83" s="7">
        <f t="shared" ca="1" si="76"/>
        <v>1779.2504183481881</v>
      </c>
      <c r="H83" s="7">
        <f t="shared" ca="1" si="77"/>
        <v>402.25857376220642</v>
      </c>
      <c r="I83" s="7">
        <f t="shared" ca="1" si="78"/>
        <v>2181.5089921103945</v>
      </c>
      <c r="J83" s="7">
        <f t="shared" ref="J83" ca="1" si="85">F83+I83</f>
        <v>2182.2359794176828</v>
      </c>
      <c r="K83" s="7">
        <f t="shared" ca="1" si="75"/>
        <v>402.98556106949468</v>
      </c>
    </row>
    <row r="84" spans="2:11" x14ac:dyDescent="0.3">
      <c r="B84" s="6">
        <v>74</v>
      </c>
      <c r="C84" s="7">
        <f t="shared" ca="1" si="71"/>
        <v>0.30589961034211988</v>
      </c>
      <c r="D84" s="7">
        <f t="shared" ca="1" si="71"/>
        <v>0.22402820706584392</v>
      </c>
      <c r="E84" s="8">
        <f t="shared" ca="1" si="72"/>
        <v>9.1284668812740488</v>
      </c>
      <c r="F84" s="8">
        <f t="shared" ca="1" si="73"/>
        <v>5.6364246393605564</v>
      </c>
      <c r="G84" s="7">
        <f t="shared" ca="1" si="76"/>
        <v>1788.3788852294622</v>
      </c>
      <c r="H84" s="7">
        <f t="shared" ca="1" si="77"/>
        <v>393.85709418822057</v>
      </c>
      <c r="I84" s="7">
        <f t="shared" ca="1" si="78"/>
        <v>2182.2359794176828</v>
      </c>
      <c r="J84" s="7">
        <f t="shared" ref="J84" ca="1" si="86">F84+I84</f>
        <v>2187.8724040570432</v>
      </c>
      <c r="K84" s="7">
        <f t="shared" ca="1" si="75"/>
        <v>399.49351882758106</v>
      </c>
    </row>
    <row r="85" spans="2:11" x14ac:dyDescent="0.3">
      <c r="B85" s="6">
        <v>75</v>
      </c>
      <c r="C85" s="7">
        <f t="shared" ca="1" si="71"/>
        <v>8.9068038068286004E-2</v>
      </c>
      <c r="D85" s="7">
        <f t="shared" ca="1" si="71"/>
        <v>0.74098318434036758</v>
      </c>
      <c r="E85" s="8">
        <f t="shared" ca="1" si="72"/>
        <v>2.3321767386945695</v>
      </c>
      <c r="F85" s="8">
        <f t="shared" ca="1" si="73"/>
        <v>30.019162090297577</v>
      </c>
      <c r="G85" s="7">
        <f t="shared" ca="1" si="76"/>
        <v>1790.7110619681569</v>
      </c>
      <c r="H85" s="7">
        <f t="shared" ca="1" si="77"/>
        <v>397.16134208888639</v>
      </c>
      <c r="I85" s="7">
        <f t="shared" ca="1" si="78"/>
        <v>2187.8724040570432</v>
      </c>
      <c r="J85" s="7">
        <f t="shared" ref="J85" ca="1" si="87">F85+I85</f>
        <v>2217.8915661473407</v>
      </c>
      <c r="K85" s="7">
        <f t="shared" ca="1" si="75"/>
        <v>427.1805041791838</v>
      </c>
    </row>
    <row r="86" spans="2:11" x14ac:dyDescent="0.3">
      <c r="B86" s="6">
        <v>76</v>
      </c>
      <c r="C86" s="7">
        <f t="shared" ca="1" si="71"/>
        <v>0.30379138723030652</v>
      </c>
      <c r="D86" s="7">
        <f t="shared" ca="1" si="71"/>
        <v>0.43092133910158459</v>
      </c>
      <c r="E86" s="8">
        <f t="shared" ca="1" si="72"/>
        <v>9.0526483141784535</v>
      </c>
      <c r="F86" s="8">
        <f t="shared" ca="1" si="73"/>
        <v>12.527480228909985</v>
      </c>
      <c r="G86" s="7">
        <f t="shared" ca="1" si="76"/>
        <v>1799.7637102823353</v>
      </c>
      <c r="H86" s="7">
        <f t="shared" ca="1" si="77"/>
        <v>418.12785586500536</v>
      </c>
      <c r="I86" s="7">
        <f t="shared" ca="1" si="78"/>
        <v>2217.8915661473407</v>
      </c>
      <c r="J86" s="7">
        <f t="shared" ref="J86" ca="1" si="88">F86+I86</f>
        <v>2230.4190463762507</v>
      </c>
      <c r="K86" s="7">
        <f t="shared" ca="1" si="75"/>
        <v>430.65533609391537</v>
      </c>
    </row>
    <row r="87" spans="2:11" x14ac:dyDescent="0.3">
      <c r="B87" s="6">
        <v>77</v>
      </c>
      <c r="C87" s="7">
        <f t="shared" ca="1" si="71"/>
        <v>0.30890392680238465</v>
      </c>
      <c r="D87" s="7">
        <f t="shared" ca="1" si="71"/>
        <v>0.71370290273606096</v>
      </c>
      <c r="E87" s="8">
        <f t="shared" ca="1" si="72"/>
        <v>9.2369107465170703</v>
      </c>
      <c r="F87" s="8">
        <f t="shared" ca="1" si="73"/>
        <v>27.79389346047013</v>
      </c>
      <c r="G87" s="7">
        <f t="shared" ca="1" si="76"/>
        <v>1809.0006210288523</v>
      </c>
      <c r="H87" s="7">
        <f t="shared" ca="1" si="77"/>
        <v>421.4184253473984</v>
      </c>
      <c r="I87" s="7">
        <f t="shared" ca="1" si="78"/>
        <v>2230.4190463762507</v>
      </c>
      <c r="J87" s="7">
        <f t="shared" ref="J87" ca="1" si="89">F87+I87</f>
        <v>2258.2129398367206</v>
      </c>
      <c r="K87" s="7">
        <f t="shared" ca="1" si="75"/>
        <v>449.21231880786831</v>
      </c>
    </row>
    <row r="88" spans="2:11" x14ac:dyDescent="0.3">
      <c r="B88" s="6">
        <v>78</v>
      </c>
      <c r="C88" s="7">
        <f t="shared" ca="1" si="71"/>
        <v>0.35790120312343854</v>
      </c>
      <c r="D88" s="7">
        <f t="shared" ca="1" si="71"/>
        <v>0.73808404137574968</v>
      </c>
      <c r="E88" s="8">
        <f t="shared" ca="1" si="72"/>
        <v>11.075327447901968</v>
      </c>
      <c r="F88" s="8">
        <f t="shared" ca="1" si="73"/>
        <v>29.771813228622808</v>
      </c>
      <c r="G88" s="7">
        <f t="shared" ca="1" si="76"/>
        <v>1820.0759484767543</v>
      </c>
      <c r="H88" s="7">
        <f t="shared" ca="1" si="77"/>
        <v>438.13699135996626</v>
      </c>
      <c r="I88" s="7">
        <f t="shared" ca="1" si="78"/>
        <v>2258.2129398367206</v>
      </c>
      <c r="J88" s="7">
        <f t="shared" ref="J88" ca="1" si="90">F88+I88</f>
        <v>2287.9847530653433</v>
      </c>
      <c r="K88" s="7">
        <f t="shared" ca="1" si="75"/>
        <v>467.90880458858896</v>
      </c>
    </row>
    <row r="89" spans="2:11" x14ac:dyDescent="0.3">
      <c r="B89" s="6">
        <v>79</v>
      </c>
      <c r="C89" s="7">
        <f t="shared" ca="1" si="71"/>
        <v>5.3489612998506963E-2</v>
      </c>
      <c r="D89" s="7">
        <f t="shared" ca="1" si="71"/>
        <v>0.21723479597153073</v>
      </c>
      <c r="E89" s="8">
        <f t="shared" ca="1" si="72"/>
        <v>1.3743333569059037</v>
      </c>
      <c r="F89" s="8">
        <f t="shared" ca="1" si="73"/>
        <v>5.4427221133697401</v>
      </c>
      <c r="G89" s="7">
        <f t="shared" ca="1" si="76"/>
        <v>1821.4502818336603</v>
      </c>
      <c r="H89" s="7">
        <f t="shared" ca="1" si="77"/>
        <v>466.53447123168303</v>
      </c>
      <c r="I89" s="7">
        <f t="shared" ca="1" si="78"/>
        <v>2287.9847530653433</v>
      </c>
      <c r="J89" s="7">
        <f t="shared" ref="J89" ca="1" si="91">F89+I89</f>
        <v>2293.4274751787129</v>
      </c>
      <c r="K89" s="7">
        <f t="shared" ca="1" si="75"/>
        <v>471.97719334505268</v>
      </c>
    </row>
    <row r="90" spans="2:11" x14ac:dyDescent="0.3">
      <c r="B90" s="6">
        <v>80</v>
      </c>
      <c r="C90" s="7">
        <f t="shared" ca="1" si="71"/>
        <v>0.85180586081951659</v>
      </c>
      <c r="D90" s="7">
        <f t="shared" ca="1" si="71"/>
        <v>0.3072503867987908</v>
      </c>
      <c r="E90" s="8">
        <f t="shared" ca="1" si="72"/>
        <v>47.730802839813421</v>
      </c>
      <c r="F90" s="8">
        <f t="shared" ca="1" si="73"/>
        <v>8.1574811909298734</v>
      </c>
      <c r="G90" s="7">
        <f t="shared" ca="1" si="76"/>
        <v>1869.1810846734736</v>
      </c>
      <c r="H90" s="7">
        <f t="shared" ca="1" si="77"/>
        <v>424.24639050523933</v>
      </c>
      <c r="I90" s="7">
        <f t="shared" ca="1" si="78"/>
        <v>2293.4274751787129</v>
      </c>
      <c r="J90" s="7">
        <f t="shared" ref="J90" ca="1" si="92">F90+I90</f>
        <v>2301.5849563696429</v>
      </c>
      <c r="K90" s="7">
        <f t="shared" ca="1" si="75"/>
        <v>432.40387169616929</v>
      </c>
    </row>
    <row r="91" spans="2:11" x14ac:dyDescent="0.3">
      <c r="B91" s="6">
        <v>81</v>
      </c>
      <c r="C91" s="7">
        <f t="shared" ca="1" si="71"/>
        <v>0.93834334965450583</v>
      </c>
      <c r="D91" s="7">
        <f t="shared" ca="1" si="71"/>
        <v>0.24778034903411372</v>
      </c>
      <c r="E91" s="8">
        <f t="shared" ca="1" si="72"/>
        <v>69.654354564860313</v>
      </c>
      <c r="F91" s="8">
        <f t="shared" ca="1" si="73"/>
        <v>6.3272646362581861</v>
      </c>
      <c r="G91" s="7">
        <f t="shared" ca="1" si="76"/>
        <v>1938.8354392383339</v>
      </c>
      <c r="H91" s="7">
        <f t="shared" ca="1" si="77"/>
        <v>362.74951713130895</v>
      </c>
      <c r="I91" s="7">
        <f t="shared" ca="1" si="78"/>
        <v>2301.5849563696429</v>
      </c>
      <c r="J91" s="7">
        <f t="shared" ref="J91" ca="1" si="93">F91+I91</f>
        <v>2307.9122210059013</v>
      </c>
      <c r="K91" s="7">
        <f t="shared" ca="1" si="75"/>
        <v>369.07678176756735</v>
      </c>
    </row>
    <row r="92" spans="2:11" x14ac:dyDescent="0.3">
      <c r="B92" s="6">
        <v>82</v>
      </c>
      <c r="C92" s="7">
        <f t="shared" ca="1" si="71"/>
        <v>0.51699900521230058</v>
      </c>
      <c r="D92" s="7">
        <f t="shared" ca="1" si="71"/>
        <v>0.21437161681195527</v>
      </c>
      <c r="E92" s="8">
        <f t="shared" ca="1" si="72"/>
        <v>18.19341414324558</v>
      </c>
      <c r="F92" s="8">
        <f t="shared" ca="1" si="73"/>
        <v>5.3615865173743247</v>
      </c>
      <c r="G92" s="7">
        <f t="shared" ca="1" si="76"/>
        <v>1957.0288533815794</v>
      </c>
      <c r="H92" s="7">
        <f t="shared" ca="1" si="77"/>
        <v>350.88336762432186</v>
      </c>
      <c r="I92" s="7">
        <f t="shared" ca="1" si="78"/>
        <v>2307.9122210059013</v>
      </c>
      <c r="J92" s="7">
        <f t="shared" ref="J92" ca="1" si="94">F92+I92</f>
        <v>2313.2738075232755</v>
      </c>
      <c r="K92" s="7">
        <f t="shared" ca="1" si="75"/>
        <v>356.2449541416961</v>
      </c>
    </row>
    <row r="93" spans="2:11" x14ac:dyDescent="0.3">
      <c r="B93" s="6">
        <v>83</v>
      </c>
      <c r="C93" s="7">
        <f t="shared" ca="1" si="71"/>
        <v>0.64409047720260715</v>
      </c>
      <c r="D93" s="7">
        <f t="shared" ca="1" si="71"/>
        <v>0.31436807543173828</v>
      </c>
      <c r="E93" s="8">
        <f t="shared" ca="1" si="72"/>
        <v>25.826968246926896</v>
      </c>
      <c r="F93" s="8">
        <f t="shared" ca="1" si="73"/>
        <v>8.3869855191082383</v>
      </c>
      <c r="G93" s="7">
        <f t="shared" ca="1" si="76"/>
        <v>1982.8558216285064</v>
      </c>
      <c r="H93" s="7">
        <f t="shared" ca="1" si="77"/>
        <v>330.41798589476912</v>
      </c>
      <c r="I93" s="7">
        <f t="shared" ca="1" si="78"/>
        <v>2313.2738075232755</v>
      </c>
      <c r="J93" s="7">
        <f t="shared" ref="J93" ca="1" si="95">F93+I93</f>
        <v>2321.6607930423838</v>
      </c>
      <c r="K93" s="7">
        <f t="shared" ca="1" si="75"/>
        <v>338.80497141387741</v>
      </c>
    </row>
    <row r="94" spans="2:11" x14ac:dyDescent="0.3">
      <c r="B94" s="6">
        <v>84</v>
      </c>
      <c r="C94" s="7">
        <f t="shared" ca="1" si="71"/>
        <v>0.9044706713513776</v>
      </c>
      <c r="D94" s="7">
        <f t="shared" ca="1" si="71"/>
        <v>0.68311571054861009</v>
      </c>
      <c r="E94" s="8">
        <f t="shared" ca="1" si="72"/>
        <v>58.708049309365805</v>
      </c>
      <c r="F94" s="8">
        <f t="shared" ca="1" si="73"/>
        <v>25.538190872076953</v>
      </c>
      <c r="G94" s="7">
        <f t="shared" ca="1" si="76"/>
        <v>2041.5638709378723</v>
      </c>
      <c r="H94" s="7">
        <f t="shared" ca="1" si="77"/>
        <v>280.09692210451158</v>
      </c>
      <c r="I94" s="7">
        <f t="shared" ca="1" si="78"/>
        <v>2321.6607930423838</v>
      </c>
      <c r="J94" s="7">
        <f t="shared" ref="J94" ca="1" si="96">F94+I94</f>
        <v>2347.1989839144608</v>
      </c>
      <c r="K94" s="7">
        <f t="shared" ca="1" si="75"/>
        <v>305.63511297658852</v>
      </c>
    </row>
    <row r="95" spans="2:11" x14ac:dyDescent="0.3">
      <c r="B95" s="6">
        <v>85</v>
      </c>
      <c r="C95" s="7">
        <f t="shared" ca="1" si="71"/>
        <v>0.63628201812717189</v>
      </c>
      <c r="D95" s="7">
        <f t="shared" ca="1" si="71"/>
        <v>0.33683792164437198</v>
      </c>
      <c r="E95" s="8">
        <f t="shared" ca="1" si="72"/>
        <v>25.28441216783423</v>
      </c>
      <c r="F95" s="8">
        <f t="shared" ca="1" si="73"/>
        <v>9.1274634799423318</v>
      </c>
      <c r="G95" s="7">
        <f t="shared" ca="1" si="76"/>
        <v>2066.8482831057063</v>
      </c>
      <c r="H95" s="7">
        <f t="shared" ca="1" si="77"/>
        <v>280.35070080875448</v>
      </c>
      <c r="I95" s="7">
        <f t="shared" ca="1" si="78"/>
        <v>2347.1989839144608</v>
      </c>
      <c r="J95" s="7">
        <f t="shared" ref="J95" ca="1" si="97">F95+I95</f>
        <v>2356.3264473944032</v>
      </c>
      <c r="K95" s="7">
        <f t="shared" ca="1" si="75"/>
        <v>289.47816428869692</v>
      </c>
    </row>
    <row r="96" spans="2:11" x14ac:dyDescent="0.3">
      <c r="B96" s="6">
        <v>86</v>
      </c>
      <c r="C96" s="7">
        <f t="shared" ca="1" si="71"/>
        <v>0.98011317401774201</v>
      </c>
      <c r="D96" s="7">
        <f t="shared" ca="1" si="71"/>
        <v>0.95760265056113236</v>
      </c>
      <c r="E96" s="8">
        <f t="shared" ca="1" si="72"/>
        <v>97.942444435487545</v>
      </c>
      <c r="F96" s="8">
        <f t="shared" ca="1" si="73"/>
        <v>70.237098487389162</v>
      </c>
      <c r="G96" s="7">
        <f t="shared" ca="1" si="76"/>
        <v>2164.790727541194</v>
      </c>
      <c r="H96" s="7">
        <f t="shared" ca="1" si="77"/>
        <v>191.53571985320923</v>
      </c>
      <c r="I96" s="7">
        <f t="shared" ca="1" si="78"/>
        <v>2356.3264473944032</v>
      </c>
      <c r="J96" s="7">
        <f t="shared" ref="J96" ca="1" si="98">F96+I96</f>
        <v>2426.5635458817924</v>
      </c>
      <c r="K96" s="7">
        <f t="shared" ca="1" si="75"/>
        <v>261.77281834059841</v>
      </c>
    </row>
    <row r="97" spans="2:11" x14ac:dyDescent="0.3">
      <c r="B97" s="6">
        <v>87</v>
      </c>
      <c r="C97" s="7">
        <f t="shared" ca="1" si="71"/>
        <v>0.23756184734409813</v>
      </c>
      <c r="D97" s="7">
        <f t="shared" ca="1" si="71"/>
        <v>0.75986383488296616</v>
      </c>
      <c r="E97" s="8">
        <f t="shared" ca="1" si="72"/>
        <v>6.7808471265303938</v>
      </c>
      <c r="F97" s="8">
        <f t="shared" ca="1" si="73"/>
        <v>31.701092486014229</v>
      </c>
      <c r="G97" s="7">
        <f t="shared" ca="1" si="76"/>
        <v>2171.5715746677242</v>
      </c>
      <c r="H97" s="7">
        <f t="shared" ca="1" si="77"/>
        <v>254.99197121406814</v>
      </c>
      <c r="I97" s="7">
        <f t="shared" ca="1" si="78"/>
        <v>2426.5635458817924</v>
      </c>
      <c r="J97" s="7">
        <f t="shared" ref="J97" ca="1" si="99">F97+I97</f>
        <v>2458.2646383678066</v>
      </c>
      <c r="K97" s="7">
        <f t="shared" ca="1" si="75"/>
        <v>286.69306370008235</v>
      </c>
    </row>
    <row r="98" spans="2:11" x14ac:dyDescent="0.3">
      <c r="B98" s="6">
        <v>88</v>
      </c>
      <c r="C98" s="7">
        <f t="shared" ca="1" si="71"/>
        <v>0.9037786174059087</v>
      </c>
      <c r="D98" s="7">
        <f t="shared" ca="1" si="71"/>
        <v>0.36833597347479696</v>
      </c>
      <c r="E98" s="8">
        <f t="shared" ca="1" si="72"/>
        <v>58.527591843036255</v>
      </c>
      <c r="F98" s="8">
        <f t="shared" ca="1" si="73"/>
        <v>10.208836217465175</v>
      </c>
      <c r="G98" s="7">
        <f t="shared" ca="1" si="76"/>
        <v>2230.0991665107604</v>
      </c>
      <c r="H98" s="7">
        <f t="shared" ca="1" si="77"/>
        <v>228.16547185704621</v>
      </c>
      <c r="I98" s="7">
        <f t="shared" ca="1" si="78"/>
        <v>2458.2646383678066</v>
      </c>
      <c r="J98" s="7">
        <f t="shared" ref="J98" ca="1" si="100">F98+I98</f>
        <v>2468.4734745852716</v>
      </c>
      <c r="K98" s="7">
        <f t="shared" ca="1" si="75"/>
        <v>238.37430807451119</v>
      </c>
    </row>
    <row r="99" spans="2:11" x14ac:dyDescent="0.3">
      <c r="B99" s="6">
        <v>89</v>
      </c>
      <c r="C99" s="7">
        <f t="shared" ca="1" si="71"/>
        <v>0.37379811426626175</v>
      </c>
      <c r="D99" s="7">
        <f t="shared" ca="1" si="71"/>
        <v>3.7989788313322892E-3</v>
      </c>
      <c r="E99" s="8">
        <f t="shared" ca="1" si="72"/>
        <v>11.70206146755644</v>
      </c>
      <c r="F99" s="8">
        <f t="shared" ca="1" si="73"/>
        <v>8.4582517323753492E-2</v>
      </c>
      <c r="G99" s="7">
        <f t="shared" ca="1" si="76"/>
        <v>2241.801227978317</v>
      </c>
      <c r="H99" s="7">
        <f t="shared" ca="1" si="77"/>
        <v>226.67224660695456</v>
      </c>
      <c r="I99" s="7">
        <f t="shared" ca="1" si="78"/>
        <v>2468.4734745852716</v>
      </c>
      <c r="J99" s="7">
        <f t="shared" ref="J99" ca="1" si="101">F99+I99</f>
        <v>2468.5580571025953</v>
      </c>
      <c r="K99" s="7">
        <f t="shared" ca="1" si="75"/>
        <v>226.75682912427828</v>
      </c>
    </row>
    <row r="100" spans="2:11" x14ac:dyDescent="0.3">
      <c r="B100" s="6">
        <v>90</v>
      </c>
      <c r="C100" s="7">
        <f t="shared" ca="1" si="71"/>
        <v>0.19226108786604534</v>
      </c>
      <c r="D100" s="7">
        <f t="shared" ca="1" si="71"/>
        <v>0.11047614153763774</v>
      </c>
      <c r="E100" s="8">
        <f t="shared" ca="1" si="72"/>
        <v>5.3379100306351353</v>
      </c>
      <c r="F100" s="8">
        <f t="shared" ca="1" si="73"/>
        <v>2.6015322201367499</v>
      </c>
      <c r="G100" s="7">
        <f t="shared" ca="1" si="76"/>
        <v>2247.1391380089522</v>
      </c>
      <c r="H100" s="7">
        <f t="shared" ca="1" si="77"/>
        <v>221.41891909364313</v>
      </c>
      <c r="I100" s="7">
        <f t="shared" ca="1" si="78"/>
        <v>2468.5580571025953</v>
      </c>
      <c r="J100" s="7">
        <f t="shared" ref="J100" ca="1" si="102">F100+I100</f>
        <v>2471.1595893227322</v>
      </c>
      <c r="K100" s="7">
        <f t="shared" ca="1" si="75"/>
        <v>224.02045131378009</v>
      </c>
    </row>
    <row r="101" spans="2:11" x14ac:dyDescent="0.3">
      <c r="B101" s="6">
        <v>91</v>
      </c>
      <c r="C101" s="7">
        <f t="shared" ca="1" si="71"/>
        <v>0.53888036783904347</v>
      </c>
      <c r="D101" s="7">
        <f t="shared" ca="1" si="71"/>
        <v>0.53463407188723755</v>
      </c>
      <c r="E101" s="8">
        <f t="shared" ca="1" si="72"/>
        <v>19.35244409697868</v>
      </c>
      <c r="F101" s="8">
        <f t="shared" ca="1" si="73"/>
        <v>16.998472015409849</v>
      </c>
      <c r="G101" s="7">
        <f t="shared" ca="1" si="76"/>
        <v>2266.4915821059308</v>
      </c>
      <c r="H101" s="7">
        <f t="shared" ca="1" si="77"/>
        <v>204.66800721680147</v>
      </c>
      <c r="I101" s="7">
        <f t="shared" ca="1" si="78"/>
        <v>2471.1595893227322</v>
      </c>
      <c r="J101" s="7">
        <f t="shared" ref="J101" ca="1" si="103">F101+I101</f>
        <v>2488.158061338142</v>
      </c>
      <c r="K101" s="7">
        <f t="shared" ca="1" si="75"/>
        <v>221.66647923221126</v>
      </c>
    </row>
    <row r="102" spans="2:11" x14ac:dyDescent="0.3">
      <c r="B102" s="6">
        <v>92</v>
      </c>
      <c r="C102" s="7">
        <f t="shared" ca="1" si="71"/>
        <v>0.1770110433631209</v>
      </c>
      <c r="D102" s="7">
        <f t="shared" ca="1" si="71"/>
        <v>0.76661849885547562</v>
      </c>
      <c r="E102" s="8">
        <f t="shared" ca="1" si="72"/>
        <v>4.8703124204825059</v>
      </c>
      <c r="F102" s="8">
        <f t="shared" ca="1" si="73"/>
        <v>32.335129342994826</v>
      </c>
      <c r="G102" s="7">
        <f t="shared" ca="1" si="76"/>
        <v>2271.3618945264134</v>
      </c>
      <c r="H102" s="7">
        <f t="shared" ca="1" si="77"/>
        <v>216.79616681172865</v>
      </c>
      <c r="I102" s="7">
        <f t="shared" ca="1" si="78"/>
        <v>2488.158061338142</v>
      </c>
      <c r="J102" s="7">
        <f t="shared" ref="J102" ca="1" si="104">F102+I102</f>
        <v>2520.4931906811366</v>
      </c>
      <c r="K102" s="7">
        <f t="shared" ca="1" si="75"/>
        <v>249.13129615472326</v>
      </c>
    </row>
    <row r="103" spans="2:11" x14ac:dyDescent="0.3">
      <c r="B103" s="6">
        <v>93</v>
      </c>
      <c r="C103" s="7">
        <f t="shared" ca="1" si="71"/>
        <v>0.36798150386864681</v>
      </c>
      <c r="D103" s="7">
        <f t="shared" ca="1" si="71"/>
        <v>0.73487978371499141</v>
      </c>
      <c r="E103" s="8">
        <f t="shared" ca="1" si="72"/>
        <v>11.470915480822486</v>
      </c>
      <c r="F103" s="8">
        <f t="shared" ca="1" si="73"/>
        <v>29.501597988973163</v>
      </c>
      <c r="G103" s="7">
        <f t="shared" ca="1" si="76"/>
        <v>2282.8328100072358</v>
      </c>
      <c r="H103" s="7">
        <f t="shared" ca="1" si="77"/>
        <v>237.66038067390082</v>
      </c>
      <c r="I103" s="7">
        <f t="shared" ca="1" si="78"/>
        <v>2520.4931906811366</v>
      </c>
      <c r="J103" s="7">
        <f t="shared" ref="J103" ca="1" si="105">F103+I103</f>
        <v>2549.9947886701098</v>
      </c>
      <c r="K103" s="7">
        <f t="shared" ca="1" si="75"/>
        <v>267.16197866287393</v>
      </c>
    </row>
    <row r="104" spans="2:11" x14ac:dyDescent="0.3">
      <c r="B104" s="6">
        <v>94</v>
      </c>
      <c r="C104" s="7">
        <f t="shared" ca="1" si="71"/>
        <v>0.52759268186977026</v>
      </c>
      <c r="D104" s="7">
        <f t="shared" ca="1" si="71"/>
        <v>0.89956851291196371</v>
      </c>
      <c r="E104" s="8">
        <f t="shared" ca="1" si="72"/>
        <v>18.747842584850343</v>
      </c>
      <c r="F104" s="8">
        <f t="shared" ca="1" si="73"/>
        <v>51.072877877270052</v>
      </c>
      <c r="G104" s="7">
        <f t="shared" ca="1" si="76"/>
        <v>2301.5806525920862</v>
      </c>
      <c r="H104" s="7">
        <f t="shared" ca="1" si="77"/>
        <v>248.4141360780236</v>
      </c>
      <c r="I104" s="7">
        <f t="shared" ca="1" si="78"/>
        <v>2549.9947886701098</v>
      </c>
      <c r="J104" s="7">
        <f t="shared" ref="J104" ca="1" si="106">F104+I104</f>
        <v>2601.0676665473798</v>
      </c>
      <c r="K104" s="7">
        <f t="shared" ca="1" si="75"/>
        <v>299.48701395529361</v>
      </c>
    </row>
    <row r="105" spans="2:11" x14ac:dyDescent="0.3">
      <c r="B105" s="6">
        <v>95</v>
      </c>
      <c r="C105" s="7">
        <f t="shared" ca="1" si="71"/>
        <v>0.51181329127180542</v>
      </c>
      <c r="D105" s="7">
        <f t="shared" ca="1" si="71"/>
        <v>0.48608857081863277</v>
      </c>
      <c r="E105" s="8">
        <f t="shared" ca="1" si="72"/>
        <v>17.926433661219811</v>
      </c>
      <c r="F105" s="8">
        <f t="shared" ca="1" si="73"/>
        <v>14.79342989206622</v>
      </c>
      <c r="G105" s="7">
        <f t="shared" ca="1" si="76"/>
        <v>2319.5070862533062</v>
      </c>
      <c r="H105" s="7">
        <f t="shared" ca="1" si="77"/>
        <v>281.56058029407359</v>
      </c>
      <c r="I105" s="7">
        <f t="shared" ca="1" si="78"/>
        <v>2601.0676665473798</v>
      </c>
      <c r="J105" s="7">
        <f t="shared" ref="J105" ca="1" si="107">F105+I105</f>
        <v>2615.8610964394461</v>
      </c>
      <c r="K105" s="7">
        <f t="shared" ca="1" si="75"/>
        <v>296.35401018613993</v>
      </c>
    </row>
    <row r="106" spans="2:11" x14ac:dyDescent="0.3">
      <c r="B106" s="6">
        <v>96</v>
      </c>
      <c r="C106" s="7">
        <f t="shared" ca="1" si="71"/>
        <v>9.8261785341686392E-2</v>
      </c>
      <c r="D106" s="7">
        <f t="shared" ca="1" si="71"/>
        <v>0.13714153032871867</v>
      </c>
      <c r="E106" s="8">
        <f t="shared" ca="1" si="72"/>
        <v>2.5857757173811469</v>
      </c>
      <c r="F106" s="8">
        <f t="shared" ca="1" si="73"/>
        <v>3.277879986917045</v>
      </c>
      <c r="G106" s="7">
        <f t="shared" ca="1" si="76"/>
        <v>2322.0928619706874</v>
      </c>
      <c r="H106" s="7">
        <f t="shared" ca="1" si="77"/>
        <v>293.76823446875869</v>
      </c>
      <c r="I106" s="7">
        <f t="shared" ca="1" si="78"/>
        <v>2615.8610964394461</v>
      </c>
      <c r="J106" s="7">
        <f t="shared" ref="J106" ca="1" si="108">F106+I106</f>
        <v>2619.1389764263631</v>
      </c>
      <c r="K106" s="7">
        <f t="shared" ca="1" si="75"/>
        <v>297.04611445567571</v>
      </c>
    </row>
    <row r="107" spans="2:11" x14ac:dyDescent="0.3">
      <c r="B107" s="6">
        <v>97</v>
      </c>
      <c r="C107" s="7">
        <f t="shared" ca="1" si="71"/>
        <v>0.90288980469683289</v>
      </c>
      <c r="D107" s="7">
        <f t="shared" ca="1" si="71"/>
        <v>0.14095111473230004</v>
      </c>
      <c r="E107" s="8">
        <f t="shared" ca="1" si="72"/>
        <v>58.297722780596864</v>
      </c>
      <c r="F107" s="8">
        <f t="shared" ca="1" si="73"/>
        <v>3.3762099801952137</v>
      </c>
      <c r="G107" s="7">
        <f t="shared" ca="1" si="76"/>
        <v>2380.3905847512842</v>
      </c>
      <c r="H107" s="7">
        <f t="shared" ca="1" si="77"/>
        <v>238.74839167507889</v>
      </c>
      <c r="I107" s="7">
        <f t="shared" ca="1" si="78"/>
        <v>2619.1389764263631</v>
      </c>
      <c r="J107" s="7">
        <f t="shared" ref="J107" ca="1" si="109">F107+I107</f>
        <v>2622.5151864065583</v>
      </c>
      <c r="K107" s="7">
        <f t="shared" ca="1" si="75"/>
        <v>242.12460165527409</v>
      </c>
    </row>
    <row r="108" spans="2:11" x14ac:dyDescent="0.3">
      <c r="B108" s="6">
        <v>98</v>
      </c>
      <c r="C108" s="7">
        <f t="shared" ref="C108:D139" ca="1" si="110">RAND()</f>
        <v>0.69492427446683747</v>
      </c>
      <c r="D108" s="7">
        <f t="shared" ca="1" si="110"/>
        <v>1.9365280288254128E-2</v>
      </c>
      <c r="E108" s="8">
        <f t="shared" ca="1" si="72"/>
        <v>29.679881318865348</v>
      </c>
      <c r="F108" s="8">
        <f t="shared" ca="1" si="73"/>
        <v>0.43456097315602893</v>
      </c>
      <c r="G108" s="7">
        <f t="shared" ca="1" si="76"/>
        <v>2410.0704660701495</v>
      </c>
      <c r="H108" s="7">
        <f t="shared" ca="1" si="77"/>
        <v>212.44472033640886</v>
      </c>
      <c r="I108" s="7">
        <f t="shared" ca="1" si="78"/>
        <v>2622.5151864065583</v>
      </c>
      <c r="J108" s="7">
        <f t="shared" ref="J108" ca="1" si="111">F108+I108</f>
        <v>2622.9497473797142</v>
      </c>
      <c r="K108" s="7">
        <f t="shared" ca="1" si="75"/>
        <v>212.8792813095647</v>
      </c>
    </row>
    <row r="109" spans="2:11" x14ac:dyDescent="0.3">
      <c r="B109" s="6">
        <v>99</v>
      </c>
      <c r="C109" s="7">
        <f t="shared" ca="1" si="110"/>
        <v>0.9456063504337584</v>
      </c>
      <c r="D109" s="7">
        <f t="shared" ca="1" si="110"/>
        <v>0.99440223338191702</v>
      </c>
      <c r="E109" s="8">
        <f t="shared" ca="1" si="72"/>
        <v>72.787696696227101</v>
      </c>
      <c r="F109" s="8">
        <f t="shared" ca="1" si="73"/>
        <v>115.23083508865847</v>
      </c>
      <c r="G109" s="7">
        <f t="shared" ca="1" si="76"/>
        <v>2482.8581627663766</v>
      </c>
      <c r="H109" s="7">
        <f t="shared" ca="1" si="77"/>
        <v>140.09158461333755</v>
      </c>
      <c r="I109" s="7">
        <f t="shared" ca="1" si="78"/>
        <v>2622.9497473797142</v>
      </c>
      <c r="J109" s="7">
        <f t="shared" ref="J109" ca="1" si="112">F109+I109</f>
        <v>2738.1805824683724</v>
      </c>
      <c r="K109" s="7">
        <f t="shared" ca="1" si="75"/>
        <v>255.32241970199584</v>
      </c>
    </row>
    <row r="110" spans="2:11" x14ac:dyDescent="0.3">
      <c r="B110" s="6">
        <v>100</v>
      </c>
      <c r="C110" s="7">
        <f t="shared" ca="1" si="110"/>
        <v>0.35589506484842204</v>
      </c>
      <c r="D110" s="7">
        <f t="shared" ca="1" si="110"/>
        <v>4.8301490604507391E-2</v>
      </c>
      <c r="E110" s="8">
        <f t="shared" ca="1" si="72"/>
        <v>10.997340584239083</v>
      </c>
      <c r="F110" s="8">
        <f t="shared" ca="1" si="73"/>
        <v>1.1001552479926828</v>
      </c>
      <c r="G110" s="7">
        <f t="shared" ca="1" si="76"/>
        <v>2493.8555033506159</v>
      </c>
      <c r="H110" s="7">
        <f t="shared" ca="1" si="77"/>
        <v>244.32507911775656</v>
      </c>
      <c r="I110" s="7">
        <f t="shared" ca="1" si="78"/>
        <v>2738.1805824683724</v>
      </c>
      <c r="J110" s="7">
        <f t="shared" ref="J110" ca="1" si="113">F110+I110</f>
        <v>2739.2807377163649</v>
      </c>
      <c r="K110" s="7">
        <f t="shared" ca="1" si="75"/>
        <v>245.42523436574902</v>
      </c>
    </row>
    <row r="111" spans="2:11" x14ac:dyDescent="0.3">
      <c r="B111" s="6">
        <v>101</v>
      </c>
      <c r="C111" s="7">
        <f t="shared" ca="1" si="110"/>
        <v>0.48908687002678086</v>
      </c>
      <c r="D111" s="7">
        <f t="shared" ca="1" si="110"/>
        <v>0.57409896317363396</v>
      </c>
      <c r="E111" s="8">
        <f t="shared" ca="1" si="72"/>
        <v>16.788892582062203</v>
      </c>
      <c r="F111" s="8">
        <f t="shared" ca="1" si="73"/>
        <v>18.967739280439101</v>
      </c>
      <c r="G111" s="7">
        <f t="shared" ca="1" si="76"/>
        <v>2510.644395932678</v>
      </c>
      <c r="H111" s="7">
        <f t="shared" ca="1" si="77"/>
        <v>228.63634178368693</v>
      </c>
      <c r="I111" s="7">
        <f t="shared" ca="1" si="78"/>
        <v>2739.2807377163649</v>
      </c>
      <c r="J111" s="7">
        <f t="shared" ref="J111" ca="1" si="114">F111+I111</f>
        <v>2758.2484769968041</v>
      </c>
      <c r="K111" s="7">
        <f t="shared" ca="1" si="75"/>
        <v>247.60408106412615</v>
      </c>
    </row>
    <row r="112" spans="2:11" x14ac:dyDescent="0.3">
      <c r="B112" s="6">
        <v>102</v>
      </c>
      <c r="C112" s="7">
        <f t="shared" ca="1" si="110"/>
        <v>0.36337794340109042</v>
      </c>
      <c r="D112" s="7">
        <f t="shared" ca="1" si="110"/>
        <v>0.51380466447476669</v>
      </c>
      <c r="E112" s="8">
        <f t="shared" ca="1" si="72"/>
        <v>11.2894779308428</v>
      </c>
      <c r="F112" s="8">
        <f t="shared" ca="1" si="73"/>
        <v>16.025440241839991</v>
      </c>
      <c r="G112" s="7">
        <f t="shared" ca="1" si="76"/>
        <v>2521.9338738635206</v>
      </c>
      <c r="H112" s="7">
        <f t="shared" ca="1" si="77"/>
        <v>236.31460313328353</v>
      </c>
      <c r="I112" s="7">
        <f t="shared" ca="1" si="78"/>
        <v>2758.2484769968041</v>
      </c>
      <c r="J112" s="7">
        <f t="shared" ref="J112" ca="1" si="115">F112+I112</f>
        <v>2774.2739172386441</v>
      </c>
      <c r="K112" s="7">
        <f t="shared" ca="1" si="75"/>
        <v>252.34004337512351</v>
      </c>
    </row>
    <row r="113" spans="2:11" x14ac:dyDescent="0.3">
      <c r="B113" s="6">
        <v>103</v>
      </c>
      <c r="C113" s="7">
        <f t="shared" ca="1" si="110"/>
        <v>0.11017690876598962</v>
      </c>
      <c r="D113" s="7">
        <f t="shared" ca="1" si="110"/>
        <v>0.90078187622444927</v>
      </c>
      <c r="E113" s="8">
        <f t="shared" ca="1" si="72"/>
        <v>2.9183152477117682</v>
      </c>
      <c r="F113" s="8">
        <f t="shared" ca="1" si="73"/>
        <v>51.342990711744314</v>
      </c>
      <c r="G113" s="7">
        <f t="shared" ca="1" si="76"/>
        <v>2524.8521891112323</v>
      </c>
      <c r="H113" s="7">
        <f t="shared" ca="1" si="77"/>
        <v>249.42172812741182</v>
      </c>
      <c r="I113" s="7">
        <f t="shared" ca="1" si="78"/>
        <v>2774.2739172386441</v>
      </c>
      <c r="J113" s="7">
        <f t="shared" ref="J113" ca="1" si="116">F113+I113</f>
        <v>2825.6169079503884</v>
      </c>
      <c r="K113" s="7">
        <f t="shared" ca="1" si="75"/>
        <v>300.7647188391561</v>
      </c>
    </row>
    <row r="114" spans="2:11" x14ac:dyDescent="0.3">
      <c r="B114" s="6">
        <v>104</v>
      </c>
      <c r="C114" s="7">
        <f t="shared" ca="1" si="110"/>
        <v>0.45636818008538227</v>
      </c>
      <c r="D114" s="7">
        <f t="shared" ca="1" si="110"/>
        <v>0.20336079335260482</v>
      </c>
      <c r="E114" s="8">
        <f t="shared" ca="1" si="72"/>
        <v>15.2370765721837</v>
      </c>
      <c r="F114" s="8">
        <f t="shared" ca="1" si="73"/>
        <v>5.052297599159659</v>
      </c>
      <c r="G114" s="7">
        <f t="shared" ca="1" si="76"/>
        <v>2540.0892656834162</v>
      </c>
      <c r="H114" s="7">
        <f t="shared" ca="1" si="77"/>
        <v>285.52764226697218</v>
      </c>
      <c r="I114" s="7">
        <f t="shared" ca="1" si="78"/>
        <v>2825.6169079503884</v>
      </c>
      <c r="J114" s="7">
        <f t="shared" ref="J114" ca="1" si="117">F114+I114</f>
        <v>2830.6692055495482</v>
      </c>
      <c r="K114" s="7">
        <f t="shared" ca="1" si="75"/>
        <v>290.57993986613201</v>
      </c>
    </row>
    <row r="115" spans="2:11" x14ac:dyDescent="0.3">
      <c r="B115" s="6">
        <v>105</v>
      </c>
      <c r="C115" s="7">
        <f t="shared" ca="1" si="110"/>
        <v>0.86741242710700406</v>
      </c>
      <c r="D115" s="7">
        <f t="shared" ca="1" si="110"/>
        <v>3.425475462126315E-2</v>
      </c>
      <c r="E115" s="8">
        <f t="shared" ca="1" si="72"/>
        <v>50.512798109448468</v>
      </c>
      <c r="F115" s="8">
        <f t="shared" ca="1" si="73"/>
        <v>0.77456001533728813</v>
      </c>
      <c r="G115" s="7">
        <f t="shared" ca="1" si="76"/>
        <v>2590.6020637928646</v>
      </c>
      <c r="H115" s="7">
        <f t="shared" ca="1" si="77"/>
        <v>240.06714175668367</v>
      </c>
      <c r="I115" s="7">
        <f t="shared" ca="1" si="78"/>
        <v>2830.6692055495482</v>
      </c>
      <c r="J115" s="7">
        <f t="shared" ref="J115" ca="1" si="118">F115+I115</f>
        <v>2831.4437655648853</v>
      </c>
      <c r="K115" s="7">
        <f t="shared" ca="1" si="75"/>
        <v>240.84170177202077</v>
      </c>
    </row>
    <row r="116" spans="2:11" x14ac:dyDescent="0.3">
      <c r="B116" s="6">
        <v>106</v>
      </c>
      <c r="C116" s="7">
        <f t="shared" ca="1" si="110"/>
        <v>0.7125096553672583</v>
      </c>
      <c r="D116" s="7">
        <f t="shared" ca="1" si="110"/>
        <v>0.15526912836475737</v>
      </c>
      <c r="E116" s="8">
        <f t="shared" ca="1" si="72"/>
        <v>31.16415007986998</v>
      </c>
      <c r="F116" s="8">
        <f t="shared" ca="1" si="73"/>
        <v>3.7497154991449588</v>
      </c>
      <c r="G116" s="7">
        <f t="shared" ca="1" si="76"/>
        <v>2621.7662138727346</v>
      </c>
      <c r="H116" s="7">
        <f t="shared" ca="1" si="77"/>
        <v>209.6775516921507</v>
      </c>
      <c r="I116" s="7">
        <f t="shared" ca="1" si="78"/>
        <v>2831.4437655648853</v>
      </c>
      <c r="J116" s="7">
        <f t="shared" ref="J116" ca="1" si="119">F116+I116</f>
        <v>2835.1934810640305</v>
      </c>
      <c r="K116" s="7">
        <f t="shared" ca="1" si="75"/>
        <v>213.42726719129587</v>
      </c>
    </row>
    <row r="117" spans="2:11" x14ac:dyDescent="0.3">
      <c r="B117" s="6">
        <v>107</v>
      </c>
      <c r="C117" s="7">
        <f t="shared" ca="1" si="110"/>
        <v>0.86820445373606048</v>
      </c>
      <c r="D117" s="7">
        <f t="shared" ca="1" si="110"/>
        <v>0.80985331127980209</v>
      </c>
      <c r="E117" s="8">
        <f t="shared" ca="1" si="72"/>
        <v>50.662586227720276</v>
      </c>
      <c r="F117" s="8">
        <f t="shared" ca="1" si="73"/>
        <v>36.887987973333331</v>
      </c>
      <c r="G117" s="7">
        <f t="shared" ca="1" si="76"/>
        <v>2672.4288001004547</v>
      </c>
      <c r="H117" s="7">
        <f t="shared" ca="1" si="77"/>
        <v>162.76468096357576</v>
      </c>
      <c r="I117" s="7">
        <f t="shared" ca="1" si="78"/>
        <v>2835.1934810640305</v>
      </c>
      <c r="J117" s="7">
        <f t="shared" ref="J117" ca="1" si="120">F117+I117</f>
        <v>2872.0814690373636</v>
      </c>
      <c r="K117" s="7">
        <f t="shared" ca="1" si="75"/>
        <v>199.65266893690887</v>
      </c>
    </row>
    <row r="118" spans="2:11" x14ac:dyDescent="0.3">
      <c r="B118" s="6">
        <v>108</v>
      </c>
      <c r="C118" s="7">
        <f t="shared" ca="1" si="110"/>
        <v>0.70548534244187</v>
      </c>
      <c r="D118" s="7">
        <f t="shared" ca="1" si="110"/>
        <v>0.29515507580873823</v>
      </c>
      <c r="E118" s="8">
        <f t="shared" ca="1" si="72"/>
        <v>30.560662653342064</v>
      </c>
      <c r="F118" s="8">
        <f t="shared" ca="1" si="73"/>
        <v>7.7728325789338166</v>
      </c>
      <c r="G118" s="7">
        <f t="shared" ca="1" si="76"/>
        <v>2702.9894627537969</v>
      </c>
      <c r="H118" s="7">
        <f t="shared" ca="1" si="77"/>
        <v>169.09200628356666</v>
      </c>
      <c r="I118" s="7">
        <f t="shared" ca="1" si="78"/>
        <v>2872.0814690373636</v>
      </c>
      <c r="J118" s="7">
        <f t="shared" ref="J118" ca="1" si="121">F118+I118</f>
        <v>2879.8543016162976</v>
      </c>
      <c r="K118" s="7">
        <f t="shared" ca="1" si="75"/>
        <v>176.86483886250062</v>
      </c>
    </row>
    <row r="119" spans="2:11" x14ac:dyDescent="0.3">
      <c r="B119" s="6">
        <v>109</v>
      </c>
      <c r="C119" s="7">
        <f t="shared" ca="1" si="110"/>
        <v>0.16413817783630136</v>
      </c>
      <c r="D119" s="7">
        <f t="shared" ca="1" si="110"/>
        <v>0.51691013551734744</v>
      </c>
      <c r="E119" s="8">
        <f t="shared" ca="1" si="72"/>
        <v>4.482299101290149</v>
      </c>
      <c r="F119" s="8">
        <f t="shared" ca="1" si="73"/>
        <v>16.167835284580203</v>
      </c>
      <c r="G119" s="7">
        <f t="shared" ca="1" si="76"/>
        <v>2707.4717618550872</v>
      </c>
      <c r="H119" s="7">
        <f t="shared" ca="1" si="77"/>
        <v>172.38253976121041</v>
      </c>
      <c r="I119" s="7">
        <f t="shared" ca="1" si="78"/>
        <v>2879.8543016162976</v>
      </c>
      <c r="J119" s="7">
        <f t="shared" ref="J119" ca="1" si="122">F119+I119</f>
        <v>2896.0221369008777</v>
      </c>
      <c r="K119" s="7">
        <f t="shared" ca="1" si="75"/>
        <v>188.55037504579059</v>
      </c>
    </row>
    <row r="120" spans="2:11" x14ac:dyDescent="0.3">
      <c r="B120" s="6">
        <v>110</v>
      </c>
      <c r="C120" s="7">
        <f t="shared" ca="1" si="110"/>
        <v>0.48895659181262419</v>
      </c>
      <c r="D120" s="7">
        <f t="shared" ca="1" si="110"/>
        <v>0.41097924521013474</v>
      </c>
      <c r="E120" s="8">
        <f t="shared" ca="1" si="72"/>
        <v>16.782518621428963</v>
      </c>
      <c r="F120" s="8">
        <f t="shared" ca="1" si="73"/>
        <v>11.762085747047426</v>
      </c>
      <c r="G120" s="7">
        <f t="shared" ca="1" si="76"/>
        <v>2724.2542804765162</v>
      </c>
      <c r="H120" s="7">
        <f t="shared" ca="1" si="77"/>
        <v>171.76785642436153</v>
      </c>
      <c r="I120" s="7">
        <f t="shared" ca="1" si="78"/>
        <v>2896.0221369008777</v>
      </c>
      <c r="J120" s="7">
        <f t="shared" ref="J120" ca="1" si="123">F120+I120</f>
        <v>2907.7842226479252</v>
      </c>
      <c r="K120" s="7">
        <f t="shared" ca="1" si="75"/>
        <v>183.52994217140895</v>
      </c>
    </row>
    <row r="121" spans="2:11" x14ac:dyDescent="0.3">
      <c r="B121" s="6">
        <v>111</v>
      </c>
      <c r="C121" s="7">
        <f t="shared" ca="1" si="110"/>
        <v>0.3416151249672793</v>
      </c>
      <c r="D121" s="7">
        <f t="shared" ca="1" si="110"/>
        <v>0.820241986920074</v>
      </c>
      <c r="E121" s="8">
        <f t="shared" ca="1" si="72"/>
        <v>10.44914005476692</v>
      </c>
      <c r="F121" s="8">
        <f t="shared" ca="1" si="73"/>
        <v>38.136526763301831</v>
      </c>
      <c r="G121" s="7">
        <f t="shared" ca="1" si="76"/>
        <v>2734.703420531283</v>
      </c>
      <c r="H121" s="7">
        <f t="shared" ca="1" si="77"/>
        <v>173.08080211664219</v>
      </c>
      <c r="I121" s="7">
        <f t="shared" ca="1" si="78"/>
        <v>2907.7842226479252</v>
      </c>
      <c r="J121" s="7">
        <f t="shared" ref="J121" ca="1" si="124">F121+I121</f>
        <v>2945.920749411227</v>
      </c>
      <c r="K121" s="7">
        <f t="shared" ca="1" si="75"/>
        <v>211.21732887994403</v>
      </c>
    </row>
    <row r="122" spans="2:11" x14ac:dyDescent="0.3">
      <c r="B122" s="6">
        <v>112</v>
      </c>
      <c r="C122" s="7">
        <f t="shared" ca="1" si="110"/>
        <v>0.35115970743637392</v>
      </c>
      <c r="D122" s="7">
        <f t="shared" ca="1" si="110"/>
        <v>0.62513661863890346</v>
      </c>
      <c r="E122" s="8">
        <f t="shared" ca="1" si="72"/>
        <v>10.814216872443774</v>
      </c>
      <c r="F122" s="8">
        <f t="shared" ca="1" si="73"/>
        <v>21.804303016921487</v>
      </c>
      <c r="G122" s="7">
        <f t="shared" ca="1" si="76"/>
        <v>2745.5176374037269</v>
      </c>
      <c r="H122" s="7">
        <f t="shared" ca="1" si="77"/>
        <v>200.40311200750011</v>
      </c>
      <c r="I122" s="7">
        <f t="shared" ca="1" si="78"/>
        <v>2945.920749411227</v>
      </c>
      <c r="J122" s="7">
        <f t="shared" ref="J122" ca="1" si="125">F122+I122</f>
        <v>2967.7250524281485</v>
      </c>
      <c r="K122" s="7">
        <f t="shared" ca="1" si="75"/>
        <v>222.20741502442161</v>
      </c>
    </row>
    <row r="123" spans="2:11" x14ac:dyDescent="0.3">
      <c r="B123" s="6">
        <v>113</v>
      </c>
      <c r="C123" s="7">
        <f t="shared" ca="1" si="110"/>
        <v>0.53235895076197859</v>
      </c>
      <c r="D123" s="7">
        <f t="shared" ca="1" si="110"/>
        <v>0.41620024675501466</v>
      </c>
      <c r="E123" s="8">
        <f t="shared" ca="1" si="72"/>
        <v>19.001356653963455</v>
      </c>
      <c r="F123" s="8">
        <f t="shared" ca="1" si="73"/>
        <v>11.959938738503824</v>
      </c>
      <c r="G123" s="7">
        <f t="shared" ca="1" si="76"/>
        <v>2764.5189940576902</v>
      </c>
      <c r="H123" s="7">
        <f t="shared" ca="1" si="77"/>
        <v>203.20605837045832</v>
      </c>
      <c r="I123" s="7">
        <f t="shared" ca="1" si="78"/>
        <v>2967.7250524281485</v>
      </c>
      <c r="J123" s="7">
        <f t="shared" ref="J123" ca="1" si="126">F123+I123</f>
        <v>2979.6849911666523</v>
      </c>
      <c r="K123" s="7">
        <f t="shared" ca="1" si="75"/>
        <v>215.16599710896207</v>
      </c>
    </row>
    <row r="124" spans="2:11" x14ac:dyDescent="0.3">
      <c r="B124" s="6">
        <v>114</v>
      </c>
      <c r="C124" s="7">
        <f t="shared" ca="1" si="110"/>
        <v>0.9545637571742408</v>
      </c>
      <c r="D124" s="7">
        <f t="shared" ca="1" si="110"/>
        <v>0.99702715137553699</v>
      </c>
      <c r="E124" s="8">
        <f t="shared" ca="1" si="72"/>
        <v>77.286129807001174</v>
      </c>
      <c r="F124" s="8">
        <f t="shared" ca="1" si="73"/>
        <v>129.29410340057063</v>
      </c>
      <c r="G124" s="7">
        <f t="shared" ca="1" si="76"/>
        <v>2841.8051238646913</v>
      </c>
      <c r="H124" s="7">
        <f t="shared" ca="1" si="77"/>
        <v>137.87986730196099</v>
      </c>
      <c r="I124" s="7">
        <f t="shared" ca="1" si="78"/>
        <v>2979.6849911666523</v>
      </c>
      <c r="J124" s="7">
        <f t="shared" ref="J124" ca="1" si="127">F124+I124</f>
        <v>3108.979094567223</v>
      </c>
      <c r="K124" s="7">
        <f t="shared" ca="1" si="75"/>
        <v>267.17397070253173</v>
      </c>
    </row>
    <row r="125" spans="2:11" x14ac:dyDescent="0.3">
      <c r="B125" s="6">
        <v>115</v>
      </c>
      <c r="C125" s="7">
        <f t="shared" ca="1" si="110"/>
        <v>2.3340803548956623E-2</v>
      </c>
      <c r="D125" s="7">
        <f t="shared" ca="1" si="110"/>
        <v>0.75979260493412404</v>
      </c>
      <c r="E125" s="8">
        <f t="shared" ca="1" si="72"/>
        <v>0.59043785883309019</v>
      </c>
      <c r="F125" s="8">
        <f t="shared" ca="1" si="73"/>
        <v>31.694501837591474</v>
      </c>
      <c r="G125" s="7">
        <f t="shared" ca="1" si="76"/>
        <v>2842.3955617235242</v>
      </c>
      <c r="H125" s="7">
        <f t="shared" ca="1" si="77"/>
        <v>266.58353284369878</v>
      </c>
      <c r="I125" s="7">
        <f t="shared" ca="1" si="78"/>
        <v>3108.979094567223</v>
      </c>
      <c r="J125" s="7">
        <f t="shared" ref="J125" ca="1" si="128">F125+I125</f>
        <v>3140.6735964048144</v>
      </c>
      <c r="K125" s="7">
        <f t="shared" ca="1" si="75"/>
        <v>298.27803468129014</v>
      </c>
    </row>
    <row r="126" spans="2:11" x14ac:dyDescent="0.3">
      <c r="B126" s="6">
        <v>116</v>
      </c>
      <c r="C126" s="7">
        <f t="shared" ca="1" si="110"/>
        <v>0.48861809743155393</v>
      </c>
      <c r="D126" s="7">
        <f t="shared" ca="1" si="110"/>
        <v>5.5427338243283941E-2</v>
      </c>
      <c r="E126" s="8">
        <f t="shared" ca="1" si="72"/>
        <v>16.765965119188923</v>
      </c>
      <c r="F126" s="8">
        <f t="shared" ca="1" si="73"/>
        <v>1.2671703010516746</v>
      </c>
      <c r="G126" s="7">
        <f t="shared" ca="1" si="76"/>
        <v>2859.1615268427131</v>
      </c>
      <c r="H126" s="7">
        <f t="shared" ca="1" si="77"/>
        <v>281.51206956210126</v>
      </c>
      <c r="I126" s="7">
        <f t="shared" ca="1" si="78"/>
        <v>3140.6735964048144</v>
      </c>
      <c r="J126" s="7">
        <f t="shared" ref="J126" ca="1" si="129">F126+I126</f>
        <v>3141.9407667058658</v>
      </c>
      <c r="K126" s="7">
        <f t="shared" ca="1" si="75"/>
        <v>282.77923986315272</v>
      </c>
    </row>
    <row r="127" spans="2:11" x14ac:dyDescent="0.3">
      <c r="B127" s="6">
        <v>117</v>
      </c>
      <c r="C127" s="7">
        <f t="shared" ca="1" si="110"/>
        <v>3.8007961017573977E-2</v>
      </c>
      <c r="D127" s="7">
        <f t="shared" ca="1" si="110"/>
        <v>0.30577012873937159</v>
      </c>
      <c r="E127" s="8">
        <f t="shared" ca="1" si="72"/>
        <v>0.96872759591790492</v>
      </c>
      <c r="F127" s="8">
        <f t="shared" ca="1" si="73"/>
        <v>8.1100477048538622</v>
      </c>
      <c r="G127" s="7">
        <f t="shared" ca="1" si="76"/>
        <v>2860.1302544386308</v>
      </c>
      <c r="H127" s="7">
        <f t="shared" ca="1" si="77"/>
        <v>281.81051226723503</v>
      </c>
      <c r="I127" s="7">
        <f t="shared" ca="1" si="78"/>
        <v>3141.9407667058658</v>
      </c>
      <c r="J127" s="7">
        <f t="shared" ref="J127" ca="1" si="130">F127+I127</f>
        <v>3150.0508144107198</v>
      </c>
      <c r="K127" s="7">
        <f t="shared" ca="1" si="75"/>
        <v>289.92055997208899</v>
      </c>
    </row>
    <row r="128" spans="2:11" x14ac:dyDescent="0.3">
      <c r="B128" s="6">
        <v>118</v>
      </c>
      <c r="C128" s="7">
        <f t="shared" ca="1" si="110"/>
        <v>0.97457214352936028</v>
      </c>
      <c r="D128" s="7">
        <f t="shared" ca="1" si="110"/>
        <v>0.91331422030746034</v>
      </c>
      <c r="E128" s="8">
        <f t="shared" ca="1" si="72"/>
        <v>91.797749861594838</v>
      </c>
      <c r="F128" s="8">
        <f t="shared" ca="1" si="73"/>
        <v>54.343676134112208</v>
      </c>
      <c r="G128" s="7">
        <f t="shared" ca="1" si="76"/>
        <v>2951.9280043002254</v>
      </c>
      <c r="H128" s="7">
        <f t="shared" ca="1" si="77"/>
        <v>198.12281011049436</v>
      </c>
      <c r="I128" s="7">
        <f t="shared" ca="1" si="78"/>
        <v>3150.0508144107198</v>
      </c>
      <c r="J128" s="7">
        <f t="shared" ref="J128" ca="1" si="131">F128+I128</f>
        <v>3204.394490544832</v>
      </c>
      <c r="K128" s="7">
        <f t="shared" ca="1" si="75"/>
        <v>252.46648624460659</v>
      </c>
    </row>
    <row r="129" spans="2:11" x14ac:dyDescent="0.3">
      <c r="B129" s="6">
        <v>119</v>
      </c>
      <c r="C129" s="7">
        <f t="shared" ca="1" si="110"/>
        <v>0.74279429143966436</v>
      </c>
      <c r="D129" s="7">
        <f t="shared" ca="1" si="110"/>
        <v>0.7170324676710903</v>
      </c>
      <c r="E129" s="8">
        <f t="shared" ca="1" si="72"/>
        <v>33.94697729600864</v>
      </c>
      <c r="F129" s="8">
        <f t="shared" ca="1" si="73"/>
        <v>28.053846992744134</v>
      </c>
      <c r="G129" s="7">
        <f t="shared" ca="1" si="76"/>
        <v>2985.8749815962342</v>
      </c>
      <c r="H129" s="7">
        <f t="shared" ca="1" si="77"/>
        <v>218.51950894859783</v>
      </c>
      <c r="I129" s="7">
        <f t="shared" ca="1" si="78"/>
        <v>3204.394490544832</v>
      </c>
      <c r="J129" s="7">
        <f t="shared" ref="J129" ca="1" si="132">F129+I129</f>
        <v>3232.4483375375762</v>
      </c>
      <c r="K129" s="7">
        <f t="shared" ca="1" si="75"/>
        <v>246.57335594134202</v>
      </c>
    </row>
    <row r="130" spans="2:11" x14ac:dyDescent="0.3">
      <c r="B130" s="6">
        <v>120</v>
      </c>
      <c r="C130" s="7">
        <f t="shared" ca="1" si="110"/>
        <v>0.29225960865849543</v>
      </c>
      <c r="D130" s="7">
        <f t="shared" ca="1" si="110"/>
        <v>0.40721046739016853</v>
      </c>
      <c r="E130" s="8">
        <f t="shared" ca="1" si="72"/>
        <v>8.6419482856935499</v>
      </c>
      <c r="F130" s="8">
        <f t="shared" ca="1" si="73"/>
        <v>11.620352504376138</v>
      </c>
      <c r="G130" s="7">
        <f t="shared" ca="1" si="76"/>
        <v>2994.5169298819278</v>
      </c>
      <c r="H130" s="7">
        <f t="shared" ca="1" si="77"/>
        <v>237.9314076556484</v>
      </c>
      <c r="I130" s="7">
        <f t="shared" ca="1" si="78"/>
        <v>3232.4483375375762</v>
      </c>
      <c r="J130" s="7">
        <f t="shared" ref="J130" ca="1" si="133">F130+I130</f>
        <v>3244.0686900419523</v>
      </c>
      <c r="K130" s="7">
        <f t="shared" ca="1" si="75"/>
        <v>249.55176016002451</v>
      </c>
    </row>
    <row r="131" spans="2:11" x14ac:dyDescent="0.3">
      <c r="B131" s="6">
        <v>121</v>
      </c>
      <c r="C131" s="7">
        <f t="shared" ca="1" si="110"/>
        <v>0.80236881210771394</v>
      </c>
      <c r="D131" s="7">
        <f t="shared" ca="1" si="110"/>
        <v>0.73441856973599973</v>
      </c>
      <c r="E131" s="8">
        <f t="shared" ca="1" si="72"/>
        <v>40.533816816494351</v>
      </c>
      <c r="F131" s="8">
        <f t="shared" ca="1" si="73"/>
        <v>29.46297288886235</v>
      </c>
      <c r="G131" s="7">
        <f t="shared" ca="1" si="76"/>
        <v>3035.0507466984222</v>
      </c>
      <c r="H131" s="7">
        <f t="shared" ca="1" si="77"/>
        <v>209.01794334353008</v>
      </c>
      <c r="I131" s="7">
        <f t="shared" ca="1" si="78"/>
        <v>3244.0686900419523</v>
      </c>
      <c r="J131" s="7">
        <f t="shared" ref="J131" ca="1" si="134">F131+I131</f>
        <v>3273.5316629308145</v>
      </c>
      <c r="K131" s="7">
        <f t="shared" ca="1" si="75"/>
        <v>238.48091623239225</v>
      </c>
    </row>
    <row r="132" spans="2:11" x14ac:dyDescent="0.3">
      <c r="B132" s="6">
        <v>122</v>
      </c>
      <c r="C132" s="7">
        <f t="shared" ca="1" si="110"/>
        <v>0.81374152036607683</v>
      </c>
      <c r="D132" s="7">
        <f t="shared" ca="1" si="110"/>
        <v>0.71534088548098607</v>
      </c>
      <c r="E132" s="8">
        <f t="shared" ca="1" si="72"/>
        <v>42.015497363075447</v>
      </c>
      <c r="F132" s="8">
        <f t="shared" ca="1" si="73"/>
        <v>27.921397866806423</v>
      </c>
      <c r="G132" s="7">
        <f t="shared" ca="1" si="76"/>
        <v>3077.0662440614979</v>
      </c>
      <c r="H132" s="7">
        <f t="shared" ca="1" si="77"/>
        <v>196.46541886931664</v>
      </c>
      <c r="I132" s="7">
        <f t="shared" ca="1" si="78"/>
        <v>3273.5316629308145</v>
      </c>
      <c r="J132" s="7">
        <f t="shared" ref="J132" ca="1" si="135">F132+I132</f>
        <v>3301.4530607976208</v>
      </c>
      <c r="K132" s="7">
        <f t="shared" ca="1" si="75"/>
        <v>224.38681673612291</v>
      </c>
    </row>
    <row r="133" spans="2:11" x14ac:dyDescent="0.3">
      <c r="B133" s="6">
        <v>123</v>
      </c>
      <c r="C133" s="7">
        <f t="shared" ca="1" si="110"/>
        <v>2.956939128463365E-2</v>
      </c>
      <c r="D133" s="7">
        <f t="shared" ca="1" si="110"/>
        <v>0.58997590643539133</v>
      </c>
      <c r="E133" s="8">
        <f t="shared" ca="1" si="72"/>
        <v>0.75038448700607574</v>
      </c>
      <c r="F133" s="8">
        <f t="shared" ca="1" si="73"/>
        <v>19.811985693747506</v>
      </c>
      <c r="G133" s="7">
        <f t="shared" ca="1" si="76"/>
        <v>3077.816628548504</v>
      </c>
      <c r="H133" s="7">
        <f t="shared" ca="1" si="77"/>
        <v>223.63643224911675</v>
      </c>
      <c r="I133" s="7">
        <f t="shared" ca="1" si="78"/>
        <v>3301.4530607976208</v>
      </c>
      <c r="J133" s="7">
        <f t="shared" ref="J133" ca="1" si="136">F133+I133</f>
        <v>3321.2650464913681</v>
      </c>
      <c r="K133" s="7">
        <f t="shared" ca="1" si="75"/>
        <v>243.44841794286413</v>
      </c>
    </row>
    <row r="134" spans="2:11" x14ac:dyDescent="0.3">
      <c r="B134" s="6">
        <v>124</v>
      </c>
      <c r="C134" s="7">
        <f t="shared" ca="1" si="110"/>
        <v>0.92812002443947794</v>
      </c>
      <c r="D134" s="7">
        <f t="shared" ca="1" si="110"/>
        <v>0.7433227139917481</v>
      </c>
      <c r="E134" s="8">
        <f t="shared" ca="1" si="72"/>
        <v>65.818938926767572</v>
      </c>
      <c r="F134" s="8">
        <f t="shared" ca="1" si="73"/>
        <v>30.220792880006123</v>
      </c>
      <c r="G134" s="7">
        <f t="shared" ca="1" si="76"/>
        <v>3143.6355674752717</v>
      </c>
      <c r="H134" s="7">
        <f t="shared" ca="1" si="77"/>
        <v>177.62947901609641</v>
      </c>
      <c r="I134" s="7">
        <f t="shared" ca="1" si="78"/>
        <v>3321.2650464913681</v>
      </c>
      <c r="J134" s="7">
        <f t="shared" ref="J134" ca="1" si="137">F134+I134</f>
        <v>3351.4858393713744</v>
      </c>
      <c r="K134" s="7">
        <f t="shared" ca="1" si="75"/>
        <v>207.85027189610264</v>
      </c>
    </row>
    <row r="135" spans="2:11" x14ac:dyDescent="0.3">
      <c r="B135" s="6">
        <v>125</v>
      </c>
      <c r="C135" s="7">
        <f t="shared" ca="1" si="110"/>
        <v>0.83169166400772898</v>
      </c>
      <c r="D135" s="7">
        <f t="shared" ca="1" si="110"/>
        <v>0.66903205823251599</v>
      </c>
      <c r="E135" s="8">
        <f t="shared" ca="1" si="72"/>
        <v>44.548941211444479</v>
      </c>
      <c r="F135" s="8">
        <f t="shared" ca="1" si="73"/>
        <v>24.571861354706847</v>
      </c>
      <c r="G135" s="7">
        <f t="shared" ca="1" si="76"/>
        <v>3188.1845086867161</v>
      </c>
      <c r="H135" s="7">
        <f t="shared" ca="1" si="77"/>
        <v>163.3013306846583</v>
      </c>
      <c r="I135" s="7">
        <f t="shared" ca="1" si="78"/>
        <v>3351.4858393713744</v>
      </c>
      <c r="J135" s="7">
        <f t="shared" ref="J135" ca="1" si="138">F135+I135</f>
        <v>3376.0577007260813</v>
      </c>
      <c r="K135" s="7">
        <f t="shared" ca="1" si="75"/>
        <v>187.87319203936522</v>
      </c>
    </row>
    <row r="136" spans="2:11" x14ac:dyDescent="0.3">
      <c r="B136" s="6">
        <v>126</v>
      </c>
      <c r="C136" s="7">
        <f t="shared" ca="1" si="110"/>
        <v>8.6636928675463132E-2</v>
      </c>
      <c r="D136" s="7">
        <f t="shared" ca="1" si="110"/>
        <v>0.86457934631083899</v>
      </c>
      <c r="E136" s="8">
        <f t="shared" ca="1" si="72"/>
        <v>2.2655452238451925</v>
      </c>
      <c r="F136" s="8">
        <f t="shared" ca="1" si="73"/>
        <v>44.430430929157211</v>
      </c>
      <c r="G136" s="7">
        <f t="shared" ca="1" si="76"/>
        <v>3190.4500539105611</v>
      </c>
      <c r="H136" s="7">
        <f t="shared" ca="1" si="77"/>
        <v>185.60764681552018</v>
      </c>
      <c r="I136" s="7">
        <f t="shared" ca="1" si="78"/>
        <v>3376.0577007260813</v>
      </c>
      <c r="J136" s="7">
        <f t="shared" ref="J136" ca="1" si="139">F136+I136</f>
        <v>3420.4881316552387</v>
      </c>
      <c r="K136" s="7">
        <f t="shared" ca="1" si="75"/>
        <v>230.03807774467759</v>
      </c>
    </row>
    <row r="137" spans="2:11" x14ac:dyDescent="0.3">
      <c r="B137" s="6">
        <v>127</v>
      </c>
      <c r="C137" s="7">
        <f t="shared" ca="1" si="110"/>
        <v>0.75810455687568923</v>
      </c>
      <c r="D137" s="7">
        <f t="shared" ca="1" si="110"/>
        <v>0.16369790696393216</v>
      </c>
      <c r="E137" s="8">
        <f t="shared" ca="1" si="72"/>
        <v>35.48124248481642</v>
      </c>
      <c r="F137" s="8">
        <f t="shared" ca="1" si="73"/>
        <v>3.9725639080941963</v>
      </c>
      <c r="G137" s="7">
        <f t="shared" ca="1" si="76"/>
        <v>3225.9312963953776</v>
      </c>
      <c r="H137" s="7">
        <f t="shared" ca="1" si="77"/>
        <v>194.55683525986115</v>
      </c>
      <c r="I137" s="7">
        <f t="shared" ca="1" si="78"/>
        <v>3420.4881316552387</v>
      </c>
      <c r="J137" s="7">
        <f t="shared" ref="J137" ca="1" si="140">F137+I137</f>
        <v>3424.460695563333</v>
      </c>
      <c r="K137" s="7">
        <f t="shared" ca="1" si="75"/>
        <v>198.52939916795549</v>
      </c>
    </row>
    <row r="138" spans="2:11" x14ac:dyDescent="0.3">
      <c r="B138" s="6">
        <v>128</v>
      </c>
      <c r="C138" s="7">
        <f t="shared" ca="1" si="110"/>
        <v>0.50910278135136466</v>
      </c>
      <c r="D138" s="7">
        <f t="shared" ca="1" si="110"/>
        <v>0.18904725169056347</v>
      </c>
      <c r="E138" s="8">
        <f t="shared" ca="1" si="72"/>
        <v>17.788012593871162</v>
      </c>
      <c r="F138" s="8">
        <f t="shared" ca="1" si="73"/>
        <v>4.6565664456515785</v>
      </c>
      <c r="G138" s="7">
        <f t="shared" ca="1" si="76"/>
        <v>3243.7193089892489</v>
      </c>
      <c r="H138" s="7">
        <f t="shared" ca="1" si="77"/>
        <v>180.74138657408412</v>
      </c>
      <c r="I138" s="7">
        <f t="shared" ca="1" si="78"/>
        <v>3424.460695563333</v>
      </c>
      <c r="J138" s="7">
        <f t="shared" ref="J138" ca="1" si="141">F138+I138</f>
        <v>3429.1172620089847</v>
      </c>
      <c r="K138" s="7">
        <f t="shared" ca="1" si="75"/>
        <v>185.39795301973572</v>
      </c>
    </row>
    <row r="139" spans="2:11" x14ac:dyDescent="0.3">
      <c r="B139" s="6">
        <v>129</v>
      </c>
      <c r="C139" s="7">
        <f t="shared" ca="1" si="110"/>
        <v>0.13794742823828221</v>
      </c>
      <c r="D139" s="7">
        <f t="shared" ca="1" si="110"/>
        <v>0.54414349742657042</v>
      </c>
      <c r="E139" s="8">
        <f t="shared" ca="1" si="72"/>
        <v>3.7109755513875373</v>
      </c>
      <c r="F139" s="8">
        <f t="shared" ca="1" si="73"/>
        <v>17.457271251803821</v>
      </c>
      <c r="G139" s="7">
        <f t="shared" ca="1" si="76"/>
        <v>3247.4302845406364</v>
      </c>
      <c r="H139" s="7">
        <f t="shared" ca="1" si="77"/>
        <v>181.68697746834823</v>
      </c>
      <c r="I139" s="7">
        <f t="shared" ca="1" si="78"/>
        <v>3429.1172620089847</v>
      </c>
      <c r="J139" s="7">
        <f t="shared" ref="J139" ca="1" si="142">F139+I139</f>
        <v>3446.5745332607885</v>
      </c>
      <c r="K139" s="7">
        <f t="shared" ca="1" si="75"/>
        <v>199.14424872015206</v>
      </c>
    </row>
    <row r="140" spans="2:11" x14ac:dyDescent="0.3">
      <c r="B140" s="6">
        <v>130</v>
      </c>
      <c r="C140" s="7">
        <f t="shared" ref="C140:D171" ca="1" si="143">RAND()</f>
        <v>0.57717400581139922</v>
      </c>
      <c r="D140" s="7">
        <f t="shared" ca="1" si="143"/>
        <v>0.12481725613594652</v>
      </c>
      <c r="E140" s="8">
        <f t="shared" ref="E140:E203" ca="1" si="144">(1/$M$3)*LN(1/(1-C140))</f>
        <v>21.519863645609348</v>
      </c>
      <c r="F140" s="8">
        <f t="shared" ref="F140:F203" ca="1" si="145">(1/$M$6)*LN(1/(1-D140))</f>
        <v>2.9627236511184045</v>
      </c>
      <c r="G140" s="7">
        <f t="shared" ca="1" si="76"/>
        <v>3268.9501481862458</v>
      </c>
      <c r="H140" s="7">
        <f t="shared" ca="1" si="77"/>
        <v>177.62438507454272</v>
      </c>
      <c r="I140" s="7">
        <f t="shared" ca="1" si="78"/>
        <v>3446.5745332607885</v>
      </c>
      <c r="J140" s="7">
        <f t="shared" ref="J140" ca="1" si="146">F140+I140</f>
        <v>3449.5372569119068</v>
      </c>
      <c r="K140" s="7">
        <f t="shared" ref="K140:K203" ca="1" si="147">J140-G140</f>
        <v>180.58710872566098</v>
      </c>
    </row>
    <row r="141" spans="2:11" x14ac:dyDescent="0.3">
      <c r="B141" s="6">
        <v>131</v>
      </c>
      <c r="C141" s="7">
        <f t="shared" ca="1" si="143"/>
        <v>0.89429937560078665</v>
      </c>
      <c r="D141" s="7">
        <f t="shared" ca="1" si="143"/>
        <v>0.84964537633114035</v>
      </c>
      <c r="E141" s="8">
        <f t="shared" ca="1" si="144"/>
        <v>56.178611971151682</v>
      </c>
      <c r="F141" s="8">
        <f t="shared" ca="1" si="145"/>
        <v>42.105747051504345</v>
      </c>
      <c r="G141" s="7">
        <f t="shared" ref="G141:G204" ca="1" si="148">E141+G140</f>
        <v>3325.1287601573977</v>
      </c>
      <c r="H141" s="7">
        <f t="shared" ref="H141:H204" ca="1" si="149">IF(J140&gt;G141,J140-G141,0)</f>
        <v>124.40849675450909</v>
      </c>
      <c r="I141" s="7">
        <f t="shared" ref="I141:I204" ca="1" si="150">G141+H141</f>
        <v>3449.5372569119068</v>
      </c>
      <c r="J141" s="7">
        <f t="shared" ref="J141" ca="1" si="151">F141+I141</f>
        <v>3491.643003963411</v>
      </c>
      <c r="K141" s="7">
        <f t="shared" ca="1" si="147"/>
        <v>166.51424380601338</v>
      </c>
    </row>
    <row r="142" spans="2:11" x14ac:dyDescent="0.3">
      <c r="B142" s="6">
        <v>132</v>
      </c>
      <c r="C142" s="7">
        <f t="shared" ca="1" si="143"/>
        <v>0.33561785541474476</v>
      </c>
      <c r="D142" s="7">
        <f t="shared" ca="1" si="143"/>
        <v>0.34796602411056798</v>
      </c>
      <c r="E142" s="8">
        <f t="shared" ca="1" si="144"/>
        <v>10.222444402488113</v>
      </c>
      <c r="F142" s="8">
        <f t="shared" ca="1" si="145"/>
        <v>9.5035246256291455</v>
      </c>
      <c r="G142" s="7">
        <f t="shared" ca="1" si="148"/>
        <v>3335.3512045598859</v>
      </c>
      <c r="H142" s="7">
        <f t="shared" ca="1" si="149"/>
        <v>156.29179940352515</v>
      </c>
      <c r="I142" s="7">
        <f t="shared" ca="1" si="150"/>
        <v>3491.643003963411</v>
      </c>
      <c r="J142" s="7">
        <f t="shared" ref="J142" ca="1" si="152">F142+I142</f>
        <v>3501.1465285890404</v>
      </c>
      <c r="K142" s="7">
        <f t="shared" ca="1" si="147"/>
        <v>165.79532402915447</v>
      </c>
    </row>
    <row r="143" spans="2:11" x14ac:dyDescent="0.3">
      <c r="B143" s="6">
        <v>133</v>
      </c>
      <c r="C143" s="7">
        <f t="shared" ca="1" si="143"/>
        <v>0.98783056796194224</v>
      </c>
      <c r="D143" s="7">
        <f t="shared" ca="1" si="143"/>
        <v>0.78281073066886664</v>
      </c>
      <c r="E143" s="8">
        <f t="shared" ca="1" si="144"/>
        <v>110.22070105222934</v>
      </c>
      <c r="F143" s="8">
        <f t="shared" ca="1" si="145"/>
        <v>33.933024371013218</v>
      </c>
      <c r="G143" s="7">
        <f t="shared" ca="1" si="148"/>
        <v>3445.5719056121152</v>
      </c>
      <c r="H143" s="7">
        <f t="shared" ca="1" si="149"/>
        <v>55.574622976925184</v>
      </c>
      <c r="I143" s="7">
        <f t="shared" ca="1" si="150"/>
        <v>3501.1465285890404</v>
      </c>
      <c r="J143" s="7">
        <f t="shared" ref="J143" ca="1" si="153">F143+I143</f>
        <v>3535.0795529600537</v>
      </c>
      <c r="K143" s="7">
        <f t="shared" ca="1" si="147"/>
        <v>89.507647347938473</v>
      </c>
    </row>
    <row r="144" spans="2:11" x14ac:dyDescent="0.3">
      <c r="B144" s="6">
        <v>134</v>
      </c>
      <c r="C144" s="7">
        <f t="shared" ca="1" si="143"/>
        <v>0.66420088385358156</v>
      </c>
      <c r="D144" s="7">
        <f t="shared" ca="1" si="143"/>
        <v>0.55662887924710869</v>
      </c>
      <c r="E144" s="8">
        <f t="shared" ca="1" si="144"/>
        <v>27.281054160637215</v>
      </c>
      <c r="F144" s="8">
        <f t="shared" ca="1" si="145"/>
        <v>18.074402561905934</v>
      </c>
      <c r="G144" s="7">
        <f t="shared" ca="1" si="148"/>
        <v>3472.8529597727525</v>
      </c>
      <c r="H144" s="7">
        <f t="shared" ca="1" si="149"/>
        <v>62.226593187301205</v>
      </c>
      <c r="I144" s="7">
        <f t="shared" ca="1" si="150"/>
        <v>3535.0795529600537</v>
      </c>
      <c r="J144" s="7">
        <f t="shared" ref="J144" ca="1" si="154">F144+I144</f>
        <v>3553.1539555219597</v>
      </c>
      <c r="K144" s="7">
        <f t="shared" ca="1" si="147"/>
        <v>80.300995749207232</v>
      </c>
    </row>
    <row r="145" spans="2:11" x14ac:dyDescent="0.3">
      <c r="B145" s="6">
        <v>135</v>
      </c>
      <c r="C145" s="7">
        <f t="shared" ca="1" si="143"/>
        <v>0.58619585309013311</v>
      </c>
      <c r="D145" s="7">
        <f t="shared" ca="1" si="143"/>
        <v>3.9911766897829271E-2</v>
      </c>
      <c r="E145" s="8">
        <f t="shared" ca="1" si="144"/>
        <v>22.059062304727252</v>
      </c>
      <c r="F145" s="8">
        <f t="shared" ca="1" si="145"/>
        <v>0.90511309471655321</v>
      </c>
      <c r="G145" s="7">
        <f t="shared" ca="1" si="148"/>
        <v>3494.9120220774798</v>
      </c>
      <c r="H145" s="7">
        <f t="shared" ca="1" si="149"/>
        <v>58.241933444479855</v>
      </c>
      <c r="I145" s="7">
        <f t="shared" ca="1" si="150"/>
        <v>3553.1539555219597</v>
      </c>
      <c r="J145" s="7">
        <f t="shared" ref="J145" ca="1" si="155">F145+I145</f>
        <v>3554.0590686166761</v>
      </c>
      <c r="K145" s="7">
        <f t="shared" ca="1" si="147"/>
        <v>59.147046539196253</v>
      </c>
    </row>
    <row r="146" spans="2:11" x14ac:dyDescent="0.3">
      <c r="B146" s="6">
        <v>136</v>
      </c>
      <c r="C146" s="7">
        <f t="shared" ca="1" si="143"/>
        <v>0.52134684076594107</v>
      </c>
      <c r="D146" s="7">
        <f t="shared" ca="1" si="143"/>
        <v>0.61328232136803429</v>
      </c>
      <c r="E146" s="8">
        <f t="shared" ca="1" si="144"/>
        <v>18.419475932764691</v>
      </c>
      <c r="F146" s="8">
        <f t="shared" ca="1" si="145"/>
        <v>21.112452550112007</v>
      </c>
      <c r="G146" s="7">
        <f t="shared" ca="1" si="148"/>
        <v>3513.3314980102446</v>
      </c>
      <c r="H146" s="7">
        <f t="shared" ca="1" si="149"/>
        <v>40.727570606431527</v>
      </c>
      <c r="I146" s="7">
        <f t="shared" ca="1" si="150"/>
        <v>3554.0590686166761</v>
      </c>
      <c r="J146" s="7">
        <f t="shared" ref="J146" ca="1" si="156">F146+I146</f>
        <v>3575.1715211667879</v>
      </c>
      <c r="K146" s="7">
        <f t="shared" ca="1" si="147"/>
        <v>61.840023156543339</v>
      </c>
    </row>
    <row r="147" spans="2:11" x14ac:dyDescent="0.3">
      <c r="B147" s="6">
        <v>137</v>
      </c>
      <c r="C147" s="7">
        <f t="shared" ca="1" si="143"/>
        <v>0.78929381609311422</v>
      </c>
      <c r="D147" s="7">
        <f t="shared" ca="1" si="143"/>
        <v>0.22077455108440391</v>
      </c>
      <c r="E147" s="8">
        <f t="shared" ca="1" si="144"/>
        <v>38.93226523145448</v>
      </c>
      <c r="F147" s="8">
        <f t="shared" ca="1" si="145"/>
        <v>5.5434414861005523</v>
      </c>
      <c r="G147" s="7">
        <f t="shared" ca="1" si="148"/>
        <v>3552.2637632416991</v>
      </c>
      <c r="H147" s="7">
        <f t="shared" ca="1" si="149"/>
        <v>22.907757925088845</v>
      </c>
      <c r="I147" s="7">
        <f t="shared" ca="1" si="150"/>
        <v>3575.1715211667879</v>
      </c>
      <c r="J147" s="7">
        <f t="shared" ref="J147" ca="1" si="157">F147+I147</f>
        <v>3580.7149626528885</v>
      </c>
      <c r="K147" s="7">
        <f t="shared" ca="1" si="147"/>
        <v>28.451199411189464</v>
      </c>
    </row>
    <row r="148" spans="2:11" x14ac:dyDescent="0.3">
      <c r="B148" s="6">
        <v>138</v>
      </c>
      <c r="C148" s="7">
        <f t="shared" ca="1" si="143"/>
        <v>0.71471696244242733</v>
      </c>
      <c r="D148" s="7">
        <f t="shared" ca="1" si="143"/>
        <v>0.25511405142437471</v>
      </c>
      <c r="E148" s="8">
        <f t="shared" ca="1" si="144"/>
        <v>31.356836932202036</v>
      </c>
      <c r="F148" s="8">
        <f t="shared" ca="1" si="145"/>
        <v>6.5449813662700782</v>
      </c>
      <c r="G148" s="7">
        <f t="shared" ca="1" si="148"/>
        <v>3583.620600173901</v>
      </c>
      <c r="H148" s="7">
        <f t="shared" ca="1" si="149"/>
        <v>0</v>
      </c>
      <c r="I148" s="7">
        <f t="shared" ca="1" si="150"/>
        <v>3583.620600173901</v>
      </c>
      <c r="J148" s="7">
        <f t="shared" ref="J148" ca="1" si="158">F148+I148</f>
        <v>3590.1655815401709</v>
      </c>
      <c r="K148" s="7">
        <f t="shared" ca="1" si="147"/>
        <v>6.5449813662698944</v>
      </c>
    </row>
    <row r="149" spans="2:11" x14ac:dyDescent="0.3">
      <c r="B149" s="6">
        <v>139</v>
      </c>
      <c r="C149" s="7">
        <f t="shared" ca="1" si="143"/>
        <v>6.459765505621784E-2</v>
      </c>
      <c r="D149" s="7">
        <f t="shared" ca="1" si="143"/>
        <v>0.31656110043286179</v>
      </c>
      <c r="E149" s="8">
        <f t="shared" ca="1" si="144"/>
        <v>1.669463170117375</v>
      </c>
      <c r="F149" s="8">
        <f t="shared" ca="1" si="145"/>
        <v>8.4581782284063411</v>
      </c>
      <c r="G149" s="7">
        <f t="shared" ca="1" si="148"/>
        <v>3585.2900633440186</v>
      </c>
      <c r="H149" s="7">
        <f t="shared" ca="1" si="149"/>
        <v>4.8755181961523704</v>
      </c>
      <c r="I149" s="7">
        <f t="shared" ca="1" si="150"/>
        <v>3590.1655815401709</v>
      </c>
      <c r="J149" s="7">
        <f t="shared" ref="J149" ca="1" si="159">F149+I149</f>
        <v>3598.6237597685772</v>
      </c>
      <c r="K149" s="7">
        <f t="shared" ca="1" si="147"/>
        <v>13.333696424558639</v>
      </c>
    </row>
    <row r="150" spans="2:11" x14ac:dyDescent="0.3">
      <c r="B150" s="6">
        <v>140</v>
      </c>
      <c r="C150" s="7">
        <f t="shared" ca="1" si="143"/>
        <v>0.83838047212000966</v>
      </c>
      <c r="D150" s="7">
        <f t="shared" ca="1" si="143"/>
        <v>6.8536398164279366E-2</v>
      </c>
      <c r="E150" s="8">
        <f t="shared" ca="1" si="144"/>
        <v>45.562757483857105</v>
      </c>
      <c r="F150" s="8">
        <f t="shared" ca="1" si="145"/>
        <v>1.577736988691911</v>
      </c>
      <c r="G150" s="7">
        <f t="shared" ca="1" si="148"/>
        <v>3630.8528208278758</v>
      </c>
      <c r="H150" s="7">
        <f t="shared" ca="1" si="149"/>
        <v>0</v>
      </c>
      <c r="I150" s="7">
        <f t="shared" ca="1" si="150"/>
        <v>3630.8528208278758</v>
      </c>
      <c r="J150" s="7">
        <f t="shared" ref="J150" ca="1" si="160">F150+I150</f>
        <v>3632.4305578165677</v>
      </c>
      <c r="K150" s="7">
        <f t="shared" ca="1" si="147"/>
        <v>1.5777369886918677</v>
      </c>
    </row>
    <row r="151" spans="2:11" x14ac:dyDescent="0.3">
      <c r="B151" s="6">
        <v>141</v>
      </c>
      <c r="C151" s="7">
        <f t="shared" ca="1" si="143"/>
        <v>0.84682566166701412</v>
      </c>
      <c r="D151" s="7">
        <f t="shared" ca="1" si="143"/>
        <v>0.27648317397162925</v>
      </c>
      <c r="E151" s="8">
        <f t="shared" ca="1" si="144"/>
        <v>46.904463501498626</v>
      </c>
      <c r="F151" s="8">
        <f t="shared" ca="1" si="145"/>
        <v>7.1918105944283495</v>
      </c>
      <c r="G151" s="7">
        <f t="shared" ca="1" si="148"/>
        <v>3677.7572843293742</v>
      </c>
      <c r="H151" s="7">
        <f t="shared" ca="1" si="149"/>
        <v>0</v>
      </c>
      <c r="I151" s="7">
        <f t="shared" ca="1" si="150"/>
        <v>3677.7572843293742</v>
      </c>
      <c r="J151" s="7">
        <f t="shared" ref="J151" ca="1" si="161">F151+I151</f>
        <v>3684.9490949238025</v>
      </c>
      <c r="K151" s="7">
        <f t="shared" ca="1" si="147"/>
        <v>7.1918105944282615</v>
      </c>
    </row>
    <row r="152" spans="2:11" x14ac:dyDescent="0.3">
      <c r="B152" s="6">
        <v>142</v>
      </c>
      <c r="C152" s="7">
        <f t="shared" ca="1" si="143"/>
        <v>0.59593469008969668</v>
      </c>
      <c r="D152" s="7">
        <f t="shared" ca="1" si="143"/>
        <v>0.69905629971269745</v>
      </c>
      <c r="E152" s="8">
        <f t="shared" ca="1" si="144"/>
        <v>22.654468897311116</v>
      </c>
      <c r="F152" s="8">
        <f t="shared" ca="1" si="145"/>
        <v>26.685157199171488</v>
      </c>
      <c r="G152" s="7">
        <f t="shared" ca="1" si="148"/>
        <v>3700.4117532266855</v>
      </c>
      <c r="H152" s="7">
        <f t="shared" ca="1" si="149"/>
        <v>0</v>
      </c>
      <c r="I152" s="7">
        <f t="shared" ca="1" si="150"/>
        <v>3700.4117532266855</v>
      </c>
      <c r="J152" s="7">
        <f t="shared" ref="J152" ca="1" si="162">F152+I152</f>
        <v>3727.096910425857</v>
      </c>
      <c r="K152" s="7">
        <f t="shared" ca="1" si="147"/>
        <v>26.685157199171499</v>
      </c>
    </row>
    <row r="153" spans="2:11" x14ac:dyDescent="0.3">
      <c r="B153" s="6">
        <v>143</v>
      </c>
      <c r="C153" s="7">
        <f t="shared" ca="1" si="143"/>
        <v>0.11110429843182723</v>
      </c>
      <c r="D153" s="7">
        <f t="shared" ca="1" si="143"/>
        <v>0.37353023054259094</v>
      </c>
      <c r="E153" s="8">
        <f t="shared" ca="1" si="144"/>
        <v>2.944384285538987</v>
      </c>
      <c r="F153" s="8">
        <f t="shared" ca="1" si="145"/>
        <v>10.39232797491178</v>
      </c>
      <c r="G153" s="7">
        <f t="shared" ca="1" si="148"/>
        <v>3703.3561375122244</v>
      </c>
      <c r="H153" s="7">
        <f t="shared" ca="1" si="149"/>
        <v>23.740772913632554</v>
      </c>
      <c r="I153" s="7">
        <f t="shared" ca="1" si="150"/>
        <v>3727.096910425857</v>
      </c>
      <c r="J153" s="7">
        <f t="shared" ref="J153" ca="1" si="163">F153+I153</f>
        <v>3737.489238400769</v>
      </c>
      <c r="K153" s="7">
        <f t="shared" ca="1" si="147"/>
        <v>34.133100888544504</v>
      </c>
    </row>
    <row r="154" spans="2:11" x14ac:dyDescent="0.3">
      <c r="B154" s="6">
        <v>144</v>
      </c>
      <c r="C154" s="7">
        <f t="shared" ca="1" si="143"/>
        <v>0.3396226221362425</v>
      </c>
      <c r="D154" s="7">
        <f t="shared" ca="1" si="143"/>
        <v>0.60456200879841704</v>
      </c>
      <c r="E154" s="8">
        <f t="shared" ca="1" si="144"/>
        <v>10.373595568154039</v>
      </c>
      <c r="F154" s="8">
        <f t="shared" ca="1" si="145"/>
        <v>20.61691755340707</v>
      </c>
      <c r="G154" s="7">
        <f t="shared" ca="1" si="148"/>
        <v>3713.7297330803785</v>
      </c>
      <c r="H154" s="7">
        <f t="shared" ca="1" si="149"/>
        <v>23.759505320390417</v>
      </c>
      <c r="I154" s="7">
        <f t="shared" ca="1" si="150"/>
        <v>3737.489238400769</v>
      </c>
      <c r="J154" s="7">
        <f t="shared" ref="J154" ca="1" si="164">F154+I154</f>
        <v>3758.1061559541758</v>
      </c>
      <c r="K154" s="7">
        <f t="shared" ca="1" si="147"/>
        <v>44.37642287379731</v>
      </c>
    </row>
    <row r="155" spans="2:11" x14ac:dyDescent="0.3">
      <c r="B155" s="6">
        <v>145</v>
      </c>
      <c r="C155" s="7">
        <f t="shared" ca="1" si="143"/>
        <v>0.69535433983323991</v>
      </c>
      <c r="D155" s="7">
        <f t="shared" ca="1" si="143"/>
        <v>6.6734014807713349E-2</v>
      </c>
      <c r="E155" s="8">
        <f t="shared" ca="1" si="144"/>
        <v>29.715148692440419</v>
      </c>
      <c r="F155" s="8">
        <f t="shared" ca="1" si="145"/>
        <v>1.5347785069570496</v>
      </c>
      <c r="G155" s="7">
        <f t="shared" ca="1" si="148"/>
        <v>3743.4448817728189</v>
      </c>
      <c r="H155" s="7">
        <f t="shared" ca="1" si="149"/>
        <v>14.66127418135693</v>
      </c>
      <c r="I155" s="7">
        <f t="shared" ca="1" si="150"/>
        <v>3758.1061559541758</v>
      </c>
      <c r="J155" s="7">
        <f t="shared" ref="J155" ca="1" si="165">F155+I155</f>
        <v>3759.6409344611329</v>
      </c>
      <c r="K155" s="7">
        <f t="shared" ca="1" si="147"/>
        <v>16.196052688314012</v>
      </c>
    </row>
    <row r="156" spans="2:11" x14ac:dyDescent="0.3">
      <c r="B156" s="6">
        <v>146</v>
      </c>
      <c r="C156" s="7">
        <f t="shared" ca="1" si="143"/>
        <v>0.66009970359307468</v>
      </c>
      <c r="D156" s="7">
        <f t="shared" ca="1" si="143"/>
        <v>0.25413480816906742</v>
      </c>
      <c r="E156" s="8">
        <f t="shared" ca="1" si="144"/>
        <v>26.977573755972241</v>
      </c>
      <c r="F156" s="8">
        <f t="shared" ca="1" si="145"/>
        <v>6.5157867357658938</v>
      </c>
      <c r="G156" s="7">
        <f t="shared" ca="1" si="148"/>
        <v>3770.422455528791</v>
      </c>
      <c r="H156" s="7">
        <f t="shared" ca="1" si="149"/>
        <v>0</v>
      </c>
      <c r="I156" s="7">
        <f t="shared" ca="1" si="150"/>
        <v>3770.422455528791</v>
      </c>
      <c r="J156" s="7">
        <f t="shared" ref="J156" ca="1" si="166">F156+I156</f>
        <v>3776.9382422645567</v>
      </c>
      <c r="K156" s="7">
        <f t="shared" ca="1" si="147"/>
        <v>6.5157867357656869</v>
      </c>
    </row>
    <row r="157" spans="2:11" x14ac:dyDescent="0.3">
      <c r="B157" s="6">
        <v>147</v>
      </c>
      <c r="C157" s="7">
        <f t="shared" ca="1" si="143"/>
        <v>0.27041641191070165</v>
      </c>
      <c r="D157" s="7">
        <f t="shared" ca="1" si="143"/>
        <v>0.74855554490772858</v>
      </c>
      <c r="E157" s="8">
        <f t="shared" ca="1" si="144"/>
        <v>7.8820333717542113</v>
      </c>
      <c r="F157" s="8">
        <f t="shared" ca="1" si="145"/>
        <v>30.678514851959587</v>
      </c>
      <c r="G157" s="7">
        <f t="shared" ca="1" si="148"/>
        <v>3778.304488900545</v>
      </c>
      <c r="H157" s="7">
        <f t="shared" ca="1" si="149"/>
        <v>0</v>
      </c>
      <c r="I157" s="7">
        <f t="shared" ca="1" si="150"/>
        <v>3778.304488900545</v>
      </c>
      <c r="J157" s="7">
        <f t="shared" ref="J157" ca="1" si="167">F157+I157</f>
        <v>3808.9830037525048</v>
      </c>
      <c r="K157" s="7">
        <f t="shared" ca="1" si="147"/>
        <v>30.67851485195979</v>
      </c>
    </row>
    <row r="158" spans="2:11" x14ac:dyDescent="0.3">
      <c r="B158" s="6">
        <v>148</v>
      </c>
      <c r="C158" s="7">
        <f t="shared" ca="1" si="143"/>
        <v>0.53209921395438531</v>
      </c>
      <c r="D158" s="7">
        <f t="shared" ca="1" si="143"/>
        <v>0.88547252358458317</v>
      </c>
      <c r="E158" s="8">
        <f t="shared" ca="1" si="144"/>
        <v>18.987475029194215</v>
      </c>
      <c r="F158" s="8">
        <f t="shared" ca="1" si="145"/>
        <v>48.154233690713944</v>
      </c>
      <c r="G158" s="7">
        <f t="shared" ca="1" si="148"/>
        <v>3797.2919639297393</v>
      </c>
      <c r="H158" s="7">
        <f t="shared" ca="1" si="149"/>
        <v>11.691039822765561</v>
      </c>
      <c r="I158" s="7">
        <f t="shared" ca="1" si="150"/>
        <v>3808.9830037525048</v>
      </c>
      <c r="J158" s="7">
        <f t="shared" ref="J158" ca="1" si="168">F158+I158</f>
        <v>3857.137237443219</v>
      </c>
      <c r="K158" s="7">
        <f t="shared" ca="1" si="147"/>
        <v>59.845273513479697</v>
      </c>
    </row>
    <row r="159" spans="2:11" x14ac:dyDescent="0.3">
      <c r="B159" s="6">
        <v>149</v>
      </c>
      <c r="C159" s="7">
        <f t="shared" ca="1" si="143"/>
        <v>0.4895280944353515</v>
      </c>
      <c r="D159" s="7">
        <f t="shared" ca="1" si="143"/>
        <v>2.194434479251095E-2</v>
      </c>
      <c r="E159" s="8">
        <f t="shared" ca="1" si="144"/>
        <v>16.810491901646138</v>
      </c>
      <c r="F159" s="8">
        <f t="shared" ca="1" si="145"/>
        <v>0.49308229780776341</v>
      </c>
      <c r="G159" s="7">
        <f t="shared" ca="1" si="148"/>
        <v>3814.1024558313852</v>
      </c>
      <c r="H159" s="7">
        <f t="shared" ca="1" si="149"/>
        <v>43.034781611833751</v>
      </c>
      <c r="I159" s="7">
        <f t="shared" ca="1" si="150"/>
        <v>3857.137237443219</v>
      </c>
      <c r="J159" s="7">
        <f t="shared" ref="J159" ca="1" si="169">F159+I159</f>
        <v>3857.6303197410266</v>
      </c>
      <c r="K159" s="7">
        <f t="shared" ca="1" si="147"/>
        <v>43.527863909641383</v>
      </c>
    </row>
    <row r="160" spans="2:11" x14ac:dyDescent="0.3">
      <c r="B160" s="6">
        <v>150</v>
      </c>
      <c r="C160" s="7">
        <f t="shared" ca="1" si="143"/>
        <v>0.7879621999786115</v>
      </c>
      <c r="D160" s="7">
        <f t="shared" ca="1" si="143"/>
        <v>0.9850261362369036</v>
      </c>
      <c r="E160" s="8">
        <f t="shared" ca="1" si="144"/>
        <v>38.774767955408826</v>
      </c>
      <c r="F160" s="8">
        <f t="shared" ca="1" si="145"/>
        <v>93.365533632123089</v>
      </c>
      <c r="G160" s="7">
        <f t="shared" ca="1" si="148"/>
        <v>3852.8772237867938</v>
      </c>
      <c r="H160" s="7">
        <f t="shared" ca="1" si="149"/>
        <v>4.7530959542327764</v>
      </c>
      <c r="I160" s="7">
        <f t="shared" ca="1" si="150"/>
        <v>3857.6303197410266</v>
      </c>
      <c r="J160" s="7">
        <f t="shared" ref="J160" ca="1" si="170">F160+I160</f>
        <v>3950.9958533731497</v>
      </c>
      <c r="K160" s="7">
        <f t="shared" ca="1" si="147"/>
        <v>98.118629586355837</v>
      </c>
    </row>
    <row r="161" spans="2:11" x14ac:dyDescent="0.3">
      <c r="B161" s="6">
        <v>151</v>
      </c>
      <c r="C161" s="7">
        <f t="shared" ca="1" si="143"/>
        <v>0.65450058666813438</v>
      </c>
      <c r="D161" s="7">
        <f t="shared" ca="1" si="143"/>
        <v>0.56693301451035527</v>
      </c>
      <c r="E161" s="8">
        <f t="shared" ca="1" si="144"/>
        <v>26.569108345057309</v>
      </c>
      <c r="F161" s="8">
        <f t="shared" ca="1" si="145"/>
        <v>18.596952489882781</v>
      </c>
      <c r="G161" s="7">
        <f t="shared" ca="1" si="148"/>
        <v>3879.4463321318512</v>
      </c>
      <c r="H161" s="7">
        <f t="shared" ca="1" si="149"/>
        <v>71.549521241298407</v>
      </c>
      <c r="I161" s="7">
        <f t="shared" ca="1" si="150"/>
        <v>3950.9958533731497</v>
      </c>
      <c r="J161" s="7">
        <f t="shared" ref="J161" ca="1" si="171">F161+I161</f>
        <v>3969.5928058630325</v>
      </c>
      <c r="K161" s="7">
        <f t="shared" ca="1" si="147"/>
        <v>90.146473731181231</v>
      </c>
    </row>
    <row r="162" spans="2:11" x14ac:dyDescent="0.3">
      <c r="B162" s="6">
        <v>152</v>
      </c>
      <c r="C162" s="7">
        <f t="shared" ca="1" si="143"/>
        <v>0.48823280419056114</v>
      </c>
      <c r="D162" s="7">
        <f t="shared" ca="1" si="143"/>
        <v>0.30667312661894341</v>
      </c>
      <c r="E162" s="8">
        <f t="shared" ca="1" si="144"/>
        <v>16.747136325818708</v>
      </c>
      <c r="F162" s="8">
        <f t="shared" ca="1" si="145"/>
        <v>8.1389713830477657</v>
      </c>
      <c r="G162" s="7">
        <f t="shared" ca="1" si="148"/>
        <v>3896.19346845767</v>
      </c>
      <c r="H162" s="7">
        <f t="shared" ca="1" si="149"/>
        <v>73.39933740536253</v>
      </c>
      <c r="I162" s="7">
        <f t="shared" ca="1" si="150"/>
        <v>3969.5928058630325</v>
      </c>
      <c r="J162" s="7">
        <f t="shared" ref="J162" ca="1" si="172">F162+I162</f>
        <v>3977.7317772460801</v>
      </c>
      <c r="K162" s="7">
        <f t="shared" ca="1" si="147"/>
        <v>81.538308788410177</v>
      </c>
    </row>
    <row r="163" spans="2:11" x14ac:dyDescent="0.3">
      <c r="B163" s="6">
        <v>153</v>
      </c>
      <c r="C163" s="7">
        <f t="shared" ca="1" si="143"/>
        <v>0.41195584458108991</v>
      </c>
      <c r="D163" s="7">
        <f t="shared" ca="1" si="143"/>
        <v>8.8815152099264161E-4</v>
      </c>
      <c r="E163" s="8">
        <f t="shared" ca="1" si="144"/>
        <v>13.273830991327376</v>
      </c>
      <c r="F163" s="8">
        <f t="shared" ca="1" si="145"/>
        <v>1.9745470249754121E-2</v>
      </c>
      <c r="G163" s="7">
        <f t="shared" ca="1" si="148"/>
        <v>3909.4672994489974</v>
      </c>
      <c r="H163" s="7">
        <f t="shared" ca="1" si="149"/>
        <v>68.264477797082691</v>
      </c>
      <c r="I163" s="7">
        <f t="shared" ca="1" si="150"/>
        <v>3977.7317772460801</v>
      </c>
      <c r="J163" s="7">
        <f t="shared" ref="J163" ca="1" si="173">F163+I163</f>
        <v>3977.7515227163299</v>
      </c>
      <c r="K163" s="7">
        <f t="shared" ca="1" si="147"/>
        <v>68.284223267332436</v>
      </c>
    </row>
    <row r="164" spans="2:11" x14ac:dyDescent="0.3">
      <c r="B164" s="6">
        <v>154</v>
      </c>
      <c r="C164" s="7">
        <f t="shared" ca="1" si="143"/>
        <v>0.52031883329733808</v>
      </c>
      <c r="D164" s="7">
        <f t="shared" ca="1" si="143"/>
        <v>0.87215743900992215</v>
      </c>
      <c r="E164" s="8">
        <f t="shared" ca="1" si="144"/>
        <v>18.365840795470376</v>
      </c>
      <c r="F164" s="8">
        <f t="shared" ca="1" si="145"/>
        <v>45.710128097530507</v>
      </c>
      <c r="G164" s="7">
        <f t="shared" ca="1" si="148"/>
        <v>3927.8331402444678</v>
      </c>
      <c r="H164" s="7">
        <f t="shared" ca="1" si="149"/>
        <v>49.91838247186206</v>
      </c>
      <c r="I164" s="7">
        <f t="shared" ca="1" si="150"/>
        <v>3977.7515227163299</v>
      </c>
      <c r="J164" s="7">
        <f t="shared" ref="J164" ca="1" si="174">F164+I164</f>
        <v>4023.4616508138602</v>
      </c>
      <c r="K164" s="7">
        <f t="shared" ca="1" si="147"/>
        <v>95.628510569392347</v>
      </c>
    </row>
    <row r="165" spans="2:11" x14ac:dyDescent="0.3">
      <c r="B165" s="6">
        <v>155</v>
      </c>
      <c r="C165" s="7">
        <f t="shared" ca="1" si="143"/>
        <v>0.59453233892125645</v>
      </c>
      <c r="D165" s="7">
        <f t="shared" ca="1" si="143"/>
        <v>0.7182472164302991</v>
      </c>
      <c r="E165" s="8">
        <f t="shared" ca="1" si="144"/>
        <v>22.567853983438088</v>
      </c>
      <c r="F165" s="8">
        <f t="shared" ca="1" si="145"/>
        <v>28.14944992306722</v>
      </c>
      <c r="G165" s="7">
        <f t="shared" ca="1" si="148"/>
        <v>3950.4009942279058</v>
      </c>
      <c r="H165" s="7">
        <f t="shared" ca="1" si="149"/>
        <v>73.060656585954348</v>
      </c>
      <c r="I165" s="7">
        <f t="shared" ca="1" si="150"/>
        <v>4023.4616508138602</v>
      </c>
      <c r="J165" s="7">
        <f t="shared" ref="J165" ca="1" si="175">F165+I165</f>
        <v>4051.6111007369273</v>
      </c>
      <c r="K165" s="7">
        <f t="shared" ca="1" si="147"/>
        <v>101.21010650902144</v>
      </c>
    </row>
    <row r="166" spans="2:11" x14ac:dyDescent="0.3">
      <c r="B166" s="6">
        <v>156</v>
      </c>
      <c r="C166" s="7">
        <f t="shared" ca="1" si="143"/>
        <v>7.4936747495837341E-2</v>
      </c>
      <c r="D166" s="7">
        <f t="shared" ca="1" si="143"/>
        <v>0.38066951303591334</v>
      </c>
      <c r="E166" s="8">
        <f t="shared" ca="1" si="144"/>
        <v>1.9473290680502595</v>
      </c>
      <c r="F166" s="8">
        <f t="shared" ca="1" si="145"/>
        <v>10.647027647709967</v>
      </c>
      <c r="G166" s="7">
        <f t="shared" ca="1" si="148"/>
        <v>3952.3483232959561</v>
      </c>
      <c r="H166" s="7">
        <f t="shared" ca="1" si="149"/>
        <v>99.262777440971149</v>
      </c>
      <c r="I166" s="7">
        <f t="shared" ca="1" si="150"/>
        <v>4051.6111007369273</v>
      </c>
      <c r="J166" s="7">
        <f t="shared" ref="J166" ca="1" si="176">F166+I166</f>
        <v>4062.2581283846371</v>
      </c>
      <c r="K166" s="7">
        <f t="shared" ca="1" si="147"/>
        <v>109.90980508868097</v>
      </c>
    </row>
    <row r="167" spans="2:11" x14ac:dyDescent="0.3">
      <c r="B167" s="6">
        <v>157</v>
      </c>
      <c r="C167" s="7">
        <f t="shared" ca="1" si="143"/>
        <v>0.30063508886061963</v>
      </c>
      <c r="D167" s="7">
        <f t="shared" ca="1" si="143"/>
        <v>0.95050654649470123</v>
      </c>
      <c r="E167" s="8">
        <f t="shared" ca="1" si="144"/>
        <v>8.9395656389492277</v>
      </c>
      <c r="F167" s="8">
        <f t="shared" ca="1" si="145"/>
        <v>66.798108234929359</v>
      </c>
      <c r="G167" s="7">
        <f t="shared" ca="1" si="148"/>
        <v>3961.2878889349054</v>
      </c>
      <c r="H167" s="7">
        <f t="shared" ca="1" si="149"/>
        <v>100.97023944973171</v>
      </c>
      <c r="I167" s="7">
        <f t="shared" ca="1" si="150"/>
        <v>4062.2581283846371</v>
      </c>
      <c r="J167" s="7">
        <f t="shared" ref="J167" ca="1" si="177">F167+I167</f>
        <v>4129.0562366195663</v>
      </c>
      <c r="K167" s="7">
        <f t="shared" ca="1" si="147"/>
        <v>167.76834768466097</v>
      </c>
    </row>
    <row r="168" spans="2:11" x14ac:dyDescent="0.3">
      <c r="B168" s="6">
        <v>158</v>
      </c>
      <c r="C168" s="7">
        <f t="shared" ca="1" si="143"/>
        <v>0.81652601434325367</v>
      </c>
      <c r="D168" s="7">
        <f t="shared" ca="1" si="143"/>
        <v>0.79730915559049997</v>
      </c>
      <c r="E168" s="8">
        <f t="shared" ca="1" si="144"/>
        <v>42.392059726891162</v>
      </c>
      <c r="F168" s="8">
        <f t="shared" ca="1" si="145"/>
        <v>35.468297660585293</v>
      </c>
      <c r="G168" s="7">
        <f t="shared" ca="1" si="148"/>
        <v>4003.6799486617965</v>
      </c>
      <c r="H168" s="7">
        <f t="shared" ca="1" si="149"/>
        <v>125.37628795776982</v>
      </c>
      <c r="I168" s="7">
        <f t="shared" ca="1" si="150"/>
        <v>4129.0562366195663</v>
      </c>
      <c r="J168" s="7">
        <f t="shared" ref="J168" ca="1" si="178">F168+I168</f>
        <v>4164.5245342801518</v>
      </c>
      <c r="K168" s="7">
        <f t="shared" ca="1" si="147"/>
        <v>160.84458561835527</v>
      </c>
    </row>
    <row r="169" spans="2:11" x14ac:dyDescent="0.3">
      <c r="B169" s="6">
        <v>159</v>
      </c>
      <c r="C169" s="7">
        <f t="shared" ca="1" si="143"/>
        <v>0.5293362200866063</v>
      </c>
      <c r="D169" s="7">
        <f t="shared" ca="1" si="143"/>
        <v>0.43911704216567438</v>
      </c>
      <c r="E169" s="8">
        <f t="shared" ca="1" si="144"/>
        <v>18.840282073608801</v>
      </c>
      <c r="F169" s="8">
        <f t="shared" ca="1" si="145"/>
        <v>12.849845034163174</v>
      </c>
      <c r="G169" s="7">
        <f t="shared" ca="1" si="148"/>
        <v>4022.5202307354052</v>
      </c>
      <c r="H169" s="7">
        <f t="shared" ca="1" si="149"/>
        <v>142.00430354474656</v>
      </c>
      <c r="I169" s="7">
        <f t="shared" ca="1" si="150"/>
        <v>4164.5245342801518</v>
      </c>
      <c r="J169" s="7">
        <f t="shared" ref="J169" ca="1" si="179">F169+I169</f>
        <v>4177.3743793143149</v>
      </c>
      <c r="K169" s="7">
        <f t="shared" ca="1" si="147"/>
        <v>154.85414857890964</v>
      </c>
    </row>
    <row r="170" spans="2:11" x14ac:dyDescent="0.3">
      <c r="B170" s="6">
        <v>160</v>
      </c>
      <c r="C170" s="7">
        <f t="shared" ca="1" si="143"/>
        <v>0.65708356909883892</v>
      </c>
      <c r="D170" s="7">
        <f t="shared" ca="1" si="143"/>
        <v>0.80873896319998384</v>
      </c>
      <c r="E170" s="8">
        <f t="shared" ca="1" si="144"/>
        <v>26.756712579730802</v>
      </c>
      <c r="F170" s="8">
        <f t="shared" ca="1" si="145"/>
        <v>36.758135537384973</v>
      </c>
      <c r="G170" s="7">
        <f t="shared" ca="1" si="148"/>
        <v>4049.2769433151361</v>
      </c>
      <c r="H170" s="7">
        <f t="shared" ca="1" si="149"/>
        <v>128.09743599917874</v>
      </c>
      <c r="I170" s="7">
        <f t="shared" ca="1" si="150"/>
        <v>4177.3743793143149</v>
      </c>
      <c r="J170" s="7">
        <f t="shared" ref="J170" ca="1" si="180">F170+I170</f>
        <v>4214.1325148516999</v>
      </c>
      <c r="K170" s="7">
        <f t="shared" ca="1" si="147"/>
        <v>164.85557153656373</v>
      </c>
    </row>
    <row r="171" spans="2:11" x14ac:dyDescent="0.3">
      <c r="B171" s="6">
        <v>161</v>
      </c>
      <c r="C171" s="7">
        <f t="shared" ca="1" si="143"/>
        <v>0.74479610926542883</v>
      </c>
      <c r="D171" s="7">
        <f t="shared" ca="1" si="143"/>
        <v>0.14120549869106647</v>
      </c>
      <c r="E171" s="8">
        <f t="shared" ca="1" si="144"/>
        <v>34.142312045064912</v>
      </c>
      <c r="F171" s="8">
        <f t="shared" ca="1" si="145"/>
        <v>3.38279146130923</v>
      </c>
      <c r="G171" s="7">
        <f t="shared" ca="1" si="148"/>
        <v>4083.4192553602011</v>
      </c>
      <c r="H171" s="7">
        <f t="shared" ca="1" si="149"/>
        <v>130.71325949149877</v>
      </c>
      <c r="I171" s="7">
        <f t="shared" ca="1" si="150"/>
        <v>4214.1325148516999</v>
      </c>
      <c r="J171" s="7">
        <f t="shared" ref="J171" ca="1" si="181">F171+I171</f>
        <v>4217.5153063130092</v>
      </c>
      <c r="K171" s="7">
        <f t="shared" ca="1" si="147"/>
        <v>134.09605095280813</v>
      </c>
    </row>
    <row r="172" spans="2:11" x14ac:dyDescent="0.3">
      <c r="B172" s="6">
        <v>162</v>
      </c>
      <c r="C172" s="7">
        <f t="shared" ref="C172:D210" ca="1" si="182">RAND()</f>
        <v>0.20545758490937238</v>
      </c>
      <c r="D172" s="7">
        <f t="shared" ca="1" si="182"/>
        <v>0.95332019052147821</v>
      </c>
      <c r="E172" s="8">
        <f t="shared" ca="1" si="144"/>
        <v>5.7497227134763804</v>
      </c>
      <c r="F172" s="8">
        <f t="shared" ca="1" si="145"/>
        <v>68.098745622424232</v>
      </c>
      <c r="G172" s="7">
        <f t="shared" ca="1" si="148"/>
        <v>4089.1689780736774</v>
      </c>
      <c r="H172" s="7">
        <f t="shared" ca="1" si="149"/>
        <v>128.3463282393318</v>
      </c>
      <c r="I172" s="7">
        <f t="shared" ca="1" si="150"/>
        <v>4217.5153063130092</v>
      </c>
      <c r="J172" s="7">
        <f t="shared" ref="J172" ca="1" si="183">F172+I172</f>
        <v>4285.6140519354331</v>
      </c>
      <c r="K172" s="7">
        <f t="shared" ca="1" si="147"/>
        <v>196.44507386175565</v>
      </c>
    </row>
    <row r="173" spans="2:11" x14ac:dyDescent="0.3">
      <c r="B173" s="6">
        <v>163</v>
      </c>
      <c r="C173" s="7">
        <f t="shared" ca="1" si="182"/>
        <v>0.73639257557915805</v>
      </c>
      <c r="D173" s="7">
        <f t="shared" ca="1" si="182"/>
        <v>0.89967686316830175</v>
      </c>
      <c r="E173" s="8">
        <f t="shared" ca="1" si="144"/>
        <v>33.332357781730835</v>
      </c>
      <c r="F173" s="8">
        <f t="shared" ca="1" si="145"/>
        <v>51.096865207284736</v>
      </c>
      <c r="G173" s="7">
        <f t="shared" ca="1" si="148"/>
        <v>4122.5013358554079</v>
      </c>
      <c r="H173" s="7">
        <f t="shared" ca="1" si="149"/>
        <v>163.11271608002517</v>
      </c>
      <c r="I173" s="7">
        <f t="shared" ca="1" si="150"/>
        <v>4285.6140519354331</v>
      </c>
      <c r="J173" s="7">
        <f t="shared" ref="J173" ca="1" si="184">F173+I173</f>
        <v>4336.7109171427182</v>
      </c>
      <c r="K173" s="7">
        <f t="shared" ca="1" si="147"/>
        <v>214.20958128731036</v>
      </c>
    </row>
    <row r="174" spans="2:11" x14ac:dyDescent="0.3">
      <c r="B174" s="6">
        <v>164</v>
      </c>
      <c r="C174" s="7">
        <f t="shared" ca="1" si="182"/>
        <v>0.64297422688833727</v>
      </c>
      <c r="D174" s="7">
        <f t="shared" ca="1" si="182"/>
        <v>1.8050324532289275E-2</v>
      </c>
      <c r="E174" s="8">
        <f t="shared" ca="1" si="144"/>
        <v>25.748682655455951</v>
      </c>
      <c r="F174" s="8">
        <f t="shared" ca="1" si="145"/>
        <v>0.40478264263852765</v>
      </c>
      <c r="G174" s="7">
        <f t="shared" ca="1" si="148"/>
        <v>4148.2500185108638</v>
      </c>
      <c r="H174" s="7">
        <f t="shared" ca="1" si="149"/>
        <v>188.46089863185443</v>
      </c>
      <c r="I174" s="7">
        <f t="shared" ca="1" si="150"/>
        <v>4336.7109171427182</v>
      </c>
      <c r="J174" s="7">
        <f t="shared" ref="J174" ca="1" si="185">F174+I174</f>
        <v>4337.1156997853568</v>
      </c>
      <c r="K174" s="7">
        <f t="shared" ca="1" si="147"/>
        <v>188.865681274493</v>
      </c>
    </row>
    <row r="175" spans="2:11" x14ac:dyDescent="0.3">
      <c r="B175" s="6">
        <v>165</v>
      </c>
      <c r="C175" s="7">
        <f t="shared" ca="1" si="182"/>
        <v>0.35518131601034741</v>
      </c>
      <c r="D175" s="7">
        <f t="shared" ca="1" si="182"/>
        <v>0.68708397866419757</v>
      </c>
      <c r="E175" s="8">
        <f t="shared" ca="1" si="144"/>
        <v>10.969652794969377</v>
      </c>
      <c r="F175" s="8">
        <f t="shared" ca="1" si="145"/>
        <v>25.818231708512197</v>
      </c>
      <c r="G175" s="7">
        <f t="shared" ca="1" si="148"/>
        <v>4159.2196713058329</v>
      </c>
      <c r="H175" s="7">
        <f t="shared" ca="1" si="149"/>
        <v>177.89602847952392</v>
      </c>
      <c r="I175" s="7">
        <f t="shared" ca="1" si="150"/>
        <v>4337.1156997853568</v>
      </c>
      <c r="J175" s="7">
        <f t="shared" ref="J175" ca="1" si="186">F175+I175</f>
        <v>4362.9339314938688</v>
      </c>
      <c r="K175" s="7">
        <f t="shared" ca="1" si="147"/>
        <v>203.71426018803595</v>
      </c>
    </row>
    <row r="176" spans="2:11" x14ac:dyDescent="0.3">
      <c r="B176" s="6">
        <v>166</v>
      </c>
      <c r="C176" s="7">
        <f t="shared" ca="1" si="182"/>
        <v>0.62697778004027815</v>
      </c>
      <c r="D176" s="7">
        <f t="shared" ca="1" si="182"/>
        <v>0.45756123289918238</v>
      </c>
      <c r="E176" s="8">
        <f t="shared" ca="1" si="144"/>
        <v>24.65293225437518</v>
      </c>
      <c r="F176" s="8">
        <f t="shared" ca="1" si="145"/>
        <v>13.592890480923879</v>
      </c>
      <c r="G176" s="7">
        <f t="shared" ca="1" si="148"/>
        <v>4183.8726035602085</v>
      </c>
      <c r="H176" s="7">
        <f t="shared" ca="1" si="149"/>
        <v>179.06132793366032</v>
      </c>
      <c r="I176" s="7">
        <f t="shared" ca="1" si="150"/>
        <v>4362.9339314938688</v>
      </c>
      <c r="J176" s="7">
        <f t="shared" ref="J176" ca="1" si="187">F176+I176</f>
        <v>4376.5268219747932</v>
      </c>
      <c r="K176" s="7">
        <f t="shared" ca="1" si="147"/>
        <v>192.65421841458465</v>
      </c>
    </row>
    <row r="177" spans="2:11" x14ac:dyDescent="0.3">
      <c r="B177" s="6">
        <v>167</v>
      </c>
      <c r="C177" s="7">
        <f t="shared" ca="1" si="182"/>
        <v>0.72425521360392464</v>
      </c>
      <c r="D177" s="7">
        <f t="shared" ca="1" si="182"/>
        <v>0.55770893242880426</v>
      </c>
      <c r="E177" s="8">
        <f t="shared" ca="1" si="144"/>
        <v>32.206988200561462</v>
      </c>
      <c r="F177" s="8">
        <f t="shared" ca="1" si="145"/>
        <v>18.128601993765272</v>
      </c>
      <c r="G177" s="7">
        <f t="shared" ca="1" si="148"/>
        <v>4216.0795917607702</v>
      </c>
      <c r="H177" s="7">
        <f t="shared" ca="1" si="149"/>
        <v>160.44723021402297</v>
      </c>
      <c r="I177" s="7">
        <f t="shared" ca="1" si="150"/>
        <v>4376.5268219747932</v>
      </c>
      <c r="J177" s="7">
        <f t="shared" ref="J177" ca="1" si="188">F177+I177</f>
        <v>4394.6554239685584</v>
      </c>
      <c r="K177" s="7">
        <f t="shared" ca="1" si="147"/>
        <v>178.57583220778815</v>
      </c>
    </row>
    <row r="178" spans="2:11" x14ac:dyDescent="0.3">
      <c r="B178" s="6">
        <v>168</v>
      </c>
      <c r="C178" s="7">
        <f t="shared" ca="1" si="182"/>
        <v>0.42436668115791643</v>
      </c>
      <c r="D178" s="7">
        <f t="shared" ca="1" si="182"/>
        <v>0.53019040438447751</v>
      </c>
      <c r="E178" s="8">
        <f t="shared" ca="1" si="144"/>
        <v>13.807110505851696</v>
      </c>
      <c r="F178" s="8">
        <f t="shared" ca="1" si="145"/>
        <v>16.787284046027246</v>
      </c>
      <c r="G178" s="7">
        <f t="shared" ca="1" si="148"/>
        <v>4229.8867022666218</v>
      </c>
      <c r="H178" s="7">
        <f t="shared" ca="1" si="149"/>
        <v>164.76872170193656</v>
      </c>
      <c r="I178" s="7">
        <f t="shared" ca="1" si="150"/>
        <v>4394.6554239685584</v>
      </c>
      <c r="J178" s="7">
        <f t="shared" ref="J178" ca="1" si="189">F178+I178</f>
        <v>4411.4427080145852</v>
      </c>
      <c r="K178" s="7">
        <f t="shared" ca="1" si="147"/>
        <v>181.55600574796335</v>
      </c>
    </row>
    <row r="179" spans="2:11" x14ac:dyDescent="0.3">
      <c r="B179" s="6">
        <v>169</v>
      </c>
      <c r="C179" s="7">
        <f t="shared" ca="1" si="182"/>
        <v>9.3889118521079507E-2</v>
      </c>
      <c r="D179" s="7">
        <f t="shared" ca="1" si="182"/>
        <v>0.19386142248256977</v>
      </c>
      <c r="E179" s="8">
        <f t="shared" ca="1" si="144"/>
        <v>2.4648398672339611</v>
      </c>
      <c r="F179" s="8">
        <f t="shared" ca="1" si="145"/>
        <v>4.7888804188984633</v>
      </c>
      <c r="G179" s="7">
        <f t="shared" ca="1" si="148"/>
        <v>4232.3515421338561</v>
      </c>
      <c r="H179" s="7">
        <f t="shared" ca="1" si="149"/>
        <v>179.09116588072902</v>
      </c>
      <c r="I179" s="7">
        <f t="shared" ca="1" si="150"/>
        <v>4411.4427080145852</v>
      </c>
      <c r="J179" s="7">
        <f t="shared" ref="J179" ca="1" si="190">F179+I179</f>
        <v>4416.2315884334839</v>
      </c>
      <c r="K179" s="7">
        <f t="shared" ca="1" si="147"/>
        <v>183.88004629962779</v>
      </c>
    </row>
    <row r="180" spans="2:11" x14ac:dyDescent="0.3">
      <c r="B180" s="6">
        <v>170</v>
      </c>
      <c r="C180" s="7">
        <f t="shared" ca="1" si="182"/>
        <v>0.16663915793694872</v>
      </c>
      <c r="D180" s="7">
        <f t="shared" ca="1" si="182"/>
        <v>3.8551183511354892E-2</v>
      </c>
      <c r="E180" s="8">
        <f t="shared" ca="1" si="144"/>
        <v>4.5572136715781735</v>
      </c>
      <c r="F180" s="8">
        <f t="shared" ca="1" si="145"/>
        <v>0.87364329669680862</v>
      </c>
      <c r="G180" s="7">
        <f t="shared" ca="1" si="148"/>
        <v>4236.9087558054343</v>
      </c>
      <c r="H180" s="7">
        <f t="shared" ca="1" si="149"/>
        <v>179.32283262804958</v>
      </c>
      <c r="I180" s="7">
        <f t="shared" ca="1" si="150"/>
        <v>4416.2315884334839</v>
      </c>
      <c r="J180" s="7">
        <f t="shared" ref="J180" ca="1" si="191">F180+I180</f>
        <v>4417.105231730181</v>
      </c>
      <c r="K180" s="7">
        <f t="shared" ca="1" si="147"/>
        <v>180.19647592474666</v>
      </c>
    </row>
    <row r="181" spans="2:11" x14ac:dyDescent="0.3">
      <c r="B181" s="6">
        <v>171</v>
      </c>
      <c r="C181" s="7">
        <f t="shared" ca="1" si="182"/>
        <v>0.7985496908969183</v>
      </c>
      <c r="D181" s="7">
        <f t="shared" ca="1" si="182"/>
        <v>0.50216737880040863</v>
      </c>
      <c r="E181" s="8">
        <f t="shared" ca="1" si="144"/>
        <v>40.055313323872113</v>
      </c>
      <c r="F181" s="8">
        <f t="shared" ca="1" si="145"/>
        <v>15.499808010250577</v>
      </c>
      <c r="G181" s="7">
        <f t="shared" ca="1" si="148"/>
        <v>4276.9640691293062</v>
      </c>
      <c r="H181" s="7">
        <f t="shared" ca="1" si="149"/>
        <v>140.14116260087485</v>
      </c>
      <c r="I181" s="7">
        <f t="shared" ca="1" si="150"/>
        <v>4417.105231730181</v>
      </c>
      <c r="J181" s="7">
        <f t="shared" ref="J181" ca="1" si="192">F181+I181</f>
        <v>4432.6050397404315</v>
      </c>
      <c r="K181" s="7">
        <f t="shared" ca="1" si="147"/>
        <v>155.64097061112534</v>
      </c>
    </row>
    <row r="182" spans="2:11" x14ac:dyDescent="0.3">
      <c r="B182" s="6">
        <v>172</v>
      </c>
      <c r="C182" s="7">
        <f t="shared" ca="1" si="182"/>
        <v>0.80099373972475318</v>
      </c>
      <c r="D182" s="7">
        <f t="shared" ca="1" si="182"/>
        <v>0.39746590567428608</v>
      </c>
      <c r="E182" s="8">
        <f t="shared" ca="1" si="144"/>
        <v>40.360474902071907</v>
      </c>
      <c r="F182" s="8">
        <f t="shared" ca="1" si="145"/>
        <v>11.258022825020031</v>
      </c>
      <c r="G182" s="7">
        <f t="shared" ca="1" si="148"/>
        <v>4317.3245440313776</v>
      </c>
      <c r="H182" s="7">
        <f t="shared" ca="1" si="149"/>
        <v>115.28049570905387</v>
      </c>
      <c r="I182" s="7">
        <f t="shared" ca="1" si="150"/>
        <v>4432.6050397404315</v>
      </c>
      <c r="J182" s="7">
        <f t="shared" ref="J182" ca="1" si="193">F182+I182</f>
        <v>4443.8630625654514</v>
      </c>
      <c r="K182" s="7">
        <f t="shared" ca="1" si="147"/>
        <v>126.53851853407377</v>
      </c>
    </row>
    <row r="183" spans="2:11" x14ac:dyDescent="0.3">
      <c r="B183" s="6">
        <v>173</v>
      </c>
      <c r="C183" s="7">
        <f t="shared" ca="1" si="182"/>
        <v>4.4750323946632697E-2</v>
      </c>
      <c r="D183" s="7">
        <f t="shared" ca="1" si="182"/>
        <v>0.5703052103264491</v>
      </c>
      <c r="E183" s="8">
        <f t="shared" ca="1" si="144"/>
        <v>1.1445632944385844</v>
      </c>
      <c r="F183" s="8">
        <f t="shared" ca="1" si="145"/>
        <v>18.770669194946791</v>
      </c>
      <c r="G183" s="7">
        <f t="shared" ca="1" si="148"/>
        <v>4318.4691073258164</v>
      </c>
      <c r="H183" s="7">
        <f t="shared" ca="1" si="149"/>
        <v>125.39395523963503</v>
      </c>
      <c r="I183" s="7">
        <f t="shared" ca="1" si="150"/>
        <v>4443.8630625654514</v>
      </c>
      <c r="J183" s="7">
        <f t="shared" ref="J183" ca="1" si="194">F183+I183</f>
        <v>4462.6337317603984</v>
      </c>
      <c r="K183" s="7">
        <f t="shared" ca="1" si="147"/>
        <v>144.16462443458204</v>
      </c>
    </row>
    <row r="184" spans="2:11" x14ac:dyDescent="0.3">
      <c r="B184" s="6">
        <v>174</v>
      </c>
      <c r="C184" s="7">
        <f t="shared" ca="1" si="182"/>
        <v>0.2762597620203654</v>
      </c>
      <c r="D184" s="7">
        <f t="shared" ca="1" si="182"/>
        <v>0.4672721478866011</v>
      </c>
      <c r="E184" s="8">
        <f t="shared" ca="1" si="144"/>
        <v>8.0830684574234439</v>
      </c>
      <c r="F184" s="8">
        <f t="shared" ca="1" si="145"/>
        <v>13.994324036114715</v>
      </c>
      <c r="G184" s="7">
        <f t="shared" ca="1" si="148"/>
        <v>4326.5521757832394</v>
      </c>
      <c r="H184" s="7">
        <f t="shared" ca="1" si="149"/>
        <v>136.08155597715904</v>
      </c>
      <c r="I184" s="7">
        <f t="shared" ca="1" si="150"/>
        <v>4462.6337317603984</v>
      </c>
      <c r="J184" s="7">
        <f t="shared" ref="J184" ca="1" si="195">F184+I184</f>
        <v>4476.6280557965129</v>
      </c>
      <c r="K184" s="7">
        <f t="shared" ca="1" si="147"/>
        <v>150.07588001327349</v>
      </c>
    </row>
    <row r="185" spans="2:11" x14ac:dyDescent="0.3">
      <c r="B185" s="6">
        <v>175</v>
      </c>
      <c r="C185" s="7">
        <f t="shared" ca="1" si="182"/>
        <v>0.73207009889592145</v>
      </c>
      <c r="D185" s="7">
        <f t="shared" ca="1" si="182"/>
        <v>0.45220216802348678</v>
      </c>
      <c r="E185" s="8">
        <f t="shared" ca="1" si="144"/>
        <v>32.925747393233564</v>
      </c>
      <c r="F185" s="8">
        <f t="shared" ca="1" si="145"/>
        <v>13.374421774503169</v>
      </c>
      <c r="G185" s="7">
        <f t="shared" ca="1" si="148"/>
        <v>4359.4779231764733</v>
      </c>
      <c r="H185" s="7">
        <f t="shared" ca="1" si="149"/>
        <v>117.15013262003959</v>
      </c>
      <c r="I185" s="7">
        <f t="shared" ca="1" si="150"/>
        <v>4476.6280557965129</v>
      </c>
      <c r="J185" s="7">
        <f t="shared" ref="J185" ca="1" si="196">F185+I185</f>
        <v>4490.0024775710162</v>
      </c>
      <c r="K185" s="7">
        <f t="shared" ca="1" si="147"/>
        <v>130.52455439454297</v>
      </c>
    </row>
    <row r="186" spans="2:11" x14ac:dyDescent="0.3">
      <c r="B186" s="6">
        <v>176</v>
      </c>
      <c r="C186" s="7">
        <f t="shared" ca="1" si="182"/>
        <v>0.24400257146565429</v>
      </c>
      <c r="D186" s="7">
        <f t="shared" ca="1" si="182"/>
        <v>0.72178609018193218</v>
      </c>
      <c r="E186" s="8">
        <f t="shared" ca="1" si="144"/>
        <v>6.9929326054496119</v>
      </c>
      <c r="F186" s="8">
        <f t="shared" ca="1" si="145"/>
        <v>28.430333364370711</v>
      </c>
      <c r="G186" s="7">
        <f t="shared" ca="1" si="148"/>
        <v>4366.4708557819231</v>
      </c>
      <c r="H186" s="7">
        <f t="shared" ca="1" si="149"/>
        <v>123.53162178909315</v>
      </c>
      <c r="I186" s="7">
        <f t="shared" ca="1" si="150"/>
        <v>4490.0024775710162</v>
      </c>
      <c r="J186" s="7">
        <f t="shared" ref="J186" ca="1" si="197">F186+I186</f>
        <v>4518.4328109353874</v>
      </c>
      <c r="K186" s="7">
        <f t="shared" ca="1" si="147"/>
        <v>151.96195515346426</v>
      </c>
    </row>
    <row r="187" spans="2:11" x14ac:dyDescent="0.3">
      <c r="B187" s="6">
        <v>177</v>
      </c>
      <c r="C187" s="7">
        <f t="shared" ca="1" si="182"/>
        <v>6.3994131476583394E-2</v>
      </c>
      <c r="D187" s="7">
        <f t="shared" ca="1" si="182"/>
        <v>0.35121421430609789</v>
      </c>
      <c r="E187" s="8">
        <f t="shared" ca="1" si="144"/>
        <v>1.6533383183556245</v>
      </c>
      <c r="F187" s="8">
        <f t="shared" ca="1" si="145"/>
        <v>9.6145041117960641</v>
      </c>
      <c r="G187" s="7">
        <f t="shared" ca="1" si="148"/>
        <v>4368.1241941002791</v>
      </c>
      <c r="H187" s="7">
        <f t="shared" ca="1" si="149"/>
        <v>150.3086168351083</v>
      </c>
      <c r="I187" s="7">
        <f t="shared" ca="1" si="150"/>
        <v>4518.4328109353874</v>
      </c>
      <c r="J187" s="7">
        <f t="shared" ref="J187" ca="1" si="198">F187+I187</f>
        <v>4528.0473150471835</v>
      </c>
      <c r="K187" s="7">
        <f t="shared" ca="1" si="147"/>
        <v>159.92312094690442</v>
      </c>
    </row>
    <row r="188" spans="2:11" x14ac:dyDescent="0.3">
      <c r="B188" s="6">
        <v>178</v>
      </c>
      <c r="C188" s="7">
        <f t="shared" ca="1" si="182"/>
        <v>0.67217763095279748</v>
      </c>
      <c r="D188" s="7">
        <f t="shared" ca="1" si="182"/>
        <v>4.5634123003033711E-2</v>
      </c>
      <c r="E188" s="8">
        <f t="shared" ca="1" si="144"/>
        <v>27.88208437690734</v>
      </c>
      <c r="F188" s="8">
        <f t="shared" ca="1" si="145"/>
        <v>1.037959159859283</v>
      </c>
      <c r="G188" s="7">
        <f t="shared" ca="1" si="148"/>
        <v>4396.0062784771862</v>
      </c>
      <c r="H188" s="7">
        <f t="shared" ca="1" si="149"/>
        <v>132.04103656999723</v>
      </c>
      <c r="I188" s="7">
        <f t="shared" ca="1" si="150"/>
        <v>4528.0473150471835</v>
      </c>
      <c r="J188" s="7">
        <f t="shared" ref="J188" ca="1" si="199">F188+I188</f>
        <v>4529.0852742070429</v>
      </c>
      <c r="K188" s="7">
        <f t="shared" ca="1" si="147"/>
        <v>133.07899572985662</v>
      </c>
    </row>
    <row r="189" spans="2:11" x14ac:dyDescent="0.3">
      <c r="B189" s="6">
        <v>179</v>
      </c>
      <c r="C189" s="7">
        <f t="shared" ca="1" si="182"/>
        <v>0.97986370933564537</v>
      </c>
      <c r="D189" s="7">
        <f t="shared" ca="1" si="182"/>
        <v>5.3791760649892995E-2</v>
      </c>
      <c r="E189" s="8">
        <f t="shared" ca="1" si="144"/>
        <v>97.630789654849465</v>
      </c>
      <c r="F189" s="8">
        <f t="shared" ca="1" si="145"/>
        <v>1.2287246220347521</v>
      </c>
      <c r="G189" s="7">
        <f t="shared" ca="1" si="148"/>
        <v>4493.6370681320359</v>
      </c>
      <c r="H189" s="7">
        <f t="shared" ca="1" si="149"/>
        <v>35.448206075006965</v>
      </c>
      <c r="I189" s="7">
        <f t="shared" ca="1" si="150"/>
        <v>4529.0852742070429</v>
      </c>
      <c r="J189" s="7">
        <f t="shared" ref="J189" ca="1" si="200">F189+I189</f>
        <v>4530.3139988290777</v>
      </c>
      <c r="K189" s="7">
        <f t="shared" ca="1" si="147"/>
        <v>36.676930697041826</v>
      </c>
    </row>
    <row r="190" spans="2:11" x14ac:dyDescent="0.3">
      <c r="B190" s="6">
        <v>180</v>
      </c>
      <c r="C190" s="7">
        <f t="shared" ca="1" si="182"/>
        <v>0.58357837686443159</v>
      </c>
      <c r="D190" s="7">
        <f t="shared" ca="1" si="182"/>
        <v>0.57784573351541324</v>
      </c>
      <c r="E190" s="8">
        <f t="shared" ca="1" si="144"/>
        <v>21.901425370745102</v>
      </c>
      <c r="F190" s="8">
        <f t="shared" ca="1" si="145"/>
        <v>19.164099363489537</v>
      </c>
      <c r="G190" s="7">
        <f t="shared" ca="1" si="148"/>
        <v>4515.5384935027814</v>
      </c>
      <c r="H190" s="7">
        <f t="shared" ca="1" si="149"/>
        <v>14.775505326296297</v>
      </c>
      <c r="I190" s="7">
        <f t="shared" ca="1" si="150"/>
        <v>4530.3139988290777</v>
      </c>
      <c r="J190" s="7">
        <f t="shared" ref="J190" ca="1" si="201">F190+I190</f>
        <v>4549.4780981925669</v>
      </c>
      <c r="K190" s="7">
        <f t="shared" ca="1" si="147"/>
        <v>33.939604689785483</v>
      </c>
    </row>
    <row r="191" spans="2:11" x14ac:dyDescent="0.3">
      <c r="B191" s="6">
        <v>181</v>
      </c>
      <c r="C191" s="7">
        <f t="shared" ca="1" si="182"/>
        <v>0.50747978732758203</v>
      </c>
      <c r="D191" s="7">
        <f t="shared" ca="1" si="182"/>
        <v>0.29542407759664358</v>
      </c>
      <c r="E191" s="8">
        <f t="shared" ca="1" si="144"/>
        <v>17.705494456323159</v>
      </c>
      <c r="F191" s="8">
        <f t="shared" ca="1" si="145"/>
        <v>7.7813152370355994</v>
      </c>
      <c r="G191" s="7">
        <f t="shared" ca="1" si="148"/>
        <v>4533.2439879591047</v>
      </c>
      <c r="H191" s="7">
        <f t="shared" ca="1" si="149"/>
        <v>16.234110233462161</v>
      </c>
      <c r="I191" s="7">
        <f t="shared" ca="1" si="150"/>
        <v>4549.4780981925669</v>
      </c>
      <c r="J191" s="7">
        <f t="shared" ref="J191" ca="1" si="202">F191+I191</f>
        <v>4557.2594134296023</v>
      </c>
      <c r="K191" s="7">
        <f t="shared" ca="1" si="147"/>
        <v>24.015425470497576</v>
      </c>
    </row>
    <row r="192" spans="2:11" x14ac:dyDescent="0.3">
      <c r="B192" s="6">
        <v>182</v>
      </c>
      <c r="C192" s="7">
        <f t="shared" ca="1" si="182"/>
        <v>0.80319717044672501</v>
      </c>
      <c r="D192" s="7">
        <f t="shared" ca="1" si="182"/>
        <v>0.99226796149974927</v>
      </c>
      <c r="E192" s="8">
        <f t="shared" ca="1" si="144"/>
        <v>40.638822916399675</v>
      </c>
      <c r="F192" s="8">
        <f t="shared" ca="1" si="145"/>
        <v>108.05294974020545</v>
      </c>
      <c r="G192" s="7">
        <f t="shared" ca="1" si="148"/>
        <v>4573.8828108755042</v>
      </c>
      <c r="H192" s="7">
        <f t="shared" ca="1" si="149"/>
        <v>0</v>
      </c>
      <c r="I192" s="7">
        <f t="shared" ca="1" si="150"/>
        <v>4573.8828108755042</v>
      </c>
      <c r="J192" s="7">
        <f t="shared" ref="J192" ca="1" si="203">F192+I192</f>
        <v>4681.93576061571</v>
      </c>
      <c r="K192" s="7">
        <f t="shared" ca="1" si="147"/>
        <v>108.0529497402058</v>
      </c>
    </row>
    <row r="193" spans="2:11" x14ac:dyDescent="0.3">
      <c r="B193" s="6">
        <v>183</v>
      </c>
      <c r="C193" s="7">
        <f t="shared" ca="1" si="182"/>
        <v>0.23332275800960522</v>
      </c>
      <c r="D193" s="7">
        <f t="shared" ca="1" si="182"/>
        <v>0.52644816414549844</v>
      </c>
      <c r="E193" s="8">
        <f t="shared" ca="1" si="144"/>
        <v>6.6422342981906439</v>
      </c>
      <c r="F193" s="8">
        <f t="shared" ca="1" si="145"/>
        <v>16.610975522806235</v>
      </c>
      <c r="G193" s="7">
        <f t="shared" ca="1" si="148"/>
        <v>4580.5250451736947</v>
      </c>
      <c r="H193" s="7">
        <f t="shared" ca="1" si="149"/>
        <v>101.41071544201532</v>
      </c>
      <c r="I193" s="7">
        <f t="shared" ca="1" si="150"/>
        <v>4681.93576061571</v>
      </c>
      <c r="J193" s="7">
        <f t="shared" ref="J193" ca="1" si="204">F193+I193</f>
        <v>4698.5467361385163</v>
      </c>
      <c r="K193" s="7">
        <f t="shared" ca="1" si="147"/>
        <v>118.02169096482157</v>
      </c>
    </row>
    <row r="194" spans="2:11" x14ac:dyDescent="0.3">
      <c r="B194" s="6">
        <v>184</v>
      </c>
      <c r="C194" s="7">
        <f t="shared" ca="1" si="182"/>
        <v>0.27360490198908427</v>
      </c>
      <c r="D194" s="7">
        <f t="shared" ca="1" si="182"/>
        <v>0.23712305176663506</v>
      </c>
      <c r="E194" s="8">
        <f t="shared" ca="1" si="144"/>
        <v>7.9915300012703527</v>
      </c>
      <c r="F194" s="8">
        <f t="shared" ca="1" si="145"/>
        <v>6.0146340959235003</v>
      </c>
      <c r="G194" s="7">
        <f t="shared" ca="1" si="148"/>
        <v>4588.5165751749655</v>
      </c>
      <c r="H194" s="7">
        <f t="shared" ca="1" si="149"/>
        <v>110.03016096355077</v>
      </c>
      <c r="I194" s="7">
        <f t="shared" ca="1" si="150"/>
        <v>4698.5467361385163</v>
      </c>
      <c r="J194" s="7">
        <f t="shared" ref="J194" ca="1" si="205">F194+I194</f>
        <v>4704.5613702344399</v>
      </c>
      <c r="K194" s="7">
        <f t="shared" ca="1" si="147"/>
        <v>116.04479505947438</v>
      </c>
    </row>
    <row r="195" spans="2:11" x14ac:dyDescent="0.3">
      <c r="B195" s="6">
        <v>185</v>
      </c>
      <c r="C195" s="7">
        <f t="shared" ca="1" si="182"/>
        <v>0.35346598302931831</v>
      </c>
      <c r="D195" s="7">
        <f t="shared" ca="1" si="182"/>
        <v>0.12579294295438548</v>
      </c>
      <c r="E195" s="8">
        <f t="shared" ca="1" si="144"/>
        <v>10.903236625760822</v>
      </c>
      <c r="F195" s="8">
        <f t="shared" ca="1" si="145"/>
        <v>2.9875116446639431</v>
      </c>
      <c r="G195" s="7">
        <f t="shared" ca="1" si="148"/>
        <v>4599.4198118007262</v>
      </c>
      <c r="H195" s="7">
        <f t="shared" ca="1" si="149"/>
        <v>105.14155843371373</v>
      </c>
      <c r="I195" s="7">
        <f t="shared" ca="1" si="150"/>
        <v>4704.5613702344399</v>
      </c>
      <c r="J195" s="7">
        <f t="shared" ref="J195" ca="1" si="206">F195+I195</f>
        <v>4707.5488818791036</v>
      </c>
      <c r="K195" s="7">
        <f t="shared" ca="1" si="147"/>
        <v>108.12907007837748</v>
      </c>
    </row>
    <row r="196" spans="2:11" x14ac:dyDescent="0.3">
      <c r="B196" s="6">
        <v>186</v>
      </c>
      <c r="C196" s="7">
        <f t="shared" ca="1" si="182"/>
        <v>0.94733950778468068</v>
      </c>
      <c r="D196" s="7">
        <f t="shared" ca="1" si="182"/>
        <v>0.13254096409830818</v>
      </c>
      <c r="E196" s="8">
        <f t="shared" ca="1" si="144"/>
        <v>73.597244447849846</v>
      </c>
      <c r="F196" s="8">
        <f t="shared" ca="1" si="145"/>
        <v>3.1597108697481304</v>
      </c>
      <c r="G196" s="7">
        <f t="shared" ca="1" si="148"/>
        <v>4673.0170562485764</v>
      </c>
      <c r="H196" s="7">
        <f t="shared" ca="1" si="149"/>
        <v>34.531825630527237</v>
      </c>
      <c r="I196" s="7">
        <f t="shared" ca="1" si="150"/>
        <v>4707.5488818791036</v>
      </c>
      <c r="J196" s="7">
        <f t="shared" ref="J196" ca="1" si="207">F196+I196</f>
        <v>4710.7085927488515</v>
      </c>
      <c r="K196" s="7">
        <f t="shared" ca="1" si="147"/>
        <v>37.691536500275106</v>
      </c>
    </row>
    <row r="197" spans="2:11" x14ac:dyDescent="0.3">
      <c r="B197" s="6">
        <v>187</v>
      </c>
      <c r="C197" s="7">
        <f t="shared" ca="1" si="182"/>
        <v>0.84982276763660625</v>
      </c>
      <c r="D197" s="7">
        <f t="shared" ca="1" si="182"/>
        <v>0.38543926807508722</v>
      </c>
      <c r="E197" s="8">
        <f t="shared" ca="1" si="144"/>
        <v>47.398478331909111</v>
      </c>
      <c r="F197" s="8">
        <f t="shared" ca="1" si="145"/>
        <v>10.818833853585849</v>
      </c>
      <c r="G197" s="7">
        <f t="shared" ca="1" si="148"/>
        <v>4720.4155345804857</v>
      </c>
      <c r="H197" s="7">
        <f t="shared" ca="1" si="149"/>
        <v>0</v>
      </c>
      <c r="I197" s="7">
        <f t="shared" ca="1" si="150"/>
        <v>4720.4155345804857</v>
      </c>
      <c r="J197" s="7">
        <f t="shared" ref="J197" ca="1" si="208">F197+I197</f>
        <v>4731.2343684340713</v>
      </c>
      <c r="K197" s="7">
        <f t="shared" ca="1" si="147"/>
        <v>10.818833853585602</v>
      </c>
    </row>
    <row r="198" spans="2:11" x14ac:dyDescent="0.3">
      <c r="B198" s="6">
        <v>188</v>
      </c>
      <c r="C198" s="7">
        <f t="shared" ca="1" si="182"/>
        <v>0.33891399653468801</v>
      </c>
      <c r="D198" s="7">
        <f t="shared" ca="1" si="182"/>
        <v>1.9075024816401775E-3</v>
      </c>
      <c r="E198" s="8">
        <f t="shared" ca="1" si="144"/>
        <v>10.346783411287266</v>
      </c>
      <c r="F198" s="8">
        <f t="shared" ca="1" si="145"/>
        <v>4.2429424029737615E-2</v>
      </c>
      <c r="G198" s="7">
        <f t="shared" ca="1" si="148"/>
        <v>4730.7623179917728</v>
      </c>
      <c r="H198" s="7">
        <f t="shared" ca="1" si="149"/>
        <v>0.47205044229849591</v>
      </c>
      <c r="I198" s="7">
        <f t="shared" ca="1" si="150"/>
        <v>4731.2343684340713</v>
      </c>
      <c r="J198" s="7">
        <f t="shared" ref="J198" ca="1" si="209">F198+I198</f>
        <v>4731.2767978581014</v>
      </c>
      <c r="K198" s="7">
        <f t="shared" ca="1" si="147"/>
        <v>0.5144798663286565</v>
      </c>
    </row>
    <row r="199" spans="2:11" x14ac:dyDescent="0.3">
      <c r="B199" s="6">
        <v>189</v>
      </c>
      <c r="C199" s="7">
        <f t="shared" ca="1" si="182"/>
        <v>0.68489382211516858</v>
      </c>
      <c r="D199" s="7">
        <f t="shared" ca="1" si="182"/>
        <v>0.31085947472507813</v>
      </c>
      <c r="E199" s="8">
        <f t="shared" ca="1" si="144"/>
        <v>28.871140607561717</v>
      </c>
      <c r="F199" s="8">
        <f t="shared" ca="1" si="145"/>
        <v>8.2735571857396035</v>
      </c>
      <c r="G199" s="7">
        <f t="shared" ca="1" si="148"/>
        <v>4759.6334585993345</v>
      </c>
      <c r="H199" s="7">
        <f t="shared" ca="1" si="149"/>
        <v>0</v>
      </c>
      <c r="I199" s="7">
        <f t="shared" ca="1" si="150"/>
        <v>4759.6334585993345</v>
      </c>
      <c r="J199" s="7">
        <f t="shared" ref="J199" ca="1" si="210">F199+I199</f>
        <v>4767.9070157850738</v>
      </c>
      <c r="K199" s="7">
        <f t="shared" ca="1" si="147"/>
        <v>8.2735571857392642</v>
      </c>
    </row>
    <row r="200" spans="2:11" x14ac:dyDescent="0.3">
      <c r="B200" s="6">
        <v>190</v>
      </c>
      <c r="C200" s="7">
        <f t="shared" ca="1" si="182"/>
        <v>0.99704580251244468</v>
      </c>
      <c r="D200" s="7">
        <f t="shared" ca="1" si="182"/>
        <v>0.54167899724366664</v>
      </c>
      <c r="E200" s="8">
        <f t="shared" ca="1" si="144"/>
        <v>145.61320607058667</v>
      </c>
      <c r="F200" s="8">
        <f t="shared" ca="1" si="145"/>
        <v>17.337454688634669</v>
      </c>
      <c r="G200" s="7">
        <f t="shared" ca="1" si="148"/>
        <v>4905.2466646699213</v>
      </c>
      <c r="H200" s="7">
        <f t="shared" ca="1" si="149"/>
        <v>0</v>
      </c>
      <c r="I200" s="7">
        <f t="shared" ca="1" si="150"/>
        <v>4905.2466646699213</v>
      </c>
      <c r="J200" s="7">
        <f t="shared" ref="J200" ca="1" si="211">F200+I200</f>
        <v>4922.5841193585557</v>
      </c>
      <c r="K200" s="7">
        <f t="shared" ca="1" si="147"/>
        <v>17.337454688634352</v>
      </c>
    </row>
    <row r="201" spans="2:11" x14ac:dyDescent="0.3">
      <c r="B201" s="6">
        <v>191</v>
      </c>
      <c r="C201" s="7">
        <f t="shared" ca="1" si="182"/>
        <v>0.92187492602852994</v>
      </c>
      <c r="D201" s="7">
        <f t="shared" ca="1" si="182"/>
        <v>0.77415854370834924</v>
      </c>
      <c r="E201" s="8">
        <f t="shared" ca="1" si="144"/>
        <v>63.736105602280077</v>
      </c>
      <c r="F201" s="8">
        <f t="shared" ca="1" si="145"/>
        <v>33.064934371647453</v>
      </c>
      <c r="G201" s="7">
        <f t="shared" ca="1" si="148"/>
        <v>4968.9827702722014</v>
      </c>
      <c r="H201" s="7">
        <f t="shared" ca="1" si="149"/>
        <v>0</v>
      </c>
      <c r="I201" s="7">
        <f t="shared" ca="1" si="150"/>
        <v>4968.9827702722014</v>
      </c>
      <c r="J201" s="7">
        <f t="shared" ref="J201" ca="1" si="212">F201+I201</f>
        <v>5002.0477046438491</v>
      </c>
      <c r="K201" s="7">
        <f t="shared" ca="1" si="147"/>
        <v>33.064934371647723</v>
      </c>
    </row>
    <row r="202" spans="2:11" x14ac:dyDescent="0.3">
      <c r="B202" s="6">
        <v>192</v>
      </c>
      <c r="C202" s="7">
        <f t="shared" ca="1" si="182"/>
        <v>0.72580257244201063</v>
      </c>
      <c r="D202" s="7">
        <f t="shared" ca="1" si="182"/>
        <v>0.38352775636082082</v>
      </c>
      <c r="E202" s="8">
        <f t="shared" ca="1" si="144"/>
        <v>32.347672338112986</v>
      </c>
      <c r="F202" s="8">
        <f t="shared" ca="1" si="145"/>
        <v>10.749821774985859</v>
      </c>
      <c r="G202" s="7">
        <f t="shared" ca="1" si="148"/>
        <v>5001.3304426103141</v>
      </c>
      <c r="H202" s="7">
        <f t="shared" ca="1" si="149"/>
        <v>0.7172620335350075</v>
      </c>
      <c r="I202" s="7">
        <f t="shared" ca="1" si="150"/>
        <v>5002.0477046438491</v>
      </c>
      <c r="J202" s="7">
        <f t="shared" ref="J202" ca="1" si="213">F202+I202</f>
        <v>5012.7975264188353</v>
      </c>
      <c r="K202" s="7">
        <f t="shared" ca="1" si="147"/>
        <v>11.467083808521238</v>
      </c>
    </row>
    <row r="203" spans="2:11" x14ac:dyDescent="0.3">
      <c r="B203" s="6">
        <v>193</v>
      </c>
      <c r="C203" s="7">
        <f t="shared" ca="1" si="182"/>
        <v>0.14403217041803384</v>
      </c>
      <c r="D203" s="7">
        <f t="shared" ca="1" si="182"/>
        <v>0.4802933837297606</v>
      </c>
      <c r="E203" s="8">
        <f t="shared" ca="1" si="144"/>
        <v>3.8880621452671029</v>
      </c>
      <c r="F203" s="8">
        <f t="shared" ca="1" si="145"/>
        <v>14.544240580164233</v>
      </c>
      <c r="G203" s="7">
        <f t="shared" ca="1" si="148"/>
        <v>5005.2185047555813</v>
      </c>
      <c r="H203" s="7">
        <f t="shared" ca="1" si="149"/>
        <v>7.579021663254025</v>
      </c>
      <c r="I203" s="7">
        <f t="shared" ca="1" si="150"/>
        <v>5012.7975264188353</v>
      </c>
      <c r="J203" s="7">
        <f t="shared" ref="J203" ca="1" si="214">F203+I203</f>
        <v>5027.3417669989994</v>
      </c>
      <c r="K203" s="7">
        <f t="shared" ca="1" si="147"/>
        <v>22.123262243418139</v>
      </c>
    </row>
    <row r="204" spans="2:11" x14ac:dyDescent="0.3">
      <c r="B204" s="6">
        <v>194</v>
      </c>
      <c r="C204" s="7">
        <f t="shared" ca="1" si="182"/>
        <v>0.12206608986319256</v>
      </c>
      <c r="D204" s="7">
        <f t="shared" ca="1" si="182"/>
        <v>0.71331713261874674</v>
      </c>
      <c r="E204" s="8">
        <f t="shared" ref="E204:E210" ca="1" si="215">(1/$M$3)*LN(1/(1-C204))</f>
        <v>3.2545990343222897</v>
      </c>
      <c r="F204" s="8">
        <f t="shared" ref="F204:F210" ca="1" si="216">(1/$M$6)*LN(1/(1-D204))</f>
        <v>27.763970352864561</v>
      </c>
      <c r="G204" s="7">
        <f t="shared" ca="1" si="148"/>
        <v>5008.4731037899037</v>
      </c>
      <c r="H204" s="7">
        <f t="shared" ca="1" si="149"/>
        <v>18.868663209095757</v>
      </c>
      <c r="I204" s="7">
        <f t="shared" ca="1" si="150"/>
        <v>5027.3417669989994</v>
      </c>
      <c r="J204" s="7">
        <f t="shared" ref="J204" ca="1" si="217">F204+I204</f>
        <v>5055.1057373518643</v>
      </c>
      <c r="K204" s="7">
        <f t="shared" ref="K204:K210" ca="1" si="218">J204-G204</f>
        <v>46.632633561960574</v>
      </c>
    </row>
    <row r="205" spans="2:11" x14ac:dyDescent="0.3">
      <c r="B205" s="6">
        <v>195</v>
      </c>
      <c r="C205" s="7">
        <f t="shared" ca="1" si="182"/>
        <v>0.94388483382898214</v>
      </c>
      <c r="D205" s="7">
        <f t="shared" ca="1" si="182"/>
        <v>0.94438466303814639</v>
      </c>
      <c r="E205" s="8">
        <f t="shared" ca="1" si="215"/>
        <v>72.008729031496344</v>
      </c>
      <c r="F205" s="8">
        <f t="shared" ca="1" si="216"/>
        <v>64.206583802801831</v>
      </c>
      <c r="G205" s="7">
        <f t="shared" ref="G205:G209" ca="1" si="219">E205+G204</f>
        <v>5080.4818328213996</v>
      </c>
      <c r="H205" s="7">
        <f t="shared" ref="H205:H210" ca="1" si="220">IF(J204&gt;G205,J204-G205,0)</f>
        <v>0</v>
      </c>
      <c r="I205" s="7">
        <f t="shared" ref="I205:I210" ca="1" si="221">G205+H205</f>
        <v>5080.4818328213996</v>
      </c>
      <c r="J205" s="7">
        <f t="shared" ref="J205" ca="1" si="222">F205+I205</f>
        <v>5144.6884166242016</v>
      </c>
      <c r="K205" s="7">
        <f t="shared" ca="1" si="218"/>
        <v>64.206583802802015</v>
      </c>
    </row>
    <row r="206" spans="2:11" x14ac:dyDescent="0.3">
      <c r="B206" s="6">
        <v>196</v>
      </c>
      <c r="C206" s="7">
        <f t="shared" ca="1" si="182"/>
        <v>0.85089589587535119</v>
      </c>
      <c r="D206" s="7">
        <f t="shared" ca="1" si="182"/>
        <v>0.7334327282112999</v>
      </c>
      <c r="E206" s="8">
        <f t="shared" ca="1" si="215"/>
        <v>47.577763290084093</v>
      </c>
      <c r="F206" s="8">
        <f t="shared" ca="1" si="216"/>
        <v>29.380636450135146</v>
      </c>
      <c r="G206" s="7">
        <f t="shared" ca="1" si="219"/>
        <v>5128.0595961114841</v>
      </c>
      <c r="H206" s="7">
        <f t="shared" ca="1" si="220"/>
        <v>16.628820512717539</v>
      </c>
      <c r="I206" s="7">
        <f t="shared" ca="1" si="221"/>
        <v>5144.6884166242016</v>
      </c>
      <c r="J206" s="7">
        <f t="shared" ref="J206" ca="1" si="223">F206+I206</f>
        <v>5174.0690530743368</v>
      </c>
      <c r="K206" s="7">
        <f t="shared" ca="1" si="218"/>
        <v>46.00945696285271</v>
      </c>
    </row>
    <row r="207" spans="2:11" x14ac:dyDescent="0.3">
      <c r="B207" s="6">
        <v>197</v>
      </c>
      <c r="C207" s="7">
        <f t="shared" ca="1" si="182"/>
        <v>0.60757160394112164</v>
      </c>
      <c r="D207" s="7">
        <f t="shared" ca="1" si="182"/>
        <v>0.28917872855487603</v>
      </c>
      <c r="E207" s="8">
        <f t="shared" ca="1" si="215"/>
        <v>23.38502972063419</v>
      </c>
      <c r="F207" s="8">
        <f t="shared" ca="1" si="216"/>
        <v>7.5852057130457471</v>
      </c>
      <c r="G207" s="7">
        <f t="shared" ca="1" si="219"/>
        <v>5151.4446258321186</v>
      </c>
      <c r="H207" s="7">
        <f t="shared" ca="1" si="220"/>
        <v>22.624427242218189</v>
      </c>
      <c r="I207" s="7">
        <f t="shared" ca="1" si="221"/>
        <v>5174.0690530743368</v>
      </c>
      <c r="J207" s="7">
        <f t="shared" ref="J207" ca="1" si="224">F207+I207</f>
        <v>5181.6542587873828</v>
      </c>
      <c r="K207" s="7">
        <f t="shared" ca="1" si="218"/>
        <v>30.209632955264169</v>
      </c>
    </row>
    <row r="208" spans="2:11" x14ac:dyDescent="0.3">
      <c r="B208" s="6">
        <v>198</v>
      </c>
      <c r="C208" s="7">
        <f t="shared" ca="1" si="182"/>
        <v>4.6610413074634538E-2</v>
      </c>
      <c r="D208" s="7">
        <f t="shared" ca="1" si="182"/>
        <v>0.31269992368347599</v>
      </c>
      <c r="E208" s="8">
        <f t="shared" ca="1" si="215"/>
        <v>1.1932914578209806</v>
      </c>
      <c r="F208" s="8">
        <f t="shared" ca="1" si="216"/>
        <v>8.3329842181428564</v>
      </c>
      <c r="G208" s="7">
        <f t="shared" ca="1" si="219"/>
        <v>5152.6379172899397</v>
      </c>
      <c r="H208" s="7">
        <f t="shared" ca="1" si="220"/>
        <v>29.016341497443136</v>
      </c>
      <c r="I208" s="7">
        <f t="shared" ca="1" si="221"/>
        <v>5181.6542587873828</v>
      </c>
      <c r="J208" s="7">
        <f t="shared" ref="J208" ca="1" si="225">F208+I208</f>
        <v>5189.9872430055257</v>
      </c>
      <c r="K208" s="7">
        <f t="shared" ca="1" si="218"/>
        <v>37.349325715586019</v>
      </c>
    </row>
    <row r="209" spans="2:11" x14ac:dyDescent="0.3">
      <c r="B209" s="6">
        <v>199</v>
      </c>
      <c r="C209" s="7">
        <f t="shared" ca="1" si="182"/>
        <v>0.90582344191675246</v>
      </c>
      <c r="D209" s="7">
        <f t="shared" ca="1" si="182"/>
        <v>0.78404146804843233</v>
      </c>
      <c r="E209" s="8">
        <f t="shared" ca="1" si="215"/>
        <v>59.064599524705585</v>
      </c>
      <c r="F209" s="8">
        <f t="shared" ca="1" si="216"/>
        <v>34.059308254100536</v>
      </c>
      <c r="G209" s="7">
        <f t="shared" ca="1" si="219"/>
        <v>5211.7025168146456</v>
      </c>
      <c r="H209" s="7">
        <f t="shared" ca="1" si="220"/>
        <v>0</v>
      </c>
      <c r="I209" s="7">
        <f t="shared" ca="1" si="221"/>
        <v>5211.7025168146456</v>
      </c>
      <c r="J209" s="7">
        <f t="shared" ref="J209" ca="1" si="226">F209+I209</f>
        <v>5245.7618250687465</v>
      </c>
      <c r="K209" s="7">
        <f t="shared" ca="1" si="218"/>
        <v>34.05930825410087</v>
      </c>
    </row>
    <row r="210" spans="2:11" x14ac:dyDescent="0.3">
      <c r="B210" s="6">
        <v>200</v>
      </c>
      <c r="C210" s="7">
        <f t="shared" ca="1" si="182"/>
        <v>0.3596160539049672</v>
      </c>
      <c r="D210" s="7">
        <f t="shared" ca="1" si="182"/>
        <v>0.63869404521557982</v>
      </c>
      <c r="E210" s="8">
        <f t="shared" ca="1" si="215"/>
        <v>11.142184168311527</v>
      </c>
      <c r="F210" s="8">
        <f t="shared" ca="1" si="216"/>
        <v>22.622892431405337</v>
      </c>
      <c r="G210" s="7">
        <f ca="1">E210+G209</f>
        <v>5222.844700982957</v>
      </c>
      <c r="H210" s="7">
        <f t="shared" ca="1" si="220"/>
        <v>22.91712408578951</v>
      </c>
      <c r="I210" s="7">
        <f t="shared" ca="1" si="221"/>
        <v>5245.7618250687465</v>
      </c>
      <c r="J210" s="26">
        <f t="shared" ref="J210" ca="1" si="227">F210+I210</f>
        <v>5268.384717500152</v>
      </c>
      <c r="K210" s="25">
        <f t="shared" ca="1" si="218"/>
        <v>45.540016517194999</v>
      </c>
    </row>
    <row r="211" spans="2:11" x14ac:dyDescent="0.3">
      <c r="E211" s="33" t="s">
        <v>96</v>
      </c>
      <c r="F211" s="33" t="s">
        <v>99</v>
      </c>
      <c r="H211" s="33" t="s">
        <v>94</v>
      </c>
      <c r="K211" s="33" t="s">
        <v>68</v>
      </c>
    </row>
    <row r="212" spans="2:11" x14ac:dyDescent="0.3">
      <c r="E212" s="7">
        <v>32.323587100799273</v>
      </c>
      <c r="F212" s="7">
        <f ca="1">AVERAGE(F10:F210)</f>
        <v>22.79552740359172</v>
      </c>
      <c r="H212" s="7">
        <f ca="1">AVERAGE(H10:H210)</f>
        <v>135.73001335668451</v>
      </c>
      <c r="K212" s="7">
        <f ca="1">AVERAGE(K10:K210)</f>
        <v>158.5255407602763</v>
      </c>
    </row>
    <row r="213" spans="2:11" x14ac:dyDescent="0.3">
      <c r="E213" s="33" t="s">
        <v>98</v>
      </c>
      <c r="F213" s="33" t="s">
        <v>97</v>
      </c>
      <c r="H213" s="33" t="s">
        <v>95</v>
      </c>
      <c r="K213" s="33" t="s">
        <v>69</v>
      </c>
    </row>
    <row r="214" spans="2:11" x14ac:dyDescent="0.3">
      <c r="E214" s="7">
        <f>1/E212</f>
        <v>3.0937160435862417E-2</v>
      </c>
      <c r="F214" s="7">
        <f ca="1">1/F212</f>
        <v>4.3868254605174767E-2</v>
      </c>
      <c r="H214" s="27">
        <f ca="1">SUM(H10:H210)/J210</f>
        <v>5.1526234561354656</v>
      </c>
      <c r="K214" s="32">
        <f ca="1">SUM(K10:K210)/J210</f>
        <v>6.0179941010646871</v>
      </c>
    </row>
  </sheetData>
  <mergeCells count="14">
    <mergeCell ref="S2:Y10"/>
    <mergeCell ref="C7:I7"/>
    <mergeCell ref="C8:I8"/>
    <mergeCell ref="M6:N6"/>
    <mergeCell ref="K6:L6"/>
    <mergeCell ref="B2:I2"/>
    <mergeCell ref="K2:N2"/>
    <mergeCell ref="K3:L3"/>
    <mergeCell ref="M3:N3"/>
    <mergeCell ref="K5:N5"/>
    <mergeCell ref="C3:I3"/>
    <mergeCell ref="C4:I4"/>
    <mergeCell ref="C5:I5"/>
    <mergeCell ref="C6:I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Обновить">
                <anchor moveWithCells="1" sizeWithCells="1">
                  <from>
                    <xdr:col>14</xdr:col>
                    <xdr:colOff>601980</xdr:colOff>
                    <xdr:row>3</xdr:row>
                    <xdr:rowOff>198120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J208"/>
  <sheetViews>
    <sheetView topLeftCell="I7" zoomScale="70" zoomScaleNormal="70" workbookViewId="0">
      <selection activeCell="H9" sqref="H9"/>
    </sheetView>
  </sheetViews>
  <sheetFormatPr defaultRowHeight="14.4" x14ac:dyDescent="0.3"/>
  <cols>
    <col min="4" max="4" width="24.5546875" bestFit="1" customWidth="1"/>
    <col min="5" max="5" width="10.109375" customWidth="1"/>
    <col min="6" max="6" width="8.6640625" customWidth="1"/>
    <col min="8" max="8" width="12" bestFit="1" customWidth="1"/>
    <col min="9" max="9" width="10.44140625" bestFit="1" customWidth="1"/>
    <col min="10" max="10" width="18.109375" bestFit="1" customWidth="1"/>
  </cols>
  <sheetData>
    <row r="2" spans="2:10" x14ac:dyDescent="0.3">
      <c r="B2" s="46" t="s">
        <v>23</v>
      </c>
      <c r="C2" s="47"/>
      <c r="D2" s="47"/>
      <c r="E2" s="48"/>
    </row>
    <row r="3" spans="2:10" x14ac:dyDescent="0.3">
      <c r="B3" s="49" t="s">
        <v>22</v>
      </c>
      <c r="C3" s="50"/>
      <c r="D3" s="51">
        <v>0.04</v>
      </c>
      <c r="E3" s="52"/>
    </row>
    <row r="4" spans="2:10" x14ac:dyDescent="0.3">
      <c r="B4" s="1"/>
    </row>
    <row r="5" spans="2:10" x14ac:dyDescent="0.3">
      <c r="B5" s="53" t="s">
        <v>24</v>
      </c>
      <c r="C5" s="54"/>
      <c r="D5" s="54"/>
      <c r="E5" s="55"/>
    </row>
    <row r="6" spans="2:10" x14ac:dyDescent="0.3">
      <c r="B6" s="43" t="s">
        <v>25</v>
      </c>
      <c r="C6" s="44"/>
      <c r="D6" s="41">
        <v>4.4999999999999998E-2</v>
      </c>
      <c r="E6" s="42"/>
    </row>
    <row r="8" spans="2:10" ht="15.6" x14ac:dyDescent="0.3">
      <c r="B8" s="2" t="s">
        <v>0</v>
      </c>
      <c r="C8" s="2" t="s">
        <v>14</v>
      </c>
      <c r="D8" s="58" t="s">
        <v>43</v>
      </c>
      <c r="E8" s="59"/>
      <c r="F8" s="2" t="s">
        <v>41</v>
      </c>
      <c r="G8" s="6">
        <v>15</v>
      </c>
      <c r="H8" s="2" t="s">
        <v>44</v>
      </c>
      <c r="I8" s="2" t="s">
        <v>46</v>
      </c>
      <c r="J8" s="2" t="s">
        <v>47</v>
      </c>
    </row>
    <row r="9" spans="2:10" x14ac:dyDescent="0.3">
      <c r="B9" s="6">
        <f>Лист1!B11</f>
        <v>1</v>
      </c>
      <c r="C9" s="8">
        <v>94.337036031258208</v>
      </c>
      <c r="D9" s="9"/>
      <c r="E9" s="9"/>
      <c r="F9" s="2" t="s">
        <v>42</v>
      </c>
      <c r="G9" s="24">
        <f>E18/(G8-1)</f>
        <v>25.628650021356275</v>
      </c>
      <c r="H9" s="9">
        <v>7.9186473803474655E-2</v>
      </c>
      <c r="I9" s="9">
        <v>1</v>
      </c>
      <c r="J9" s="12">
        <v>5.0000000000000001E-3</v>
      </c>
    </row>
    <row r="10" spans="2:10" x14ac:dyDescent="0.3">
      <c r="B10" s="6">
        <f>Лист1!B12</f>
        <v>2</v>
      </c>
      <c r="C10" s="8">
        <v>110.05898565532287</v>
      </c>
      <c r="D10" s="10" t="s">
        <v>28</v>
      </c>
      <c r="E10" s="20">
        <v>97.431821429004373</v>
      </c>
      <c r="F10" s="22">
        <f>E19</f>
        <v>7.9186473803474655E-2</v>
      </c>
      <c r="H10" s="9">
        <v>25.70783649515975</v>
      </c>
      <c r="I10" s="9">
        <v>29</v>
      </c>
      <c r="J10" s="12">
        <v>0.15</v>
      </c>
    </row>
    <row r="11" spans="2:10" x14ac:dyDescent="0.3">
      <c r="B11" s="6">
        <f>Лист1!B13</f>
        <v>3</v>
      </c>
      <c r="C11" s="7">
        <v>97.11488404928167</v>
      </c>
      <c r="D11" s="9" t="s">
        <v>29</v>
      </c>
      <c r="E11" s="21">
        <v>5.714749156126004</v>
      </c>
      <c r="F11" s="23">
        <f>F10+$G$9</f>
        <v>25.70783649515975</v>
      </c>
      <c r="H11" s="9">
        <v>51.336486516516025</v>
      </c>
      <c r="I11" s="9">
        <v>36</v>
      </c>
      <c r="J11" s="12">
        <v>0.33</v>
      </c>
    </row>
    <row r="12" spans="2:10" x14ac:dyDescent="0.3">
      <c r="B12" s="6">
        <f>Лист1!B14</f>
        <v>4</v>
      </c>
      <c r="C12" s="7">
        <v>71.69395063432637</v>
      </c>
      <c r="D12" s="9" t="s">
        <v>30</v>
      </c>
      <c r="E12" s="21">
        <v>71.001140819267903</v>
      </c>
      <c r="F12" s="23">
        <f t="shared" ref="F12:F24" si="0">F11+$G$9</f>
        <v>51.336486516516025</v>
      </c>
      <c r="H12" s="9">
        <v>76.965136537872297</v>
      </c>
      <c r="I12" s="9">
        <v>47</v>
      </c>
      <c r="J12" s="12">
        <v>0.56499999999999995</v>
      </c>
    </row>
    <row r="13" spans="2:10" x14ac:dyDescent="0.3">
      <c r="B13" s="6">
        <f>Лист1!B15</f>
        <v>5</v>
      </c>
      <c r="C13" s="7">
        <v>34.880054004942778</v>
      </c>
      <c r="D13" s="9" t="s">
        <v>31</v>
      </c>
      <c r="E13" s="21" t="e">
        <v>#N/A</v>
      </c>
      <c r="F13" s="23">
        <f t="shared" si="0"/>
        <v>76.965136537872297</v>
      </c>
      <c r="H13" s="9">
        <v>102.59378655922858</v>
      </c>
      <c r="I13" s="9">
        <v>17</v>
      </c>
      <c r="J13" s="12">
        <v>0.65</v>
      </c>
    </row>
    <row r="14" spans="2:10" x14ac:dyDescent="0.3">
      <c r="B14" s="6">
        <f>Лист1!B16</f>
        <v>6</v>
      </c>
      <c r="C14" s="7">
        <v>9.2777678232725407</v>
      </c>
      <c r="D14" s="10" t="s">
        <v>32</v>
      </c>
      <c r="E14" s="20">
        <v>80.818757621535951</v>
      </c>
      <c r="F14" s="23">
        <f t="shared" si="0"/>
        <v>102.59378655922858</v>
      </c>
      <c r="H14" s="9">
        <v>128.22243658058485</v>
      </c>
      <c r="I14" s="9">
        <v>13</v>
      </c>
      <c r="J14" s="12">
        <v>0.71499999999999997</v>
      </c>
    </row>
    <row r="15" spans="2:10" x14ac:dyDescent="0.3">
      <c r="B15" s="6">
        <f>Лист1!B17</f>
        <v>7</v>
      </c>
      <c r="C15" s="7">
        <v>27.398745884510902</v>
      </c>
      <c r="D15" s="10" t="s">
        <v>33</v>
      </c>
      <c r="E15" s="20">
        <v>6531.6715834885754</v>
      </c>
      <c r="F15" s="23">
        <f t="shared" si="0"/>
        <v>128.22243658058485</v>
      </c>
      <c r="H15" s="9">
        <v>153.85108660194112</v>
      </c>
      <c r="I15" s="9">
        <v>13</v>
      </c>
      <c r="J15" s="12">
        <v>0.78</v>
      </c>
    </row>
    <row r="16" spans="2:10" x14ac:dyDescent="0.3">
      <c r="B16" s="6">
        <f>Лист1!B18</f>
        <v>8</v>
      </c>
      <c r="C16" s="7">
        <v>51.550665276577973</v>
      </c>
      <c r="D16" s="9" t="s">
        <v>34</v>
      </c>
      <c r="E16" s="21">
        <v>1.0249105227958637</v>
      </c>
      <c r="F16" s="23">
        <f t="shared" si="0"/>
        <v>153.85108660194112</v>
      </c>
      <c r="H16" s="9">
        <v>179.47973662329741</v>
      </c>
      <c r="I16" s="9">
        <v>11</v>
      </c>
      <c r="J16" s="12">
        <v>0.83499999999999996</v>
      </c>
    </row>
    <row r="17" spans="2:10" x14ac:dyDescent="0.3">
      <c r="B17" s="6">
        <f>Лист1!B19</f>
        <v>9</v>
      </c>
      <c r="C17" s="7">
        <v>49.641071869964378</v>
      </c>
      <c r="D17" s="9" t="s">
        <v>35</v>
      </c>
      <c r="E17" s="21">
        <v>1.2474871735159883</v>
      </c>
      <c r="F17" s="23">
        <f t="shared" si="0"/>
        <v>179.47973662329738</v>
      </c>
      <c r="H17" s="9">
        <v>205.10838664465368</v>
      </c>
      <c r="I17" s="9">
        <v>11</v>
      </c>
      <c r="J17" s="12">
        <v>0.89</v>
      </c>
    </row>
    <row r="18" spans="2:10" x14ac:dyDescent="0.3">
      <c r="B18" s="6">
        <f>Лист1!B20</f>
        <v>10</v>
      </c>
      <c r="C18" s="7">
        <v>49.509459577619594</v>
      </c>
      <c r="D18" s="9" t="s">
        <v>36</v>
      </c>
      <c r="E18" s="21">
        <v>358.80110029898788</v>
      </c>
      <c r="F18" s="23">
        <f t="shared" si="0"/>
        <v>205.10838664465365</v>
      </c>
      <c r="H18" s="9">
        <v>230.73703666600994</v>
      </c>
      <c r="I18" s="9">
        <v>7</v>
      </c>
      <c r="J18" s="12">
        <v>0.92500000000000004</v>
      </c>
    </row>
    <row r="19" spans="2:10" x14ac:dyDescent="0.3">
      <c r="B19" s="6">
        <f>Лист1!B21</f>
        <v>11</v>
      </c>
      <c r="C19" s="7">
        <v>42.379847150202352</v>
      </c>
      <c r="D19" s="10" t="s">
        <v>37</v>
      </c>
      <c r="E19" s="20">
        <v>7.9186473803474655E-2</v>
      </c>
      <c r="F19" s="23">
        <f t="shared" si="0"/>
        <v>230.73703666600991</v>
      </c>
      <c r="H19" s="9">
        <v>256.36568668736624</v>
      </c>
      <c r="I19" s="9">
        <v>2</v>
      </c>
      <c r="J19" s="12">
        <v>0.93500000000000005</v>
      </c>
    </row>
    <row r="20" spans="2:10" x14ac:dyDescent="0.3">
      <c r="B20" s="6">
        <f>Лист1!B22</f>
        <v>12</v>
      </c>
      <c r="C20" s="7">
        <v>34.710474301093711</v>
      </c>
      <c r="D20" s="10" t="s">
        <v>38</v>
      </c>
      <c r="E20" s="20">
        <v>358.88028677279135</v>
      </c>
      <c r="F20" s="23">
        <f t="shared" si="0"/>
        <v>256.36568668736618</v>
      </c>
      <c r="H20" s="9">
        <v>281.99433670872253</v>
      </c>
      <c r="I20" s="9">
        <v>2</v>
      </c>
      <c r="J20" s="12">
        <v>0.94499999999999995</v>
      </c>
    </row>
    <row r="21" spans="2:10" x14ac:dyDescent="0.3">
      <c r="B21" s="6">
        <f>Лист1!B23</f>
        <v>13</v>
      </c>
      <c r="C21" s="7">
        <v>20.4874011176978</v>
      </c>
      <c r="D21" s="9" t="s">
        <v>39</v>
      </c>
      <c r="E21" s="21">
        <v>19486.364285800875</v>
      </c>
      <c r="F21" s="23">
        <f t="shared" si="0"/>
        <v>281.99433670872247</v>
      </c>
      <c r="H21" s="9">
        <v>307.62298673007876</v>
      </c>
      <c r="I21" s="9">
        <v>5</v>
      </c>
      <c r="J21" s="12">
        <v>0.97</v>
      </c>
    </row>
    <row r="22" spans="2:10" x14ac:dyDescent="0.3">
      <c r="B22" s="6">
        <f>Лист1!B24</f>
        <v>14</v>
      </c>
      <c r="C22" s="7">
        <v>52.234438468625342</v>
      </c>
      <c r="D22" s="10" t="s">
        <v>40</v>
      </c>
      <c r="E22" s="11">
        <v>200</v>
      </c>
      <c r="F22" s="23">
        <f t="shared" si="0"/>
        <v>307.62298673007876</v>
      </c>
      <c r="H22" s="9">
        <v>333.25163675143506</v>
      </c>
      <c r="I22" s="9">
        <v>4</v>
      </c>
      <c r="J22" s="12">
        <v>0.99</v>
      </c>
    </row>
    <row r="23" spans="2:10" x14ac:dyDescent="0.3">
      <c r="B23" s="6">
        <f>Лист1!B25</f>
        <v>15</v>
      </c>
      <c r="C23" s="7">
        <v>38.062417768757541</v>
      </c>
      <c r="E23">
        <v>0</v>
      </c>
      <c r="F23" s="23">
        <f t="shared" si="0"/>
        <v>333.25163675143506</v>
      </c>
      <c r="H23" s="9" t="s">
        <v>45</v>
      </c>
      <c r="I23" s="9">
        <v>2</v>
      </c>
      <c r="J23" s="12">
        <v>1</v>
      </c>
    </row>
    <row r="24" spans="2:10" x14ac:dyDescent="0.3">
      <c r="B24" s="6">
        <f>Лист1!B26</f>
        <v>16</v>
      </c>
      <c r="C24" s="7">
        <v>34.464613292052263</v>
      </c>
      <c r="F24" s="23">
        <f t="shared" si="0"/>
        <v>358.88028677279135</v>
      </c>
    </row>
    <row r="25" spans="2:10" x14ac:dyDescent="0.3">
      <c r="B25" s="6">
        <f>Лист1!B27</f>
        <v>17</v>
      </c>
      <c r="C25" s="7">
        <v>23.699390700756453</v>
      </c>
    </row>
    <row r="26" spans="2:10" x14ac:dyDescent="0.3">
      <c r="B26" s="6">
        <f>Лист1!B28</f>
        <v>18</v>
      </c>
      <c r="C26" s="7">
        <v>20.675618775768498</v>
      </c>
    </row>
    <row r="27" spans="2:10" x14ac:dyDescent="0.3">
      <c r="B27" s="6">
        <f>Лист1!B29</f>
        <v>19</v>
      </c>
      <c r="C27" s="7">
        <v>20.514747177828667</v>
      </c>
    </row>
    <row r="28" spans="2:10" x14ac:dyDescent="0.3">
      <c r="B28" s="6">
        <f>Лист1!B30</f>
        <v>20</v>
      </c>
      <c r="C28" s="7">
        <v>42.985943693762124</v>
      </c>
    </row>
    <row r="29" spans="2:10" x14ac:dyDescent="0.3">
      <c r="B29" s="6">
        <f>Лист1!B31</f>
        <v>21</v>
      </c>
      <c r="C29" s="7">
        <v>35.3631644359333</v>
      </c>
    </row>
    <row r="30" spans="2:10" x14ac:dyDescent="0.3">
      <c r="B30" s="6">
        <f>Лист1!B32</f>
        <v>22</v>
      </c>
      <c r="C30" s="7">
        <v>13.848510279179663</v>
      </c>
    </row>
    <row r="31" spans="2:10" x14ac:dyDescent="0.3">
      <c r="B31" s="6">
        <f>Лист1!B33</f>
        <v>23</v>
      </c>
      <c r="C31" s="7">
        <v>6.9104451461190592</v>
      </c>
    </row>
    <row r="32" spans="2:10" x14ac:dyDescent="0.3">
      <c r="B32" s="6">
        <f>Лист1!B34</f>
        <v>24</v>
      </c>
      <c r="C32" s="7">
        <v>8.8556954385087465</v>
      </c>
    </row>
    <row r="33" spans="2:3" x14ac:dyDescent="0.3">
      <c r="B33" s="6">
        <f>Лист1!B35</f>
        <v>25</v>
      </c>
      <c r="C33" s="7">
        <v>40.113337450763765</v>
      </c>
    </row>
    <row r="34" spans="2:3" x14ac:dyDescent="0.3">
      <c r="B34" s="6">
        <f>Лист1!B36</f>
        <v>26</v>
      </c>
      <c r="C34" s="7">
        <v>71.7176551098961</v>
      </c>
    </row>
    <row r="35" spans="2:3" x14ac:dyDescent="0.3">
      <c r="B35" s="6">
        <f>Лист1!B37</f>
        <v>27</v>
      </c>
      <c r="C35" s="7">
        <v>52.798259328725635</v>
      </c>
    </row>
    <row r="36" spans="2:3" x14ac:dyDescent="0.3">
      <c r="B36" s="6">
        <f>Лист1!B38</f>
        <v>28</v>
      </c>
      <c r="C36" s="7">
        <v>51.494781934351067</v>
      </c>
    </row>
    <row r="37" spans="2:3" x14ac:dyDescent="0.3">
      <c r="B37" s="6">
        <f>Лист1!B39</f>
        <v>29</v>
      </c>
      <c r="C37" s="7">
        <v>57.036050180387974</v>
      </c>
    </row>
    <row r="38" spans="2:3" x14ac:dyDescent="0.3">
      <c r="B38" s="6">
        <f>Лист1!B40</f>
        <v>30</v>
      </c>
      <c r="C38" s="7">
        <v>71.091772574561901</v>
      </c>
    </row>
    <row r="39" spans="2:3" x14ac:dyDescent="0.3">
      <c r="B39" s="6">
        <f>Лист1!B41</f>
        <v>31</v>
      </c>
      <c r="C39" s="7">
        <v>79.297935771502011</v>
      </c>
    </row>
    <row r="40" spans="2:3" x14ac:dyDescent="0.3">
      <c r="B40" s="6">
        <f>Лист1!B42</f>
        <v>32</v>
      </c>
      <c r="C40" s="7">
        <v>75.045435471312658</v>
      </c>
    </row>
    <row r="41" spans="2:3" x14ac:dyDescent="0.3">
      <c r="B41" s="6">
        <f>Лист1!B43</f>
        <v>33</v>
      </c>
      <c r="C41" s="7">
        <v>102.98532426738257</v>
      </c>
    </row>
    <row r="42" spans="2:3" x14ac:dyDescent="0.3">
      <c r="B42" s="6">
        <f>Лист1!B44</f>
        <v>34</v>
      </c>
      <c r="C42" s="7">
        <v>105.61074662889393</v>
      </c>
    </row>
    <row r="43" spans="2:3" x14ac:dyDescent="0.3">
      <c r="B43" s="6">
        <f>Лист1!B45</f>
        <v>35</v>
      </c>
      <c r="C43" s="7">
        <v>99.313256511907866</v>
      </c>
    </row>
    <row r="44" spans="2:3" x14ac:dyDescent="0.3">
      <c r="B44" s="6">
        <f>Лист1!B46</f>
        <v>36</v>
      </c>
      <c r="C44" s="7">
        <v>120.99357228169822</v>
      </c>
    </row>
    <row r="45" spans="2:3" x14ac:dyDescent="0.3">
      <c r="B45" s="6">
        <f>Лист1!B47</f>
        <v>37</v>
      </c>
      <c r="C45" s="7">
        <v>112.84364776860798</v>
      </c>
    </row>
    <row r="46" spans="2:3" x14ac:dyDescent="0.3">
      <c r="B46" s="6">
        <f>Лист1!B48</f>
        <v>38</v>
      </c>
      <c r="C46" s="7">
        <v>111.83551343170086</v>
      </c>
    </row>
    <row r="47" spans="2:3" x14ac:dyDescent="0.3">
      <c r="B47" s="6">
        <f>Лист1!B49</f>
        <v>39</v>
      </c>
      <c r="C47" s="7">
        <v>111.92932885857692</v>
      </c>
    </row>
    <row r="48" spans="2:3" x14ac:dyDescent="0.3">
      <c r="B48" s="6">
        <f>Лист1!B50</f>
        <v>40</v>
      </c>
      <c r="C48" s="7">
        <v>93.97933292405412</v>
      </c>
    </row>
    <row r="49" spans="2:3" x14ac:dyDescent="0.3">
      <c r="B49" s="6">
        <f>Лист1!B51</f>
        <v>41</v>
      </c>
      <c r="C49" s="7">
        <v>135.37068593748722</v>
      </c>
    </row>
    <row r="50" spans="2:3" x14ac:dyDescent="0.3">
      <c r="B50" s="6">
        <f>Лист1!B52</f>
        <v>42</v>
      </c>
      <c r="C50" s="7">
        <v>93.856140941224908</v>
      </c>
    </row>
    <row r="51" spans="2:3" x14ac:dyDescent="0.3">
      <c r="B51" s="6">
        <f>Лист1!B53</f>
        <v>43</v>
      </c>
      <c r="C51" s="7">
        <v>73.2965637357172</v>
      </c>
    </row>
    <row r="52" spans="2:3" x14ac:dyDescent="0.3">
      <c r="B52" s="6">
        <f>Лист1!B54</f>
        <v>44</v>
      </c>
      <c r="C52" s="7">
        <v>118.23676086158844</v>
      </c>
    </row>
    <row r="53" spans="2:3" x14ac:dyDescent="0.3">
      <c r="B53" s="6">
        <f>Лист1!B55</f>
        <v>45</v>
      </c>
      <c r="C53" s="7">
        <v>144.53393883655735</v>
      </c>
    </row>
    <row r="54" spans="2:3" x14ac:dyDescent="0.3">
      <c r="B54" s="6">
        <f>Лист1!B56</f>
        <v>46</v>
      </c>
      <c r="C54" s="7">
        <v>158.35108235916073</v>
      </c>
    </row>
    <row r="55" spans="2:3" x14ac:dyDescent="0.3">
      <c r="B55" s="6">
        <f>Лист1!B57</f>
        <v>47</v>
      </c>
      <c r="C55" s="7">
        <v>123.85439300261442</v>
      </c>
    </row>
    <row r="56" spans="2:3" x14ac:dyDescent="0.3">
      <c r="B56" s="6">
        <f>Лист1!B58</f>
        <v>48</v>
      </c>
      <c r="C56" s="7">
        <v>41.503213908668613</v>
      </c>
    </row>
    <row r="57" spans="2:3" x14ac:dyDescent="0.3">
      <c r="B57" s="6">
        <f>Лист1!B59</f>
        <v>49</v>
      </c>
      <c r="C57" s="7">
        <v>80.330380922165432</v>
      </c>
    </row>
    <row r="58" spans="2:3" x14ac:dyDescent="0.3">
      <c r="B58" s="6">
        <f>Лист1!B60</f>
        <v>50</v>
      </c>
      <c r="C58" s="7">
        <v>83.021144971757394</v>
      </c>
    </row>
    <row r="59" spans="2:3" x14ac:dyDescent="0.3">
      <c r="B59" s="6">
        <f>Лист1!B61</f>
        <v>51</v>
      </c>
      <c r="C59" s="7">
        <v>91.964870944251516</v>
      </c>
    </row>
    <row r="60" spans="2:3" x14ac:dyDescent="0.3">
      <c r="B60" s="6">
        <f>Лист1!B62</f>
        <v>52</v>
      </c>
      <c r="C60" s="7">
        <v>101.92633127453792</v>
      </c>
    </row>
    <row r="61" spans="2:3" x14ac:dyDescent="0.3">
      <c r="B61" s="6">
        <f>Лист1!B63</f>
        <v>53</v>
      </c>
      <c r="C61" s="7">
        <v>65.010578942961729</v>
      </c>
    </row>
    <row r="62" spans="2:3" x14ac:dyDescent="0.3">
      <c r="B62" s="6">
        <f>Лист1!B64</f>
        <v>54</v>
      </c>
      <c r="C62" s="7">
        <v>45.294433912077693</v>
      </c>
    </row>
    <row r="63" spans="2:3" x14ac:dyDescent="0.3">
      <c r="B63" s="6">
        <f>Лист1!B65</f>
        <v>55</v>
      </c>
      <c r="C63" s="7">
        <v>46.401229515853402</v>
      </c>
    </row>
    <row r="64" spans="2:3" x14ac:dyDescent="0.3">
      <c r="B64" s="6">
        <f>Лист1!B66</f>
        <v>56</v>
      </c>
      <c r="C64" s="7">
        <v>65.767988664227005</v>
      </c>
    </row>
    <row r="65" spans="2:3" x14ac:dyDescent="0.3">
      <c r="B65" s="6">
        <f>Лист1!B67</f>
        <v>57</v>
      </c>
      <c r="C65" s="7">
        <v>109.34544282069396</v>
      </c>
    </row>
    <row r="66" spans="2:3" x14ac:dyDescent="0.3">
      <c r="B66" s="6">
        <f>Лист1!B68</f>
        <v>58</v>
      </c>
      <c r="C66" s="7">
        <v>163.11654188371699</v>
      </c>
    </row>
    <row r="67" spans="2:3" x14ac:dyDescent="0.3">
      <c r="B67" s="6">
        <f>Лист1!B69</f>
        <v>59</v>
      </c>
      <c r="C67" s="7">
        <v>160.16513494412334</v>
      </c>
    </row>
    <row r="68" spans="2:3" x14ac:dyDescent="0.3">
      <c r="B68" s="6">
        <f>Лист1!B70</f>
        <v>60</v>
      </c>
      <c r="C68" s="7">
        <v>180.85046466572089</v>
      </c>
    </row>
    <row r="69" spans="2:3" x14ac:dyDescent="0.3">
      <c r="B69" s="6">
        <f>Лист1!B71</f>
        <v>61</v>
      </c>
      <c r="C69" s="7">
        <v>200.98265122483281</v>
      </c>
    </row>
    <row r="70" spans="2:3" x14ac:dyDescent="0.3">
      <c r="B70" s="6">
        <f>Лист1!B72</f>
        <v>62</v>
      </c>
      <c r="C70" s="7">
        <v>189.652728505921</v>
      </c>
    </row>
    <row r="71" spans="2:3" x14ac:dyDescent="0.3">
      <c r="B71" s="6">
        <f>Лист1!B73</f>
        <v>63</v>
      </c>
      <c r="C71" s="7">
        <v>213.04996116699544</v>
      </c>
    </row>
    <row r="72" spans="2:3" x14ac:dyDescent="0.3">
      <c r="B72" s="6">
        <f>Лист1!B74</f>
        <v>64</v>
      </c>
      <c r="C72" s="7">
        <v>270.81803680183043</v>
      </c>
    </row>
    <row r="73" spans="2:3" x14ac:dyDescent="0.3">
      <c r="B73" s="6">
        <f>Лист1!B75</f>
        <v>65</v>
      </c>
      <c r="C73" s="7">
        <v>287.50455950317496</v>
      </c>
    </row>
    <row r="74" spans="2:3" x14ac:dyDescent="0.3">
      <c r="B74" s="6">
        <f>Лист1!B76</f>
        <v>66</v>
      </c>
      <c r="C74" s="7">
        <v>286.88184210098552</v>
      </c>
    </row>
    <row r="75" spans="2:3" x14ac:dyDescent="0.3">
      <c r="B75" s="6">
        <f>Лист1!B77</f>
        <v>67</v>
      </c>
      <c r="C75" s="7">
        <v>332.10980900015238</v>
      </c>
    </row>
    <row r="76" spans="2:3" x14ac:dyDescent="0.3">
      <c r="B76" s="6">
        <f>Лист1!B78</f>
        <v>68</v>
      </c>
      <c r="C76" s="7">
        <v>346.32639704227813</v>
      </c>
    </row>
    <row r="77" spans="2:3" x14ac:dyDescent="0.3">
      <c r="B77" s="6">
        <f>Лист1!B79</f>
        <v>69</v>
      </c>
      <c r="C77" s="7">
        <v>331.35510694395975</v>
      </c>
    </row>
    <row r="78" spans="2:3" x14ac:dyDescent="0.3">
      <c r="B78" s="6">
        <f>Лист1!B80</f>
        <v>70</v>
      </c>
      <c r="C78" s="7">
        <v>317.53861848315887</v>
      </c>
    </row>
    <row r="79" spans="2:3" x14ac:dyDescent="0.3">
      <c r="B79" s="6">
        <f>Лист1!B81</f>
        <v>71</v>
      </c>
      <c r="C79" s="7">
        <v>358.88028677279135</v>
      </c>
    </row>
    <row r="80" spans="2:3" x14ac:dyDescent="0.3">
      <c r="B80" s="6">
        <f>Лист1!B82</f>
        <v>72</v>
      </c>
      <c r="C80" s="7">
        <v>296.82432081202705</v>
      </c>
    </row>
    <row r="81" spans="2:3" x14ac:dyDescent="0.3">
      <c r="B81" s="6">
        <f>Лист1!B83</f>
        <v>73</v>
      </c>
      <c r="C81" s="7">
        <v>291.60025980040677</v>
      </c>
    </row>
    <row r="82" spans="2:3" x14ac:dyDescent="0.3">
      <c r="B82" s="6">
        <f>Лист1!B84</f>
        <v>74</v>
      </c>
      <c r="C82" s="7">
        <v>308.67579163755022</v>
      </c>
    </row>
    <row r="83" spans="2:3" x14ac:dyDescent="0.3">
      <c r="B83" s="6">
        <f>Лист1!B85</f>
        <v>75</v>
      </c>
      <c r="C83" s="7">
        <v>302.90762748249199</v>
      </c>
    </row>
    <row r="84" spans="2:3" x14ac:dyDescent="0.3">
      <c r="B84" s="6">
        <f>Лист1!B86</f>
        <v>76</v>
      </c>
      <c r="C84" s="7">
        <v>259.26627731164444</v>
      </c>
    </row>
    <row r="85" spans="2:3" x14ac:dyDescent="0.3">
      <c r="B85" s="6">
        <f>Лист1!B87</f>
        <v>77</v>
      </c>
      <c r="C85" s="7">
        <v>246.39717784944355</v>
      </c>
    </row>
    <row r="86" spans="2:3" x14ac:dyDescent="0.3">
      <c r="B86" s="6">
        <f>Лист1!B88</f>
        <v>78</v>
      </c>
      <c r="C86" s="7">
        <v>244.45202523959824</v>
      </c>
    </row>
    <row r="87" spans="2:3" x14ac:dyDescent="0.3">
      <c r="B87" s="6">
        <f>Лист1!B89</f>
        <v>79</v>
      </c>
      <c r="C87" s="7">
        <v>227.47539879226383</v>
      </c>
    </row>
    <row r="88" spans="2:3" x14ac:dyDescent="0.3">
      <c r="B88" s="6">
        <f>Лист1!B90</f>
        <v>80</v>
      </c>
      <c r="C88" s="7">
        <v>230.06354088030594</v>
      </c>
    </row>
    <row r="89" spans="2:3" x14ac:dyDescent="0.3">
      <c r="B89" s="6">
        <f>Лист1!B91</f>
        <v>81</v>
      </c>
      <c r="C89" s="7">
        <v>218.91684344540863</v>
      </c>
    </row>
    <row r="90" spans="2:3" x14ac:dyDescent="0.3">
      <c r="B90" s="6">
        <f>Лист1!B92</f>
        <v>82</v>
      </c>
      <c r="C90" s="7">
        <v>215.17423702217116</v>
      </c>
    </row>
    <row r="91" spans="2:3" x14ac:dyDescent="0.3">
      <c r="B91" s="6">
        <f>Лист1!B93</f>
        <v>83</v>
      </c>
      <c r="C91" s="7">
        <v>188.24289984315692</v>
      </c>
    </row>
    <row r="92" spans="2:3" x14ac:dyDescent="0.3">
      <c r="B92" s="6">
        <f>Лист1!B94</f>
        <v>84</v>
      </c>
      <c r="C92" s="7">
        <v>185.13385789549488</v>
      </c>
    </row>
    <row r="93" spans="2:3" x14ac:dyDescent="0.3">
      <c r="B93" s="6">
        <f>Лист1!B95</f>
        <v>85</v>
      </c>
      <c r="C93" s="7">
        <v>202.49532676056242</v>
      </c>
    </row>
    <row r="94" spans="2:3" x14ac:dyDescent="0.3">
      <c r="B94" s="6">
        <f>Лист1!B96</f>
        <v>86</v>
      </c>
      <c r="C94" s="7">
        <v>145.74499712453371</v>
      </c>
    </row>
    <row r="95" spans="2:3" x14ac:dyDescent="0.3">
      <c r="B95" s="6">
        <f>Лист1!B97</f>
        <v>87</v>
      </c>
      <c r="C95" s="7">
        <v>131.46870361051879</v>
      </c>
    </row>
    <row r="96" spans="2:3" x14ac:dyDescent="0.3">
      <c r="B96" s="6">
        <f>Лист1!B98</f>
        <v>88</v>
      </c>
      <c r="C96" s="7">
        <v>83.134659230080615</v>
      </c>
    </row>
    <row r="97" spans="2:3" x14ac:dyDescent="0.3">
      <c r="B97" s="6">
        <f>Лист1!B99</f>
        <v>89</v>
      </c>
      <c r="C97" s="7">
        <v>70.989052241814989</v>
      </c>
    </row>
    <row r="98" spans="2:3" x14ac:dyDescent="0.3">
      <c r="B98" s="6">
        <f>Лист1!B100</f>
        <v>90</v>
      </c>
      <c r="C98" s="7">
        <v>63.072402749705361</v>
      </c>
    </row>
    <row r="99" spans="2:3" x14ac:dyDescent="0.3">
      <c r="B99" s="6">
        <f>Лист1!B101</f>
        <v>91</v>
      </c>
      <c r="C99" s="7">
        <v>38.245362375384502</v>
      </c>
    </row>
    <row r="100" spans="2:3" x14ac:dyDescent="0.3">
      <c r="B100" s="6">
        <f>Лист1!B102</f>
        <v>92</v>
      </c>
      <c r="C100" s="7">
        <v>22.614494596160512</v>
      </c>
    </row>
    <row r="101" spans="2:3" x14ac:dyDescent="0.3">
      <c r="B101" s="6">
        <f>Лист1!B103</f>
        <v>93</v>
      </c>
      <c r="C101" s="7">
        <v>27.266446445459678</v>
      </c>
    </row>
    <row r="102" spans="2:3" x14ac:dyDescent="0.3">
      <c r="B102" s="6">
        <f>Лист1!B104</f>
        <v>94</v>
      </c>
      <c r="C102" s="7">
        <v>26.836525538700698</v>
      </c>
    </row>
    <row r="103" spans="2:3" x14ac:dyDescent="0.3">
      <c r="B103" s="6">
        <f>Лист1!B105</f>
        <v>95</v>
      </c>
      <c r="C103" s="7">
        <v>43.776491107347738</v>
      </c>
    </row>
    <row r="104" spans="2:3" x14ac:dyDescent="0.3">
      <c r="B104" s="6">
        <f>Лист1!B106</f>
        <v>96</v>
      </c>
      <c r="C104" s="7">
        <v>63.940290016977087</v>
      </c>
    </row>
    <row r="105" spans="2:3" x14ac:dyDescent="0.3">
      <c r="B105" s="6">
        <f>Лист1!B107</f>
        <v>97</v>
      </c>
      <c r="C105" s="7">
        <v>35.67398717725564</v>
      </c>
    </row>
    <row r="106" spans="2:3" x14ac:dyDescent="0.3">
      <c r="B106" s="6">
        <f>Лист1!B108</f>
        <v>98</v>
      </c>
      <c r="C106" s="7">
        <v>21.847500023980501</v>
      </c>
    </row>
    <row r="107" spans="2:3" x14ac:dyDescent="0.3">
      <c r="B107" s="6">
        <f>Лист1!B109</f>
        <v>99</v>
      </c>
      <c r="C107" s="7">
        <v>18.083066447790316</v>
      </c>
    </row>
    <row r="108" spans="2:3" x14ac:dyDescent="0.3">
      <c r="B108" s="6">
        <f>Лист1!B110</f>
        <v>100</v>
      </c>
      <c r="C108" s="7">
        <v>2.5556948099592773</v>
      </c>
    </row>
    <row r="109" spans="2:3" x14ac:dyDescent="0.3">
      <c r="B109" s="6">
        <f>Лист1!B111</f>
        <v>101</v>
      </c>
      <c r="C109" s="7">
        <v>9.3100931417711763</v>
      </c>
    </row>
    <row r="110" spans="2:3" x14ac:dyDescent="0.3">
      <c r="B110" s="6">
        <f>Лист1!B112</f>
        <v>102</v>
      </c>
      <c r="C110" s="7">
        <v>51.873886170811602</v>
      </c>
    </row>
    <row r="111" spans="2:3" x14ac:dyDescent="0.3">
      <c r="B111" s="6">
        <f>Лист1!B113</f>
        <v>103</v>
      </c>
      <c r="C111" s="7">
        <v>24.739543808260805</v>
      </c>
    </row>
    <row r="112" spans="2:3" x14ac:dyDescent="0.3">
      <c r="B112" s="6">
        <f>Лист1!B114</f>
        <v>104</v>
      </c>
      <c r="C112" s="7">
        <v>52.866406707908936</v>
      </c>
    </row>
    <row r="113" spans="2:3" x14ac:dyDescent="0.3">
      <c r="B113" s="6">
        <f>Лист1!B115</f>
        <v>105</v>
      </c>
      <c r="C113" s="7">
        <v>45.116124041127023</v>
      </c>
    </row>
    <row r="114" spans="2:3" x14ac:dyDescent="0.3">
      <c r="B114" s="6">
        <f>Лист1!B116</f>
        <v>106</v>
      </c>
      <c r="C114" s="7">
        <v>61.966245403420544</v>
      </c>
    </row>
    <row r="115" spans="2:3" x14ac:dyDescent="0.3">
      <c r="B115" s="6">
        <f>Лист1!B117</f>
        <v>107</v>
      </c>
      <c r="C115" s="7">
        <v>54.910905401000036</v>
      </c>
    </row>
    <row r="116" spans="2:3" x14ac:dyDescent="0.3">
      <c r="B116" s="6">
        <f>Лист1!B118</f>
        <v>108</v>
      </c>
      <c r="C116" s="7">
        <v>69.616073839186811</v>
      </c>
    </row>
    <row r="117" spans="2:3" x14ac:dyDescent="0.3">
      <c r="B117" s="6">
        <f>Лист1!B119</f>
        <v>109</v>
      </c>
      <c r="C117" s="7">
        <v>71.013229396720817</v>
      </c>
    </row>
    <row r="118" spans="2:3" x14ac:dyDescent="0.3">
      <c r="B118" s="6">
        <f>Лист1!B120</f>
        <v>110</v>
      </c>
      <c r="C118" s="7">
        <v>63.92987864521092</v>
      </c>
    </row>
    <row r="119" spans="2:3" x14ac:dyDescent="0.3">
      <c r="B119" s="6">
        <f>Лист1!B121</f>
        <v>111</v>
      </c>
      <c r="C119" s="7">
        <v>7.9186473803474655E-2</v>
      </c>
    </row>
    <row r="120" spans="2:3" x14ac:dyDescent="0.3">
      <c r="B120" s="6">
        <f>Лист1!B122</f>
        <v>112</v>
      </c>
      <c r="C120" s="7">
        <v>2.7689224662253764</v>
      </c>
    </row>
    <row r="121" spans="2:3" x14ac:dyDescent="0.3">
      <c r="B121" s="6">
        <f>Лист1!B123</f>
        <v>113</v>
      </c>
      <c r="C121" s="7">
        <v>1.5845103084652692</v>
      </c>
    </row>
    <row r="122" spans="2:3" x14ac:dyDescent="0.3">
      <c r="B122" s="6">
        <f>Лист1!B124</f>
        <v>114</v>
      </c>
      <c r="C122" s="7">
        <v>34.900047354407889</v>
      </c>
    </row>
    <row r="123" spans="2:3" x14ac:dyDescent="0.3">
      <c r="B123" s="6">
        <f>Лист1!B125</f>
        <v>115</v>
      </c>
      <c r="C123" s="7">
        <v>56.389785980619308</v>
      </c>
    </row>
    <row r="124" spans="2:3" x14ac:dyDescent="0.3">
      <c r="B124" s="6">
        <f>Лист1!B126</f>
        <v>116</v>
      </c>
      <c r="C124" s="7">
        <v>34.249028557003385</v>
      </c>
    </row>
    <row r="125" spans="2:3" x14ac:dyDescent="0.3">
      <c r="B125" s="6">
        <f>Лист1!B127</f>
        <v>117</v>
      </c>
      <c r="C125" s="7">
        <v>26.098695299079736</v>
      </c>
    </row>
    <row r="126" spans="2:3" x14ac:dyDescent="0.3">
      <c r="B126" s="6">
        <f>Лист1!B128</f>
        <v>118</v>
      </c>
      <c r="C126" s="7">
        <v>29.958025326455299</v>
      </c>
    </row>
    <row r="127" spans="2:3" x14ac:dyDescent="0.3">
      <c r="B127" s="6">
        <f>Лист1!B129</f>
        <v>119</v>
      </c>
      <c r="C127" s="7">
        <v>24.074636594692038</v>
      </c>
    </row>
    <row r="128" spans="2:3" x14ac:dyDescent="0.3">
      <c r="B128" s="6">
        <f>Лист1!B130</f>
        <v>120</v>
      </c>
      <c r="C128" s="7">
        <v>59.06186535742745</v>
      </c>
    </row>
    <row r="129" spans="2:3" x14ac:dyDescent="0.3">
      <c r="B129" s="6">
        <f>Лист1!B131</f>
        <v>121</v>
      </c>
      <c r="C129" s="7">
        <v>60.418953063149274</v>
      </c>
    </row>
    <row r="130" spans="2:3" x14ac:dyDescent="0.3">
      <c r="B130" s="6">
        <f>Лист1!B132</f>
        <v>122</v>
      </c>
      <c r="C130" s="7">
        <v>75.818817115558886</v>
      </c>
    </row>
    <row r="131" spans="2:3" x14ac:dyDescent="0.3">
      <c r="B131" s="6">
        <f>Лист1!B133</f>
        <v>123</v>
      </c>
      <c r="C131" s="7">
        <v>85.25939161980159</v>
      </c>
    </row>
    <row r="132" spans="2:3" x14ac:dyDescent="0.3">
      <c r="B132" s="6">
        <f>Лист1!B134</f>
        <v>124</v>
      </c>
      <c r="C132" s="7">
        <v>79.243421970645613</v>
      </c>
    </row>
    <row r="133" spans="2:3" x14ac:dyDescent="0.3">
      <c r="B133" s="6">
        <f>Лист1!B135</f>
        <v>125</v>
      </c>
      <c r="C133" s="7">
        <v>71.536719893976624</v>
      </c>
    </row>
    <row r="134" spans="2:3" x14ac:dyDescent="0.3">
      <c r="B134" s="6">
        <f>Лист1!B136</f>
        <v>126</v>
      </c>
      <c r="C134" s="7">
        <v>45.331932566291471</v>
      </c>
    </row>
    <row r="135" spans="2:3" x14ac:dyDescent="0.3">
      <c r="B135" s="6">
        <f>Лист1!B137</f>
        <v>127</v>
      </c>
      <c r="C135" s="7">
        <v>8.757524013541115</v>
      </c>
    </row>
    <row r="136" spans="2:3" x14ac:dyDescent="0.3">
      <c r="B136" s="6">
        <f>Лист1!B138</f>
        <v>128</v>
      </c>
      <c r="C136" s="7">
        <v>41.757603767946421</v>
      </c>
    </row>
    <row r="137" spans="2:3" x14ac:dyDescent="0.3">
      <c r="B137" s="6">
        <f>Лист1!B139</f>
        <v>129</v>
      </c>
      <c r="C137" s="7">
        <v>9.2493050238317664</v>
      </c>
    </row>
    <row r="138" spans="2:3" x14ac:dyDescent="0.3">
      <c r="B138" s="6">
        <f>Лист1!B140</f>
        <v>130</v>
      </c>
      <c r="C138" s="7">
        <v>34.370524269318594</v>
      </c>
    </row>
    <row r="139" spans="2:3" x14ac:dyDescent="0.3">
      <c r="B139" s="6">
        <f>Лист1!B141</f>
        <v>131</v>
      </c>
      <c r="C139" s="7">
        <v>85.882843522515486</v>
      </c>
    </row>
    <row r="140" spans="2:3" x14ac:dyDescent="0.3">
      <c r="B140" s="6">
        <f>Лист1!B142</f>
        <v>132</v>
      </c>
      <c r="C140" s="7">
        <v>73.478597217789229</v>
      </c>
    </row>
    <row r="141" spans="2:3" x14ac:dyDescent="0.3">
      <c r="B141" s="6">
        <f>Лист1!B143</f>
        <v>133</v>
      </c>
      <c r="C141" s="7">
        <v>73.63732542288426</v>
      </c>
    </row>
    <row r="142" spans="2:3" x14ac:dyDescent="0.3">
      <c r="B142" s="6">
        <f>Лист1!B144</f>
        <v>134</v>
      </c>
      <c r="C142" s="7">
        <v>57.701332975059813</v>
      </c>
    </row>
    <row r="143" spans="2:3" x14ac:dyDescent="0.3">
      <c r="B143" s="6">
        <f>Лист1!B145</f>
        <v>135</v>
      </c>
      <c r="C143" s="7">
        <v>64.038047576491408</v>
      </c>
    </row>
    <row r="144" spans="2:3" x14ac:dyDescent="0.3">
      <c r="B144" s="6">
        <f>Лист1!B146</f>
        <v>136</v>
      </c>
      <c r="C144" s="7">
        <v>129.25091170652377</v>
      </c>
    </row>
    <row r="145" spans="2:3" x14ac:dyDescent="0.3">
      <c r="B145" s="6">
        <f>Лист1!B147</f>
        <v>137</v>
      </c>
      <c r="C145" s="7">
        <v>138.19158529586912</v>
      </c>
    </row>
    <row r="146" spans="2:3" x14ac:dyDescent="0.3">
      <c r="B146" s="6">
        <f>Лист1!B148</f>
        <v>138</v>
      </c>
      <c r="C146" s="7">
        <v>149.08668578047673</v>
      </c>
    </row>
    <row r="147" spans="2:3" x14ac:dyDescent="0.3">
      <c r="B147" s="6">
        <f>Лист1!B149</f>
        <v>139</v>
      </c>
      <c r="C147" s="7">
        <v>146.61646870426421</v>
      </c>
    </row>
    <row r="148" spans="2:3" x14ac:dyDescent="0.3">
      <c r="B148" s="6">
        <f>Лист1!B150</f>
        <v>140</v>
      </c>
      <c r="C148" s="7">
        <v>143.13493156858431</v>
      </c>
    </row>
    <row r="149" spans="2:3" x14ac:dyDescent="0.3">
      <c r="B149" s="6">
        <f>Лист1!B151</f>
        <v>141</v>
      </c>
      <c r="C149" s="7">
        <v>187.27097459041397</v>
      </c>
    </row>
    <row r="150" spans="2:3" x14ac:dyDescent="0.3">
      <c r="B150" s="6">
        <f>Лист1!B152</f>
        <v>142</v>
      </c>
      <c r="C150" s="7">
        <v>167.34720963767677</v>
      </c>
    </row>
    <row r="151" spans="2:3" x14ac:dyDescent="0.3">
      <c r="B151" s="6">
        <f>Лист1!B153</f>
        <v>143</v>
      </c>
      <c r="C151" s="7">
        <v>136.04036406591877</v>
      </c>
    </row>
    <row r="152" spans="2:3" x14ac:dyDescent="0.3">
      <c r="B152" s="6">
        <f>Лист1!B154</f>
        <v>144</v>
      </c>
      <c r="C152" s="7">
        <v>162.76036528376153</v>
      </c>
    </row>
    <row r="153" spans="2:3" x14ac:dyDescent="0.3">
      <c r="B153" s="6">
        <f>Лист1!B155</f>
        <v>145</v>
      </c>
      <c r="C153" s="7">
        <v>142.84485622537795</v>
      </c>
    </row>
    <row r="154" spans="2:3" x14ac:dyDescent="0.3">
      <c r="B154" s="6">
        <f>Лист1!B156</f>
        <v>146</v>
      </c>
      <c r="C154" s="7">
        <v>123.18371323199653</v>
      </c>
    </row>
    <row r="155" spans="2:3" x14ac:dyDescent="0.3">
      <c r="B155" s="6">
        <f>Лист1!B157</f>
        <v>147</v>
      </c>
      <c r="C155" s="7">
        <v>127.27122248563683</v>
      </c>
    </row>
    <row r="156" spans="2:3" x14ac:dyDescent="0.3">
      <c r="B156" s="6">
        <f>Лист1!B158</f>
        <v>148</v>
      </c>
      <c r="C156" s="7">
        <v>163.59444660299368</v>
      </c>
    </row>
    <row r="157" spans="2:3" x14ac:dyDescent="0.3">
      <c r="B157" s="6">
        <f>Лист1!B159</f>
        <v>149</v>
      </c>
      <c r="C157" s="7">
        <v>172.02093408673318</v>
      </c>
    </row>
    <row r="158" spans="2:3" x14ac:dyDescent="0.3">
      <c r="B158" s="6">
        <f>Лист1!B160</f>
        <v>150</v>
      </c>
      <c r="C158" s="7">
        <v>195.48426161299221</v>
      </c>
    </row>
    <row r="159" spans="2:3" x14ac:dyDescent="0.3">
      <c r="B159" s="6">
        <f>Лист1!B161</f>
        <v>151</v>
      </c>
      <c r="C159" s="7">
        <v>167.5503733113469</v>
      </c>
    </row>
    <row r="160" spans="2:3" x14ac:dyDescent="0.3">
      <c r="B160" s="6">
        <f>Лист1!B162</f>
        <v>152</v>
      </c>
      <c r="C160" s="7">
        <v>183.77353243137077</v>
      </c>
    </row>
    <row r="161" spans="2:3" x14ac:dyDescent="0.3">
      <c r="B161" s="6">
        <f>Лист1!B163</f>
        <v>153</v>
      </c>
      <c r="C161" s="7">
        <v>205.85101781312187</v>
      </c>
    </row>
    <row r="162" spans="2:3" x14ac:dyDescent="0.3">
      <c r="B162" s="6">
        <f>Лист1!B164</f>
        <v>154</v>
      </c>
      <c r="C162" s="7">
        <v>207.74133450996442</v>
      </c>
    </row>
    <row r="163" spans="2:3" x14ac:dyDescent="0.3">
      <c r="B163" s="6">
        <f>Лист1!B165</f>
        <v>155</v>
      </c>
      <c r="C163" s="7">
        <v>155.20606143037594</v>
      </c>
    </row>
    <row r="164" spans="2:3" x14ac:dyDescent="0.3">
      <c r="B164" s="6">
        <f>Лист1!B166</f>
        <v>156</v>
      </c>
      <c r="C164" s="7">
        <v>146.19690714184208</v>
      </c>
    </row>
    <row r="165" spans="2:3" x14ac:dyDescent="0.3">
      <c r="B165" s="6">
        <f>Лист1!B167</f>
        <v>157</v>
      </c>
      <c r="C165" s="7">
        <v>170.76176150401579</v>
      </c>
    </row>
    <row r="166" spans="2:3" x14ac:dyDescent="0.3">
      <c r="B166" s="6">
        <f>Лист1!B168</f>
        <v>158</v>
      </c>
      <c r="C166" s="7">
        <v>191.32043800861948</v>
      </c>
    </row>
    <row r="167" spans="2:3" x14ac:dyDescent="0.3">
      <c r="B167" s="6">
        <f>Лист1!B169</f>
        <v>159</v>
      </c>
      <c r="C167" s="7">
        <v>155.83023535795155</v>
      </c>
    </row>
    <row r="168" spans="2:3" x14ac:dyDescent="0.3">
      <c r="B168" s="6">
        <f>Лист1!B170</f>
        <v>160</v>
      </c>
      <c r="C168" s="7">
        <v>184.31257084956405</v>
      </c>
    </row>
    <row r="169" spans="2:3" x14ac:dyDescent="0.3">
      <c r="B169" s="6">
        <f>Лист1!B171</f>
        <v>161</v>
      </c>
      <c r="C169" s="7">
        <v>149.01832114175204</v>
      </c>
    </row>
    <row r="170" spans="2:3" x14ac:dyDescent="0.3">
      <c r="B170" s="6">
        <f>Лист1!B172</f>
        <v>162</v>
      </c>
      <c r="C170" s="7">
        <v>68.893591297761759</v>
      </c>
    </row>
    <row r="171" spans="2:3" x14ac:dyDescent="0.3">
      <c r="B171" s="6">
        <f>Лист1!B173</f>
        <v>163</v>
      </c>
      <c r="C171" s="7">
        <v>17.314833021823688</v>
      </c>
    </row>
    <row r="172" spans="2:3" x14ac:dyDescent="0.3">
      <c r="B172" s="6">
        <f>Лист1!B174</f>
        <v>164</v>
      </c>
      <c r="C172" s="7">
        <v>32.526842993805531</v>
      </c>
    </row>
    <row r="173" spans="2:3" x14ac:dyDescent="0.3">
      <c r="B173" s="6">
        <f>Лист1!B175</f>
        <v>165</v>
      </c>
      <c r="C173" s="7">
        <v>34.363375742561857</v>
      </c>
    </row>
    <row r="174" spans="2:3" x14ac:dyDescent="0.3">
      <c r="B174" s="6">
        <f>Лист1!B176</f>
        <v>166</v>
      </c>
      <c r="C174" s="7">
        <v>57.272743464151972</v>
      </c>
    </row>
    <row r="175" spans="2:3" x14ac:dyDescent="0.3">
      <c r="B175" s="6">
        <f>Лист1!B177</f>
        <v>167</v>
      </c>
      <c r="C175" s="7">
        <v>16.901892388231317</v>
      </c>
    </row>
    <row r="176" spans="2:3" x14ac:dyDescent="0.3">
      <c r="B176" s="6">
        <f>Лист1!B178</f>
        <v>168</v>
      </c>
      <c r="C176" s="7">
        <v>22.607208036481097</v>
      </c>
    </row>
    <row r="177" spans="2:3" x14ac:dyDescent="0.3">
      <c r="B177" s="6">
        <f>Лист1!B179</f>
        <v>169</v>
      </c>
      <c r="C177" s="7">
        <v>8.1806597756308292</v>
      </c>
    </row>
    <row r="178" spans="2:3" x14ac:dyDescent="0.3">
      <c r="B178" s="6">
        <f>Лист1!B180</f>
        <v>170</v>
      </c>
      <c r="C178" s="7">
        <v>1.1826793059058218</v>
      </c>
    </row>
    <row r="179" spans="2:3" x14ac:dyDescent="0.3">
      <c r="B179" s="6">
        <f>Лист1!B181</f>
        <v>171</v>
      </c>
      <c r="C179" s="7">
        <v>58.497275283926228</v>
      </c>
    </row>
    <row r="180" spans="2:3" x14ac:dyDescent="0.3">
      <c r="B180" s="6">
        <f>Лист1!B182</f>
        <v>172</v>
      </c>
      <c r="C180" s="7">
        <v>85.208068350920712</v>
      </c>
    </row>
    <row r="181" spans="2:3" x14ac:dyDescent="0.3">
      <c r="B181" s="6">
        <f>Лист1!B183</f>
        <v>173</v>
      </c>
      <c r="C181" s="7">
        <v>79.33600721865605</v>
      </c>
    </row>
    <row r="182" spans="2:3" x14ac:dyDescent="0.3">
      <c r="B182" s="6">
        <f>Лист1!B184</f>
        <v>174</v>
      </c>
      <c r="C182" s="7">
        <v>73.100780610209767</v>
      </c>
    </row>
    <row r="183" spans="2:3" x14ac:dyDescent="0.3">
      <c r="B183" s="6">
        <f>Лист1!B185</f>
        <v>175</v>
      </c>
      <c r="C183" s="7">
        <v>59.094551947742275</v>
      </c>
    </row>
    <row r="184" spans="2:3" x14ac:dyDescent="0.3">
      <c r="B184" s="6">
        <f>Лист1!B186</f>
        <v>176</v>
      </c>
      <c r="C184" s="7">
        <v>74.469640173764674</v>
      </c>
    </row>
    <row r="185" spans="2:3" x14ac:dyDescent="0.3">
      <c r="B185" s="6">
        <f>Лист1!B187</f>
        <v>177</v>
      </c>
      <c r="C185" s="7">
        <v>60.551968973486055</v>
      </c>
    </row>
    <row r="186" spans="2:3" x14ac:dyDescent="0.3">
      <c r="B186" s="6">
        <f>Лист1!B188</f>
        <v>178</v>
      </c>
      <c r="C186" s="7">
        <v>51.612662857038686</v>
      </c>
    </row>
    <row r="187" spans="2:3" x14ac:dyDescent="0.3">
      <c r="B187" s="6">
        <f>Лист1!B189</f>
        <v>179</v>
      </c>
      <c r="C187" s="7">
        <v>70.302465256336291</v>
      </c>
    </row>
    <row r="188" spans="2:3" x14ac:dyDescent="0.3">
      <c r="B188" s="6">
        <f>Лист1!B190</f>
        <v>180</v>
      </c>
      <c r="C188" s="7">
        <v>74.674090150720531</v>
      </c>
    </row>
    <row r="189" spans="2:3" x14ac:dyDescent="0.3">
      <c r="B189" s="6">
        <f>Лист1!B191</f>
        <v>181</v>
      </c>
      <c r="C189" s="7">
        <v>101.59622378808763</v>
      </c>
    </row>
    <row r="190" spans="2:3" x14ac:dyDescent="0.3">
      <c r="B190" s="6">
        <f>Лист1!B192</f>
        <v>182</v>
      </c>
      <c r="C190" s="7">
        <v>68.971664358263297</v>
      </c>
    </row>
    <row r="191" spans="2:3" x14ac:dyDescent="0.3">
      <c r="B191" s="6">
        <f>Лист1!B193</f>
        <v>183</v>
      </c>
      <c r="C191" s="7">
        <v>58.538489857070999</v>
      </c>
    </row>
    <row r="192" spans="2:3" x14ac:dyDescent="0.3">
      <c r="B192" s="6">
        <f>Лист1!B194</f>
        <v>184</v>
      </c>
      <c r="C192" s="7">
        <v>60.151943104746351</v>
      </c>
    </row>
    <row r="193" spans="2:3" x14ac:dyDescent="0.3">
      <c r="B193" s="6">
        <f>Лист1!B195</f>
        <v>185</v>
      </c>
      <c r="C193" s="7">
        <v>38.899014639124289</v>
      </c>
    </row>
    <row r="194" spans="2:3" x14ac:dyDescent="0.3">
      <c r="B194" s="6">
        <f>Лист1!B196</f>
        <v>186</v>
      </c>
      <c r="C194" s="7">
        <v>57.281110442142563</v>
      </c>
    </row>
    <row r="195" spans="2:3" x14ac:dyDescent="0.3">
      <c r="B195" s="6">
        <f>Лист1!B197</f>
        <v>187</v>
      </c>
      <c r="C195" s="7">
        <v>13.473991411781753</v>
      </c>
    </row>
    <row r="196" spans="2:3" x14ac:dyDescent="0.3">
      <c r="B196" s="6">
        <f>Лист1!B198</f>
        <v>188</v>
      </c>
      <c r="C196" s="7">
        <v>50.686449010113392</v>
      </c>
    </row>
    <row r="197" spans="2:3" x14ac:dyDescent="0.3">
      <c r="B197" s="6">
        <f>Лист1!B199</f>
        <v>189</v>
      </c>
      <c r="C197" s="7">
        <v>35.1807222821717</v>
      </c>
    </row>
    <row r="198" spans="2:3" x14ac:dyDescent="0.3">
      <c r="B198" s="6">
        <f>Лист1!B200</f>
        <v>190</v>
      </c>
      <c r="C198" s="7">
        <v>38.368015047822155</v>
      </c>
    </row>
    <row r="199" spans="2:3" x14ac:dyDescent="0.3">
      <c r="B199" s="6">
        <f>Лист1!B201</f>
        <v>191</v>
      </c>
      <c r="C199" s="7">
        <v>48.992527824309946</v>
      </c>
    </row>
    <row r="200" spans="2:3" x14ac:dyDescent="0.3">
      <c r="B200" s="6">
        <f>Лист1!B202</f>
        <v>192</v>
      </c>
      <c r="C200" s="7">
        <v>40.282564012359217</v>
      </c>
    </row>
    <row r="201" spans="2:3" x14ac:dyDescent="0.3">
      <c r="B201" s="6">
        <f>Лист1!B203</f>
        <v>193</v>
      </c>
      <c r="C201" s="7">
        <v>17.535732654268941</v>
      </c>
    </row>
    <row r="202" spans="2:3" x14ac:dyDescent="0.3">
      <c r="B202" s="6">
        <f>Лист1!B204</f>
        <v>194</v>
      </c>
      <c r="C202" s="7">
        <v>12.821542174014212</v>
      </c>
    </row>
    <row r="203" spans="2:3" x14ac:dyDescent="0.3">
      <c r="B203" s="6">
        <f>Лист1!B205</f>
        <v>195</v>
      </c>
      <c r="C203" s="7">
        <v>12.069093438530217</v>
      </c>
    </row>
    <row r="204" spans="2:3" x14ac:dyDescent="0.3">
      <c r="B204" s="6">
        <f>Лист1!B206</f>
        <v>196</v>
      </c>
      <c r="C204" s="7">
        <v>0.34773721763758658</v>
      </c>
    </row>
    <row r="205" spans="2:3" x14ac:dyDescent="0.3">
      <c r="B205" s="6">
        <f>Лист1!B207</f>
        <v>197</v>
      </c>
      <c r="C205" s="7">
        <v>33.032506932460819</v>
      </c>
    </row>
    <row r="206" spans="2:3" x14ac:dyDescent="0.3">
      <c r="B206" s="6">
        <f>Лист1!B208</f>
        <v>198</v>
      </c>
      <c r="C206" s="7">
        <v>66.547719032369969</v>
      </c>
    </row>
    <row r="207" spans="2:3" x14ac:dyDescent="0.3">
      <c r="B207" s="6">
        <f>Лист1!B209</f>
        <v>199</v>
      </c>
      <c r="C207" s="7">
        <v>109.49785879703632</v>
      </c>
    </row>
    <row r="208" spans="2:3" x14ac:dyDescent="0.3">
      <c r="B208" s="6">
        <f>Лист1!B210</f>
        <v>200</v>
      </c>
      <c r="C208" s="7">
        <v>54.433270348788028</v>
      </c>
    </row>
  </sheetData>
  <mergeCells count="7">
    <mergeCell ref="D8:E8"/>
    <mergeCell ref="B2:E2"/>
    <mergeCell ref="B3:C3"/>
    <mergeCell ref="D3:E3"/>
    <mergeCell ref="B5:E5"/>
    <mergeCell ref="B6:C6"/>
    <mergeCell ref="D6:E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V40"/>
  <sheetViews>
    <sheetView topLeftCell="A10" zoomScale="85" zoomScaleNormal="85" workbookViewId="0">
      <selection activeCell="L19" sqref="L19"/>
    </sheetView>
  </sheetViews>
  <sheetFormatPr defaultRowHeight="14.4" x14ac:dyDescent="0.3"/>
  <cols>
    <col min="5" max="5" width="12.6640625" bestFit="1" customWidth="1"/>
    <col min="6" max="6" width="11.5546875" bestFit="1" customWidth="1"/>
    <col min="14" max="14" width="26.33203125" bestFit="1" customWidth="1"/>
    <col min="15" max="15" width="16.88671875" bestFit="1" customWidth="1"/>
    <col min="16" max="16" width="23.33203125" bestFit="1" customWidth="1"/>
    <col min="17" max="17" width="15.5546875" bestFit="1" customWidth="1"/>
    <col min="18" max="18" width="12" bestFit="1" customWidth="1"/>
    <col min="19" max="19" width="14.6640625" bestFit="1" customWidth="1"/>
    <col min="20" max="20" width="13.109375" bestFit="1" customWidth="1"/>
    <col min="21" max="21" width="14.6640625" bestFit="1" customWidth="1"/>
    <col min="22" max="22" width="14.88671875" bestFit="1" customWidth="1"/>
  </cols>
  <sheetData>
    <row r="2" spans="2:19" ht="18" x14ac:dyDescent="0.35">
      <c r="B2" s="13"/>
      <c r="C2" s="14" t="s">
        <v>48</v>
      </c>
      <c r="D2" s="13"/>
      <c r="E2" s="13"/>
      <c r="F2" s="13"/>
      <c r="G2" s="13"/>
      <c r="H2" s="13"/>
      <c r="I2" s="13"/>
      <c r="J2" s="13"/>
      <c r="K2" s="13"/>
      <c r="L2" s="13"/>
      <c r="N2" s="46" t="s">
        <v>23</v>
      </c>
      <c r="O2" s="47"/>
      <c r="P2" s="47"/>
      <c r="Q2" s="48"/>
    </row>
    <row r="3" spans="2:19" x14ac:dyDescent="0.3"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N3" s="49" t="s">
        <v>22</v>
      </c>
      <c r="O3" s="50"/>
      <c r="P3" s="51">
        <v>0.04</v>
      </c>
      <c r="Q3" s="52"/>
    </row>
    <row r="4" spans="2:19" x14ac:dyDescent="0.3">
      <c r="B4" s="13"/>
      <c r="C4" s="15" t="s">
        <v>49</v>
      </c>
      <c r="D4" s="16">
        <v>0.7</v>
      </c>
      <c r="E4" s="16">
        <v>0.8</v>
      </c>
      <c r="F4" s="16">
        <v>0.9</v>
      </c>
      <c r="G4" s="16">
        <v>1</v>
      </c>
      <c r="H4" s="16">
        <v>1.1000000000000001</v>
      </c>
      <c r="I4" s="16">
        <v>1.2</v>
      </c>
      <c r="J4" s="16">
        <v>1.3</v>
      </c>
      <c r="K4" s="13"/>
      <c r="L4" s="13"/>
      <c r="N4" s="1"/>
    </row>
    <row r="5" spans="2:19" x14ac:dyDescent="0.3">
      <c r="B5" s="16" t="s">
        <v>0</v>
      </c>
      <c r="C5" s="15" t="s">
        <v>50</v>
      </c>
      <c r="D5" s="35">
        <f>D4*$P$3</f>
        <v>2.7999999999999997E-2</v>
      </c>
      <c r="E5" s="35">
        <f t="shared" ref="E5:J5" si="0">E4*$P$3</f>
        <v>3.2000000000000001E-2</v>
      </c>
      <c r="F5" s="35">
        <f t="shared" si="0"/>
        <v>3.6000000000000004E-2</v>
      </c>
      <c r="G5" s="35">
        <f t="shared" si="0"/>
        <v>0.04</v>
      </c>
      <c r="H5" s="35">
        <f t="shared" si="0"/>
        <v>4.4000000000000004E-2</v>
      </c>
      <c r="I5" s="35">
        <f t="shared" si="0"/>
        <v>4.8000000000000001E-2</v>
      </c>
      <c r="J5" s="35">
        <f t="shared" si="0"/>
        <v>5.2000000000000005E-2</v>
      </c>
      <c r="K5" s="13"/>
      <c r="L5" s="13"/>
      <c r="N5" t="s">
        <v>70</v>
      </c>
    </row>
    <row r="6" spans="2:19" x14ac:dyDescent="0.3">
      <c r="B6" s="16">
        <v>1</v>
      </c>
      <c r="C6" s="16" t="s">
        <v>51</v>
      </c>
      <c r="D6" s="34">
        <v>973.4442760808297</v>
      </c>
      <c r="E6" s="34">
        <v>1195.9169790551578</v>
      </c>
      <c r="F6" s="34">
        <v>323.21441660195546</v>
      </c>
      <c r="G6" s="34">
        <v>198.00473889338363</v>
      </c>
      <c r="H6" s="34">
        <v>147.02741819328409</v>
      </c>
      <c r="I6" s="34">
        <v>153.72999002067152</v>
      </c>
      <c r="J6" s="34">
        <v>55.448835223003719</v>
      </c>
      <c r="K6" s="13"/>
      <c r="L6" s="13"/>
    </row>
    <row r="7" spans="2:19" x14ac:dyDescent="0.3">
      <c r="B7" s="16">
        <v>2</v>
      </c>
      <c r="C7" s="16" t="s">
        <v>52</v>
      </c>
      <c r="D7" s="34">
        <v>1571.491021697854</v>
      </c>
      <c r="E7" s="34">
        <v>538.36640397176325</v>
      </c>
      <c r="F7" s="34">
        <v>401.79641482766704</v>
      </c>
      <c r="G7" s="34">
        <v>207.60687096306046</v>
      </c>
      <c r="H7" s="34">
        <v>188.81319670978246</v>
      </c>
      <c r="I7" s="34">
        <v>58.053375828016286</v>
      </c>
      <c r="J7" s="34">
        <v>44.089707298935338</v>
      </c>
      <c r="K7" s="13"/>
      <c r="L7" s="13"/>
      <c r="N7" s="60" t="s">
        <v>71</v>
      </c>
      <c r="O7" s="60"/>
    </row>
    <row r="8" spans="2:19" x14ac:dyDescent="0.3">
      <c r="B8" s="16">
        <v>3</v>
      </c>
      <c r="C8" s="16" t="s">
        <v>53</v>
      </c>
      <c r="D8" s="34">
        <v>1404.4333663796185</v>
      </c>
      <c r="E8" s="34">
        <v>1104.2061135418428</v>
      </c>
      <c r="F8" s="34">
        <v>603.44291190324725</v>
      </c>
      <c r="G8" s="34">
        <v>205.33089462723547</v>
      </c>
      <c r="H8" s="34">
        <v>66.496336062973768</v>
      </c>
      <c r="I8" s="34">
        <v>136.35605711274391</v>
      </c>
      <c r="J8" s="34">
        <v>41.975134618321398</v>
      </c>
      <c r="K8" s="13"/>
      <c r="L8" s="13"/>
      <c r="N8" s="9" t="s">
        <v>72</v>
      </c>
      <c r="O8" s="9">
        <v>0.90947704677328345</v>
      </c>
    </row>
    <row r="9" spans="2:19" x14ac:dyDescent="0.3">
      <c r="B9" s="16">
        <v>4</v>
      </c>
      <c r="C9" s="16" t="s">
        <v>54</v>
      </c>
      <c r="D9" s="34">
        <v>1352.4263254407224</v>
      </c>
      <c r="E9" s="34">
        <v>456.4583013353344</v>
      </c>
      <c r="F9" s="34">
        <v>542.15347014878785</v>
      </c>
      <c r="G9" s="34">
        <v>109.12757915479375</v>
      </c>
      <c r="H9" s="34">
        <v>231.32742176629836</v>
      </c>
      <c r="I9" s="34">
        <v>67.124231537994731</v>
      </c>
      <c r="J9" s="34">
        <v>72.748566952471677</v>
      </c>
      <c r="K9" s="13"/>
      <c r="L9" s="13"/>
      <c r="N9" s="10" t="s">
        <v>73</v>
      </c>
      <c r="O9" s="10">
        <v>0.82714849860745321</v>
      </c>
    </row>
    <row r="10" spans="2:19" x14ac:dyDescent="0.3">
      <c r="B10" s="16">
        <v>5</v>
      </c>
      <c r="C10" s="16" t="s">
        <v>55</v>
      </c>
      <c r="D10" s="34">
        <v>1307.6186167746173</v>
      </c>
      <c r="E10" s="34">
        <v>1057.1903876082447</v>
      </c>
      <c r="F10" s="34">
        <v>287.77770722037627</v>
      </c>
      <c r="G10" s="34">
        <v>294.86736846381297</v>
      </c>
      <c r="H10" s="34">
        <v>81.691244169567341</v>
      </c>
      <c r="I10" s="34">
        <v>77.303506704350497</v>
      </c>
      <c r="J10" s="34">
        <v>46.912839543297984</v>
      </c>
      <c r="K10" s="13"/>
      <c r="L10" s="13"/>
      <c r="N10" s="9" t="s">
        <v>74</v>
      </c>
      <c r="O10" s="9">
        <v>0.79257819832894383</v>
      </c>
    </row>
    <row r="11" spans="2:19" x14ac:dyDescent="0.3">
      <c r="B11" s="13"/>
      <c r="C11" s="16" t="s">
        <v>56</v>
      </c>
      <c r="D11" s="35">
        <f>AVERAGE(D6:D10)</f>
        <v>1321.8827212747285</v>
      </c>
      <c r="E11" s="35">
        <f t="shared" ref="E11:J11" si="1">AVERAGE(E6:E10)</f>
        <v>870.42763710246857</v>
      </c>
      <c r="F11" s="35">
        <f t="shared" si="1"/>
        <v>431.67698414040677</v>
      </c>
      <c r="G11" s="35">
        <f t="shared" si="1"/>
        <v>202.98749042045725</v>
      </c>
      <c r="H11" s="35">
        <f t="shared" si="1"/>
        <v>143.07112338038121</v>
      </c>
      <c r="I11" s="35">
        <f t="shared" si="1"/>
        <v>98.513432240755378</v>
      </c>
      <c r="J11" s="35">
        <f t="shared" si="1"/>
        <v>52.23501672720603</v>
      </c>
      <c r="K11" s="13"/>
      <c r="L11" s="13"/>
      <c r="N11" s="9" t="s">
        <v>29</v>
      </c>
      <c r="O11" s="9">
        <v>217.95456544428055</v>
      </c>
    </row>
    <row r="12" spans="2:19" x14ac:dyDescent="0.3"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N12" s="9" t="s">
        <v>75</v>
      </c>
      <c r="O12" s="9">
        <v>7</v>
      </c>
    </row>
    <row r="13" spans="2:19" x14ac:dyDescent="0.3">
      <c r="B13" s="16" t="s">
        <v>57</v>
      </c>
      <c r="C13" s="16" t="s">
        <v>58</v>
      </c>
      <c r="D13" s="16" t="s">
        <v>59</v>
      </c>
      <c r="E13" s="16" t="s">
        <v>60</v>
      </c>
      <c r="F13" s="16" t="s">
        <v>61</v>
      </c>
      <c r="G13" s="16" t="s">
        <v>62</v>
      </c>
      <c r="K13" s="17" t="s">
        <v>63</v>
      </c>
      <c r="L13" s="18">
        <f>O22</f>
        <v>-50369.440929696604</v>
      </c>
    </row>
    <row r="14" spans="2:19" x14ac:dyDescent="0.3">
      <c r="B14" s="19">
        <f t="array" ref="B14:B20">TRANSPOSE(D11:J11)</f>
        <v>1321.8827212747285</v>
      </c>
      <c r="C14" s="16">
        <f t="array" ref="C14:C20">TRANSPOSE(D5:J5)</f>
        <v>2.7999999999999997E-2</v>
      </c>
      <c r="D14" s="16">
        <f>LN(B14)</f>
        <v>7.1868123033710418</v>
      </c>
      <c r="E14" s="16">
        <f>LN(C14)</f>
        <v>-3.575550768806933</v>
      </c>
      <c r="F14" s="19">
        <f>$L$13*C14+$L$14</f>
        <v>1050.2610633401314</v>
      </c>
      <c r="G14" s="16">
        <f>$L$20*C14^$L$18</f>
        <v>1507.0438822767539</v>
      </c>
      <c r="J14" t="s">
        <v>101</v>
      </c>
      <c r="K14" s="17" t="s">
        <v>64</v>
      </c>
      <c r="L14" s="18">
        <f>O21</f>
        <v>2460.6054093716361</v>
      </c>
      <c r="N14" s="31" t="s">
        <v>76</v>
      </c>
    </row>
    <row r="15" spans="2:19" x14ac:dyDescent="0.3">
      <c r="B15" s="19">
        <v>870.42763710246857</v>
      </c>
      <c r="C15" s="16">
        <v>3.2000000000000001E-2</v>
      </c>
      <c r="D15" s="16">
        <f t="shared" ref="D15:E20" si="2">LN(B15)</f>
        <v>6.768984627783329</v>
      </c>
      <c r="E15" s="16">
        <f t="shared" si="2"/>
        <v>-3.4420193761824103</v>
      </c>
      <c r="F15" s="19">
        <f t="shared" ref="F15:F20" si="3">$L$13*C15+$L$14</f>
        <v>848.78329962134467</v>
      </c>
      <c r="G15" s="16">
        <f t="shared" ref="G15:G20" si="4">$L$20*C15^$L$18</f>
        <v>746.16300336038523</v>
      </c>
      <c r="K15" s="13"/>
      <c r="L15" s="13"/>
      <c r="N15" s="28"/>
      <c r="O15" s="30" t="s">
        <v>81</v>
      </c>
      <c r="P15" s="30" t="s">
        <v>82</v>
      </c>
      <c r="Q15" s="30" t="s">
        <v>83</v>
      </c>
      <c r="R15" s="30" t="s">
        <v>84</v>
      </c>
      <c r="S15" s="30" t="s">
        <v>85</v>
      </c>
    </row>
    <row r="16" spans="2:19" x14ac:dyDescent="0.3">
      <c r="B16" s="19">
        <v>431.67698414040677</v>
      </c>
      <c r="C16" s="16">
        <v>3.6000000000000004E-2</v>
      </c>
      <c r="D16" s="16">
        <f t="shared" si="2"/>
        <v>6.0676775866634607</v>
      </c>
      <c r="E16" s="16">
        <f t="shared" si="2"/>
        <v>-3.3242363405260269</v>
      </c>
      <c r="F16" s="19">
        <f t="shared" si="3"/>
        <v>647.30553590255818</v>
      </c>
      <c r="G16" s="16">
        <f t="shared" si="4"/>
        <v>401.37185793142169</v>
      </c>
      <c r="J16" t="s">
        <v>100</v>
      </c>
      <c r="K16" s="13"/>
      <c r="L16" s="13"/>
      <c r="N16" s="9" t="s">
        <v>77</v>
      </c>
      <c r="O16" s="9">
        <v>1</v>
      </c>
      <c r="P16" s="9">
        <v>1136612.0996474477</v>
      </c>
      <c r="Q16" s="9">
        <v>1136612.0996474477</v>
      </c>
      <c r="R16" s="9">
        <v>23.926563898597387</v>
      </c>
      <c r="S16" s="9">
        <v>4.5077303771794662E-3</v>
      </c>
    </row>
    <row r="17" spans="2:22" x14ac:dyDescent="0.3">
      <c r="B17" s="19">
        <v>202.98749042045725</v>
      </c>
      <c r="C17" s="16">
        <v>0.04</v>
      </c>
      <c r="D17" s="16">
        <f t="shared" si="2"/>
        <v>5.3131443535984335</v>
      </c>
      <c r="E17" s="16">
        <f t="shared" si="2"/>
        <v>-3.2188758248682006</v>
      </c>
      <c r="F17" s="19">
        <f t="shared" si="3"/>
        <v>445.82777218377191</v>
      </c>
      <c r="G17" s="16">
        <f t="shared" si="4"/>
        <v>230.49508762434101</v>
      </c>
      <c r="K17" s="13"/>
      <c r="L17" s="13"/>
      <c r="N17" s="9" t="s">
        <v>78</v>
      </c>
      <c r="O17" s="9">
        <v>5</v>
      </c>
      <c r="P17" s="9">
        <v>237520.96299002584</v>
      </c>
      <c r="Q17" s="9">
        <v>47504.192598005167</v>
      </c>
      <c r="R17" s="9"/>
      <c r="S17" s="9"/>
    </row>
    <row r="18" spans="2:22" x14ac:dyDescent="0.3">
      <c r="B18" s="19">
        <v>143.07112338038121</v>
      </c>
      <c r="C18" s="16">
        <v>4.4000000000000004E-2</v>
      </c>
      <c r="D18" s="16">
        <f t="shared" si="2"/>
        <v>4.9633418729106591</v>
      </c>
      <c r="E18" s="16">
        <f t="shared" si="2"/>
        <v>-3.1235656450638758</v>
      </c>
      <c r="F18" s="19">
        <f t="shared" si="3"/>
        <v>244.35000846498542</v>
      </c>
      <c r="G18" s="16">
        <f t="shared" si="4"/>
        <v>139.55791235107912</v>
      </c>
      <c r="K18" s="17" t="s">
        <v>65</v>
      </c>
      <c r="L18" s="18">
        <f>O40</f>
        <v>-5.2643893233586425</v>
      </c>
      <c r="N18" s="9" t="s">
        <v>79</v>
      </c>
      <c r="O18" s="9">
        <v>6</v>
      </c>
      <c r="P18" s="9">
        <v>1374133.0626374735</v>
      </c>
      <c r="Q18" s="9"/>
      <c r="R18" s="9"/>
      <c r="S18" s="9"/>
    </row>
    <row r="19" spans="2:22" x14ac:dyDescent="0.3">
      <c r="B19" s="19">
        <v>98.513432240755378</v>
      </c>
      <c r="C19" s="16">
        <v>4.8000000000000001E-2</v>
      </c>
      <c r="D19" s="16">
        <f t="shared" si="2"/>
        <v>4.5901929068072329</v>
      </c>
      <c r="E19" s="16">
        <f t="shared" si="2"/>
        <v>-3.0365542680742461</v>
      </c>
      <c r="F19" s="19">
        <f t="shared" si="3"/>
        <v>42.872244746199158</v>
      </c>
      <c r="G19" s="16">
        <f t="shared" si="4"/>
        <v>88.271553066783184</v>
      </c>
      <c r="H19" s="13"/>
      <c r="I19" s="13"/>
      <c r="J19" s="13"/>
      <c r="K19" s="17" t="s">
        <v>66</v>
      </c>
      <c r="L19" s="18">
        <f>O39</f>
        <v>-11.50518597526878</v>
      </c>
    </row>
    <row r="20" spans="2:22" x14ac:dyDescent="0.3">
      <c r="B20" s="19">
        <v>52.23501672720603</v>
      </c>
      <c r="C20" s="16">
        <v>5.2000000000000005E-2</v>
      </c>
      <c r="D20" s="16">
        <f t="shared" si="2"/>
        <v>3.9557530885192667</v>
      </c>
      <c r="E20" s="16">
        <f t="shared" si="2"/>
        <v>-2.9565115604007097</v>
      </c>
      <c r="F20" s="19">
        <f t="shared" si="3"/>
        <v>-158.60551897258756</v>
      </c>
      <c r="G20" s="16">
        <f t="shared" si="4"/>
        <v>57.918793516588728</v>
      </c>
      <c r="H20" s="13"/>
      <c r="I20" s="13"/>
      <c r="J20" s="13"/>
      <c r="K20" s="17" t="s">
        <v>67</v>
      </c>
      <c r="L20" s="18">
        <f>EXP(L19)</f>
        <v>1.0077695169671177E-5</v>
      </c>
      <c r="N20" s="28"/>
      <c r="O20" s="29" t="s">
        <v>86</v>
      </c>
      <c r="P20" s="30" t="s">
        <v>29</v>
      </c>
      <c r="Q20" s="30" t="s">
        <v>87</v>
      </c>
      <c r="R20" s="30" t="s">
        <v>88</v>
      </c>
      <c r="S20" s="30" t="s">
        <v>89</v>
      </c>
      <c r="T20" s="30" t="s">
        <v>90</v>
      </c>
      <c r="U20" s="30" t="s">
        <v>91</v>
      </c>
      <c r="V20" s="30" t="s">
        <v>92</v>
      </c>
    </row>
    <row r="21" spans="2:22" x14ac:dyDescent="0.3">
      <c r="N21" s="10" t="s">
        <v>80</v>
      </c>
      <c r="O21" s="10">
        <v>2460.6054093716361</v>
      </c>
      <c r="P21" s="9">
        <v>420.05254901672447</v>
      </c>
      <c r="Q21" s="9">
        <v>5.8578513929543297</v>
      </c>
      <c r="R21" s="9">
        <v>2.0546919273726335E-3</v>
      </c>
      <c r="S21" s="9">
        <v>1380.8259568565113</v>
      </c>
      <c r="T21" s="9">
        <v>3540.384861886761</v>
      </c>
      <c r="U21" s="9">
        <v>1380.8259568565113</v>
      </c>
      <c r="V21" s="9">
        <v>3540.384861886761</v>
      </c>
    </row>
    <row r="22" spans="2:22" x14ac:dyDescent="0.3">
      <c r="N22" s="10" t="s">
        <v>93</v>
      </c>
      <c r="O22" s="10">
        <v>-50369.440929696604</v>
      </c>
      <c r="P22" s="9">
        <v>10297.385308512827</v>
      </c>
      <c r="Q22" s="9">
        <v>-4.89147870266215</v>
      </c>
      <c r="R22" s="9">
        <v>4.5077303771794619E-3</v>
      </c>
      <c r="S22" s="9">
        <v>-76839.712558307932</v>
      </c>
      <c r="T22" s="9">
        <v>-23899.16930108528</v>
      </c>
      <c r="U22" s="9">
        <v>-76839.712558307932</v>
      </c>
      <c r="V22" s="9">
        <v>-23899.16930108528</v>
      </c>
    </row>
    <row r="23" spans="2:22" x14ac:dyDescent="0.3">
      <c r="N23" t="s">
        <v>70</v>
      </c>
    </row>
    <row r="25" spans="2:22" x14ac:dyDescent="0.3">
      <c r="N25" s="61" t="s">
        <v>71</v>
      </c>
      <c r="O25" s="62"/>
    </row>
    <row r="26" spans="2:22" x14ac:dyDescent="0.3">
      <c r="N26" s="9" t="s">
        <v>72</v>
      </c>
      <c r="O26" s="9">
        <v>0.99482156496051755</v>
      </c>
    </row>
    <row r="27" spans="2:22" x14ac:dyDescent="0.3">
      <c r="N27" s="10" t="s">
        <v>73</v>
      </c>
      <c r="O27" s="10">
        <v>0.9896699461104933</v>
      </c>
    </row>
    <row r="28" spans="2:22" x14ac:dyDescent="0.3">
      <c r="N28" s="9" t="s">
        <v>74</v>
      </c>
      <c r="O28" s="9">
        <v>0.98760393533259205</v>
      </c>
    </row>
    <row r="29" spans="2:22" x14ac:dyDescent="0.3">
      <c r="N29" s="9" t="s">
        <v>29</v>
      </c>
      <c r="O29" s="9">
        <v>0.13091986734588984</v>
      </c>
    </row>
    <row r="30" spans="2:22" x14ac:dyDescent="0.3">
      <c r="N30" s="9" t="s">
        <v>75</v>
      </c>
      <c r="O30" s="9">
        <v>7</v>
      </c>
    </row>
    <row r="32" spans="2:22" x14ac:dyDescent="0.3">
      <c r="N32" s="31" t="s">
        <v>76</v>
      </c>
    </row>
    <row r="33" spans="14:22" x14ac:dyDescent="0.3">
      <c r="N33" s="28"/>
      <c r="O33" s="30" t="s">
        <v>81</v>
      </c>
      <c r="P33" s="30" t="s">
        <v>82</v>
      </c>
      <c r="Q33" s="30" t="s">
        <v>83</v>
      </c>
      <c r="R33" s="30" t="s">
        <v>84</v>
      </c>
      <c r="S33" s="30" t="s">
        <v>85</v>
      </c>
    </row>
    <row r="34" spans="14:22" x14ac:dyDescent="0.3">
      <c r="N34" s="9" t="s">
        <v>77</v>
      </c>
      <c r="O34" s="9">
        <v>1</v>
      </c>
      <c r="P34" s="9">
        <v>8.2104868973245004</v>
      </c>
      <c r="Q34" s="9">
        <v>8.2104868973245004</v>
      </c>
      <c r="R34" s="9">
        <v>479.02458046022309</v>
      </c>
      <c r="S34" s="9">
        <v>3.6961050213551524E-6</v>
      </c>
    </row>
    <row r="35" spans="14:22" x14ac:dyDescent="0.3">
      <c r="N35" s="9" t="s">
        <v>78</v>
      </c>
      <c r="O35" s="9">
        <v>5</v>
      </c>
      <c r="P35" s="9">
        <v>8.5700058329326964E-2</v>
      </c>
      <c r="Q35" s="9">
        <v>1.7140011665865394E-2</v>
      </c>
      <c r="R35" s="9"/>
      <c r="S35" s="9"/>
    </row>
    <row r="36" spans="14:22" x14ac:dyDescent="0.3">
      <c r="N36" s="9" t="s">
        <v>79</v>
      </c>
      <c r="O36" s="9">
        <v>6</v>
      </c>
      <c r="P36" s="9">
        <v>8.2961869556538268</v>
      </c>
      <c r="Q36" s="9"/>
      <c r="R36" s="9"/>
      <c r="S36" s="9"/>
    </row>
    <row r="38" spans="14:22" x14ac:dyDescent="0.3">
      <c r="N38" s="28"/>
      <c r="O38" s="29" t="s">
        <v>86</v>
      </c>
      <c r="P38" s="28" t="s">
        <v>29</v>
      </c>
      <c r="Q38" s="28" t="s">
        <v>87</v>
      </c>
      <c r="R38" s="28" t="s">
        <v>88</v>
      </c>
      <c r="S38" s="28" t="s">
        <v>89</v>
      </c>
      <c r="T38" s="28" t="s">
        <v>90</v>
      </c>
      <c r="U38" s="28" t="s">
        <v>91</v>
      </c>
      <c r="V38" s="28" t="s">
        <v>92</v>
      </c>
    </row>
    <row r="39" spans="14:22" x14ac:dyDescent="0.3">
      <c r="N39" s="10" t="s">
        <v>80</v>
      </c>
      <c r="O39" s="10">
        <v>-11.50518597526878</v>
      </c>
      <c r="P39" s="9">
        <v>0.78079420567033497</v>
      </c>
      <c r="Q39" s="9">
        <v>-14.735234831041346</v>
      </c>
      <c r="R39" s="9">
        <v>2.6020962637398445E-5</v>
      </c>
      <c r="S39" s="9">
        <v>-13.512281377735029</v>
      </c>
      <c r="T39" s="9">
        <v>-9.498090572802532</v>
      </c>
      <c r="U39" s="9">
        <v>-13.512281377735029</v>
      </c>
      <c r="V39" s="9">
        <v>-9.498090572802532</v>
      </c>
    </row>
    <row r="40" spans="14:22" x14ac:dyDescent="0.3">
      <c r="N40" s="10" t="s">
        <v>93</v>
      </c>
      <c r="O40" s="10">
        <v>-5.2643893233586425</v>
      </c>
      <c r="P40" s="9">
        <v>0.24052991625616241</v>
      </c>
      <c r="Q40" s="9">
        <v>-21.886630175982393</v>
      </c>
      <c r="R40" s="9">
        <v>3.6961050213551583E-6</v>
      </c>
      <c r="S40" s="9">
        <v>-5.8826911570138574</v>
      </c>
      <c r="T40" s="9">
        <v>-4.6460874897034277</v>
      </c>
      <c r="U40" s="9">
        <v>-5.8826911570138574</v>
      </c>
      <c r="V40" s="9">
        <v>-4.6460874897034277</v>
      </c>
    </row>
  </sheetData>
  <mergeCells count="5">
    <mergeCell ref="N7:O7"/>
    <mergeCell ref="N25:O25"/>
    <mergeCell ref="N2:Q2"/>
    <mergeCell ref="N3:O3"/>
    <mergeCell ref="P3:Q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Владислав Куманов</dc:creator>
  <cp:lastModifiedBy>Lenovo</cp:lastModifiedBy>
  <dcterms:created xsi:type="dcterms:W3CDTF">2015-06-05T18:19:34Z</dcterms:created>
  <dcterms:modified xsi:type="dcterms:W3CDTF">2022-12-09T20:41:17Z</dcterms:modified>
</cp:coreProperties>
</file>