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activeX/activeX4.xml" ContentType="application/vnd.ms-office.activeX+xml"/>
  <Override PartName="/xl/charts/chart2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5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0" yWindow="0" windowWidth="17256" windowHeight="2808" activeTab="1"/>
  </bookViews>
  <sheets>
    <sheet name="Лист1" sheetId="1" r:id="rId1"/>
    <sheet name="Лист2" sheetId="2" r:id="rId2"/>
    <sheet name="Лист3" sheetId="3" r:id="rId3"/>
    <sheet name="Лист4" sheetId="4" r:id="rId4"/>
    <sheet name="Лист5" sheetId="5" r:id="rId5"/>
  </sheets>
  <calcPr calcId="162913"/>
</workbook>
</file>

<file path=xl/calcChain.xml><?xml version="1.0" encoding="utf-8"?>
<calcChain xmlns="http://schemas.openxmlformats.org/spreadsheetml/2006/main">
  <c r="I40" i="5" l="1"/>
  <c r="M20" i="4" l="1"/>
  <c r="M21" i="4"/>
  <c r="M22" i="4"/>
  <c r="M23" i="4"/>
  <c r="M24" i="4"/>
  <c r="M25" i="4"/>
  <c r="M26" i="4"/>
  <c r="M27" i="4"/>
  <c r="M28" i="4"/>
  <c r="M29" i="4"/>
  <c r="M19" i="4"/>
  <c r="L20" i="4"/>
  <c r="L21" i="4"/>
  <c r="L22" i="4"/>
  <c r="L23" i="4"/>
  <c r="L24" i="4"/>
  <c r="L25" i="4"/>
  <c r="L26" i="4"/>
  <c r="L27" i="4"/>
  <c r="L28" i="4"/>
  <c r="L29" i="4"/>
  <c r="L19" i="4"/>
  <c r="I22" i="5" l="1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21" i="5"/>
  <c r="J21" i="5" s="1"/>
  <c r="J22" i="5" l="1"/>
  <c r="J23" i="5" s="1"/>
  <c r="J24" i="5" s="1"/>
  <c r="J25" i="5" s="1"/>
  <c r="J26" i="5" s="1"/>
  <c r="J27" i="5" s="1"/>
  <c r="J28" i="5" s="1"/>
  <c r="J29" i="5" s="1"/>
  <c r="J30" i="5" s="1"/>
  <c r="J31" i="5" s="1"/>
  <c r="J32" i="5" s="1"/>
  <c r="J33" i="5" s="1"/>
  <c r="J34" i="5" s="1"/>
  <c r="J35" i="5" s="1"/>
  <c r="J36" i="5" s="1"/>
  <c r="J37" i="5" s="1"/>
  <c r="J38" i="5" s="1"/>
  <c r="J39" i="5" s="1"/>
  <c r="J40" i="5" s="1"/>
  <c r="B29" i="4"/>
  <c r="B30" i="4" s="1"/>
  <c r="B28" i="4"/>
  <c r="B35" i="4"/>
  <c r="C35" i="4" s="1"/>
  <c r="B36" i="4"/>
  <c r="C36" i="4" s="1"/>
  <c r="B37" i="4"/>
  <c r="C37" i="4" s="1"/>
  <c r="B38" i="4"/>
  <c r="C38" i="4" s="1"/>
  <c r="B39" i="4"/>
  <c r="C39" i="4" s="1"/>
  <c r="B40" i="4"/>
  <c r="C40" i="4" s="1"/>
  <c r="B41" i="4"/>
  <c r="C41" i="4" s="1"/>
  <c r="B42" i="4"/>
  <c r="C42" i="4" s="1"/>
  <c r="B43" i="4"/>
  <c r="C43" i="4" s="1"/>
  <c r="B44" i="4"/>
  <c r="C44" i="4" s="1"/>
  <c r="B45" i="4"/>
  <c r="C45" i="4" s="1"/>
  <c r="B46" i="4"/>
  <c r="C46" i="4" s="1"/>
  <c r="B47" i="4"/>
  <c r="C47" i="4" s="1"/>
  <c r="B48" i="4"/>
  <c r="C48" i="4" s="1"/>
  <c r="B49" i="4"/>
  <c r="C49" i="4" s="1"/>
  <c r="B50" i="4"/>
  <c r="C50" i="4" s="1"/>
  <c r="B51" i="4"/>
  <c r="C51" i="4" s="1"/>
  <c r="B52" i="4"/>
  <c r="C52" i="4" s="1"/>
  <c r="B53" i="4"/>
  <c r="C53" i="4" s="1"/>
  <c r="B34" i="4"/>
  <c r="C34" i="4" s="1"/>
  <c r="E65" i="3"/>
  <c r="G65" i="3" s="1"/>
  <c r="I65" i="3" s="1"/>
  <c r="F65" i="3"/>
  <c r="E66" i="3"/>
  <c r="G66" i="3" s="1"/>
  <c r="I66" i="3" s="1"/>
  <c r="F66" i="3"/>
  <c r="E67" i="3"/>
  <c r="G67" i="3" s="1"/>
  <c r="F67" i="3"/>
  <c r="E68" i="3"/>
  <c r="G68" i="3" s="1"/>
  <c r="I68" i="3" s="1"/>
  <c r="F68" i="3"/>
  <c r="E69" i="3"/>
  <c r="G69" i="3" s="1"/>
  <c r="I69" i="3" s="1"/>
  <c r="F69" i="3"/>
  <c r="E70" i="3"/>
  <c r="G70" i="3" s="1"/>
  <c r="I70" i="3" s="1"/>
  <c r="F70" i="3"/>
  <c r="E71" i="3"/>
  <c r="G71" i="3" s="1"/>
  <c r="F71" i="3"/>
  <c r="E72" i="3"/>
  <c r="G72" i="3" s="1"/>
  <c r="I72" i="3" s="1"/>
  <c r="F72" i="3"/>
  <c r="E73" i="3"/>
  <c r="G73" i="3" s="1"/>
  <c r="I73" i="3" s="1"/>
  <c r="F73" i="3"/>
  <c r="E74" i="3"/>
  <c r="G74" i="3" s="1"/>
  <c r="I74" i="3" s="1"/>
  <c r="F74" i="3"/>
  <c r="E75" i="3"/>
  <c r="G75" i="3" s="1"/>
  <c r="F75" i="3"/>
  <c r="E76" i="3"/>
  <c r="G76" i="3" s="1"/>
  <c r="I76" i="3" s="1"/>
  <c r="F76" i="3"/>
  <c r="E61" i="3"/>
  <c r="G61" i="3" s="1"/>
  <c r="I61" i="3" s="1"/>
  <c r="F61" i="3"/>
  <c r="E62" i="3"/>
  <c r="G62" i="3" s="1"/>
  <c r="I62" i="3" s="1"/>
  <c r="F62" i="3"/>
  <c r="E63" i="3"/>
  <c r="G63" i="3" s="1"/>
  <c r="I63" i="3" s="1"/>
  <c r="F63" i="3"/>
  <c r="E64" i="3"/>
  <c r="G64" i="3" s="1"/>
  <c r="I64" i="3" s="1"/>
  <c r="F64" i="3"/>
  <c r="E38" i="3"/>
  <c r="G38" i="3" s="1"/>
  <c r="I38" i="3" s="1"/>
  <c r="F38" i="3"/>
  <c r="E39" i="3"/>
  <c r="G39" i="3" s="1"/>
  <c r="I39" i="3" s="1"/>
  <c r="F39" i="3"/>
  <c r="E40" i="3"/>
  <c r="G40" i="3" s="1"/>
  <c r="I40" i="3" s="1"/>
  <c r="F40" i="3"/>
  <c r="E41" i="3"/>
  <c r="G41" i="3" s="1"/>
  <c r="I41" i="3" s="1"/>
  <c r="F41" i="3"/>
  <c r="E42" i="3"/>
  <c r="G42" i="3" s="1"/>
  <c r="I42" i="3" s="1"/>
  <c r="F42" i="3"/>
  <c r="E43" i="3"/>
  <c r="G43" i="3" s="1"/>
  <c r="I43" i="3" s="1"/>
  <c r="F43" i="3"/>
  <c r="E44" i="3"/>
  <c r="G44" i="3" s="1"/>
  <c r="I44" i="3" s="1"/>
  <c r="F44" i="3"/>
  <c r="E45" i="3"/>
  <c r="G45" i="3" s="1"/>
  <c r="I45" i="3" s="1"/>
  <c r="F45" i="3"/>
  <c r="E46" i="3"/>
  <c r="G46" i="3" s="1"/>
  <c r="I46" i="3" s="1"/>
  <c r="F46" i="3"/>
  <c r="E47" i="3"/>
  <c r="G47" i="3" s="1"/>
  <c r="I47" i="3" s="1"/>
  <c r="F47" i="3"/>
  <c r="E48" i="3"/>
  <c r="G48" i="3" s="1"/>
  <c r="I48" i="3" s="1"/>
  <c r="F48" i="3"/>
  <c r="E49" i="3"/>
  <c r="G49" i="3" s="1"/>
  <c r="I49" i="3" s="1"/>
  <c r="F49" i="3"/>
  <c r="E50" i="3"/>
  <c r="G50" i="3" s="1"/>
  <c r="I50" i="3" s="1"/>
  <c r="F50" i="3"/>
  <c r="E51" i="3"/>
  <c r="G51" i="3" s="1"/>
  <c r="I51" i="3" s="1"/>
  <c r="F51" i="3"/>
  <c r="E52" i="3"/>
  <c r="G52" i="3" s="1"/>
  <c r="I52" i="3" s="1"/>
  <c r="F52" i="3"/>
  <c r="E53" i="3"/>
  <c r="G53" i="3" s="1"/>
  <c r="I53" i="3" s="1"/>
  <c r="F53" i="3"/>
  <c r="E54" i="3"/>
  <c r="G54" i="3" s="1"/>
  <c r="I54" i="3" s="1"/>
  <c r="F54" i="3"/>
  <c r="E55" i="3"/>
  <c r="G55" i="3" s="1"/>
  <c r="I55" i="3" s="1"/>
  <c r="F55" i="3"/>
  <c r="E56" i="3"/>
  <c r="G56" i="3" s="1"/>
  <c r="I56" i="3" s="1"/>
  <c r="F56" i="3"/>
  <c r="E57" i="3"/>
  <c r="G57" i="3" s="1"/>
  <c r="I57" i="3" s="1"/>
  <c r="F57" i="3"/>
  <c r="E58" i="3"/>
  <c r="G58" i="3" s="1"/>
  <c r="I58" i="3" s="1"/>
  <c r="F58" i="3"/>
  <c r="E59" i="3"/>
  <c r="G59" i="3" s="1"/>
  <c r="I59" i="3" s="1"/>
  <c r="F59" i="3"/>
  <c r="E60" i="3"/>
  <c r="G60" i="3" s="1"/>
  <c r="I60" i="3" s="1"/>
  <c r="F60" i="3"/>
  <c r="F37" i="3"/>
  <c r="E37" i="3"/>
  <c r="G37" i="3" s="1"/>
  <c r="I37" i="3" s="1"/>
  <c r="M20" i="3"/>
  <c r="B22" i="3"/>
  <c r="B24" i="3"/>
  <c r="B26" i="3"/>
  <c r="B27" i="3"/>
  <c r="B28" i="3"/>
  <c r="B30" i="3"/>
  <c r="B32" i="3"/>
  <c r="B34" i="3"/>
  <c r="B35" i="3"/>
  <c r="B36" i="3"/>
  <c r="B38" i="3"/>
  <c r="B40" i="3"/>
  <c r="B42" i="3"/>
  <c r="B43" i="3"/>
  <c r="B44" i="3"/>
  <c r="B46" i="3"/>
  <c r="B48" i="3"/>
  <c r="B50" i="3"/>
  <c r="B51" i="3"/>
  <c r="B52" i="3"/>
  <c r="B54" i="3"/>
  <c r="B56" i="3"/>
  <c r="B58" i="3"/>
  <c r="B59" i="3"/>
  <c r="B60" i="3"/>
  <c r="B15" i="3"/>
  <c r="B14" i="3"/>
  <c r="B21" i="3" s="1"/>
  <c r="B35" i="2"/>
  <c r="C35" i="2"/>
  <c r="B36" i="2"/>
  <c r="C36" i="2"/>
  <c r="B37" i="2"/>
  <c r="C37" i="2"/>
  <c r="B38" i="2"/>
  <c r="C38" i="2"/>
  <c r="B39" i="2"/>
  <c r="C39" i="2"/>
  <c r="B40" i="2"/>
  <c r="C40" i="2"/>
  <c r="B41" i="2"/>
  <c r="C41" i="2"/>
  <c r="B42" i="2"/>
  <c r="C42" i="2"/>
  <c r="B43" i="2"/>
  <c r="C43" i="2"/>
  <c r="B44" i="2"/>
  <c r="C44" i="2"/>
  <c r="B45" i="2"/>
  <c r="C45" i="2"/>
  <c r="B46" i="2"/>
  <c r="C46" i="2"/>
  <c r="B47" i="2"/>
  <c r="C47" i="2"/>
  <c r="B48" i="2"/>
  <c r="C48" i="2"/>
  <c r="B49" i="2"/>
  <c r="C49" i="2"/>
  <c r="B50" i="2"/>
  <c r="C50" i="2"/>
  <c r="B51" i="2"/>
  <c r="C51" i="2"/>
  <c r="B52" i="2"/>
  <c r="C52" i="2"/>
  <c r="B53" i="2"/>
  <c r="C53" i="2"/>
  <c r="C34" i="2"/>
  <c r="B34" i="2"/>
  <c r="B10" i="2"/>
  <c r="C10" i="2"/>
  <c r="D10" i="2"/>
  <c r="E10" i="2"/>
  <c r="F10" i="2"/>
  <c r="G10" i="2"/>
  <c r="B11" i="2"/>
  <c r="C11" i="2"/>
  <c r="D11" i="2"/>
  <c r="E11" i="2"/>
  <c r="F11" i="2"/>
  <c r="G11" i="2"/>
  <c r="B12" i="2"/>
  <c r="C12" i="2"/>
  <c r="D12" i="2"/>
  <c r="E12" i="2"/>
  <c r="F12" i="2"/>
  <c r="G12" i="2"/>
  <c r="B13" i="2"/>
  <c r="C13" i="2"/>
  <c r="D13" i="2"/>
  <c r="E13" i="2"/>
  <c r="F13" i="2"/>
  <c r="G13" i="2"/>
  <c r="B14" i="2"/>
  <c r="C14" i="2"/>
  <c r="D14" i="2"/>
  <c r="E14" i="2"/>
  <c r="F14" i="2"/>
  <c r="G14" i="2"/>
  <c r="B15" i="2"/>
  <c r="C15" i="2"/>
  <c r="D15" i="2"/>
  <c r="E15" i="2"/>
  <c r="F15" i="2"/>
  <c r="G15" i="2"/>
  <c r="B16" i="2"/>
  <c r="C16" i="2"/>
  <c r="D16" i="2"/>
  <c r="E16" i="2"/>
  <c r="F16" i="2"/>
  <c r="G16" i="2"/>
  <c r="B17" i="2"/>
  <c r="C17" i="2"/>
  <c r="D17" i="2"/>
  <c r="E17" i="2"/>
  <c r="F17" i="2"/>
  <c r="G17" i="2"/>
  <c r="B18" i="2"/>
  <c r="C18" i="2"/>
  <c r="D18" i="2"/>
  <c r="E18" i="2"/>
  <c r="F18" i="2"/>
  <c r="G18" i="2"/>
  <c r="B19" i="2"/>
  <c r="C19" i="2"/>
  <c r="D19" i="2"/>
  <c r="E19" i="2"/>
  <c r="F19" i="2"/>
  <c r="G19" i="2"/>
  <c r="B20" i="2"/>
  <c r="C20" i="2"/>
  <c r="D20" i="2"/>
  <c r="E20" i="2"/>
  <c r="F20" i="2"/>
  <c r="G20" i="2"/>
  <c r="B21" i="2"/>
  <c r="C21" i="2"/>
  <c r="D21" i="2"/>
  <c r="E21" i="2"/>
  <c r="F21" i="2"/>
  <c r="G21" i="2"/>
  <c r="B22" i="2"/>
  <c r="C22" i="2"/>
  <c r="D22" i="2"/>
  <c r="E22" i="2"/>
  <c r="F22" i="2"/>
  <c r="G22" i="2"/>
  <c r="B23" i="2"/>
  <c r="C23" i="2"/>
  <c r="D23" i="2"/>
  <c r="E23" i="2"/>
  <c r="F23" i="2"/>
  <c r="G23" i="2"/>
  <c r="B24" i="2"/>
  <c r="C24" i="2"/>
  <c r="D24" i="2"/>
  <c r="E24" i="2"/>
  <c r="F24" i="2"/>
  <c r="G24" i="2"/>
  <c r="B25" i="2"/>
  <c r="C25" i="2"/>
  <c r="D25" i="2"/>
  <c r="E25" i="2"/>
  <c r="F25" i="2"/>
  <c r="G25" i="2"/>
  <c r="B26" i="2"/>
  <c r="C26" i="2"/>
  <c r="D26" i="2"/>
  <c r="E26" i="2"/>
  <c r="F26" i="2"/>
  <c r="G26" i="2"/>
  <c r="B27" i="2"/>
  <c r="C27" i="2"/>
  <c r="D27" i="2"/>
  <c r="E27" i="2"/>
  <c r="F27" i="2"/>
  <c r="G27" i="2"/>
  <c r="B28" i="2"/>
  <c r="C28" i="2"/>
  <c r="D28" i="2"/>
  <c r="E28" i="2"/>
  <c r="F28" i="2"/>
  <c r="G28" i="2"/>
  <c r="I3" i="2"/>
  <c r="I2" i="2"/>
  <c r="C9" i="2"/>
  <c r="D9" i="2"/>
  <c r="E9" i="2"/>
  <c r="F9" i="2"/>
  <c r="G9" i="2"/>
  <c r="B9" i="2"/>
  <c r="C4" i="2"/>
  <c r="I8" i="1"/>
  <c r="I7" i="1"/>
  <c r="I6" i="1"/>
  <c r="I5" i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6" i="1"/>
  <c r="C6" i="1" s="1"/>
  <c r="H57" i="3" l="1"/>
  <c r="H53" i="3"/>
  <c r="H49" i="3"/>
  <c r="H45" i="3"/>
  <c r="H41" i="3"/>
  <c r="J41" i="3" s="1"/>
  <c r="H64" i="3"/>
  <c r="J64" i="3" s="1"/>
  <c r="H76" i="3"/>
  <c r="J76" i="3" s="1"/>
  <c r="H72" i="3"/>
  <c r="J72" i="3" s="1"/>
  <c r="H68" i="3"/>
  <c r="H37" i="3"/>
  <c r="B57" i="3"/>
  <c r="B49" i="3"/>
  <c r="B41" i="3"/>
  <c r="B33" i="3"/>
  <c r="B25" i="3"/>
  <c r="H60" i="3"/>
  <c r="J60" i="3" s="1"/>
  <c r="H56" i="3"/>
  <c r="H52" i="3"/>
  <c r="H48" i="3"/>
  <c r="H44" i="3"/>
  <c r="H40" i="3"/>
  <c r="J40" i="3" s="1"/>
  <c r="H63" i="3"/>
  <c r="J63" i="3" s="1"/>
  <c r="H75" i="3"/>
  <c r="H71" i="3"/>
  <c r="H67" i="3"/>
  <c r="I75" i="3"/>
  <c r="I71" i="3"/>
  <c r="I67" i="3"/>
  <c r="J67" i="3" s="1"/>
  <c r="B16" i="3"/>
  <c r="B17" i="3" s="1"/>
  <c r="B55" i="3"/>
  <c r="B47" i="3"/>
  <c r="B39" i="3"/>
  <c r="B31" i="3"/>
  <c r="B23" i="3"/>
  <c r="H59" i="3"/>
  <c r="H55" i="3"/>
  <c r="J55" i="3" s="1"/>
  <c r="H51" i="3"/>
  <c r="H47" i="3"/>
  <c r="J47" i="3" s="1"/>
  <c r="H43" i="3"/>
  <c r="J43" i="3" s="1"/>
  <c r="H39" i="3"/>
  <c r="J39" i="3" s="1"/>
  <c r="H62" i="3"/>
  <c r="H74" i="3"/>
  <c r="H70" i="3"/>
  <c r="H66" i="3"/>
  <c r="J66" i="3" s="1"/>
  <c r="B20" i="3"/>
  <c r="B53" i="3"/>
  <c r="B45" i="3"/>
  <c r="B37" i="3"/>
  <c r="B29" i="3"/>
  <c r="H58" i="3"/>
  <c r="H54" i="3"/>
  <c r="H50" i="3"/>
  <c r="J50" i="3" s="1"/>
  <c r="H46" i="3"/>
  <c r="J46" i="3" s="1"/>
  <c r="H42" i="3"/>
  <c r="J42" i="3" s="1"/>
  <c r="H38" i="3"/>
  <c r="J38" i="3" s="1"/>
  <c r="H61" i="3"/>
  <c r="J61" i="3" s="1"/>
  <c r="H73" i="3"/>
  <c r="H69" i="3"/>
  <c r="H65" i="3"/>
  <c r="J65" i="3" s="1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D53" i="2"/>
  <c r="D52" i="2"/>
  <c r="D51" i="2"/>
  <c r="D50" i="2"/>
  <c r="D49" i="2"/>
  <c r="D48" i="2"/>
  <c r="D47" i="2"/>
  <c r="D46" i="2"/>
  <c r="D45" i="2"/>
  <c r="F45" i="2" s="1"/>
  <c r="D44" i="2"/>
  <c r="D43" i="2"/>
  <c r="F43" i="2" s="1"/>
  <c r="D42" i="2"/>
  <c r="D41" i="2"/>
  <c r="F41" i="2" s="1"/>
  <c r="D40" i="2"/>
  <c r="D39" i="2"/>
  <c r="F39" i="2" s="1"/>
  <c r="D38" i="2"/>
  <c r="D37" i="2"/>
  <c r="F37" i="2" s="1"/>
  <c r="D36" i="2"/>
  <c r="D35" i="2"/>
  <c r="F35" i="2" s="1"/>
  <c r="C55" i="4"/>
  <c r="C54" i="4"/>
  <c r="J73" i="3"/>
  <c r="J69" i="3"/>
  <c r="J74" i="3"/>
  <c r="J70" i="3"/>
  <c r="J68" i="3"/>
  <c r="J62" i="3"/>
  <c r="J37" i="3"/>
  <c r="J59" i="3"/>
  <c r="J58" i="3"/>
  <c r="J57" i="3"/>
  <c r="J52" i="3"/>
  <c r="J48" i="3"/>
  <c r="J56" i="3"/>
  <c r="J54" i="3"/>
  <c r="J53" i="3"/>
  <c r="J51" i="3"/>
  <c r="J49" i="3"/>
  <c r="J45" i="3"/>
  <c r="J44" i="3"/>
  <c r="D34" i="2"/>
  <c r="F34" i="2" s="1"/>
  <c r="H25" i="2"/>
  <c r="I25" i="2" s="1"/>
  <c r="J25" i="2" s="1"/>
  <c r="H17" i="2"/>
  <c r="I17" i="2" s="1"/>
  <c r="J17" i="2" s="1"/>
  <c r="H13" i="2"/>
  <c r="I13" i="2" s="1"/>
  <c r="J13" i="2" s="1"/>
  <c r="H21" i="2"/>
  <c r="I21" i="2" s="1"/>
  <c r="J21" i="2" s="1"/>
  <c r="H27" i="2"/>
  <c r="I27" i="2" s="1"/>
  <c r="J27" i="2" s="1"/>
  <c r="H19" i="2"/>
  <c r="I19" i="2" s="1"/>
  <c r="J19" i="2" s="1"/>
  <c r="H11" i="2"/>
  <c r="I11" i="2" s="1"/>
  <c r="J11" i="2" s="1"/>
  <c r="H23" i="2"/>
  <c r="I23" i="2" s="1"/>
  <c r="J23" i="2" s="1"/>
  <c r="H15" i="2"/>
  <c r="I15" i="2" s="1"/>
  <c r="J15" i="2" s="1"/>
  <c r="H26" i="2"/>
  <c r="I26" i="2" s="1"/>
  <c r="J26" i="2" s="1"/>
  <c r="H22" i="2"/>
  <c r="I22" i="2" s="1"/>
  <c r="J22" i="2" s="1"/>
  <c r="H18" i="2"/>
  <c r="I18" i="2" s="1"/>
  <c r="J18" i="2" s="1"/>
  <c r="H14" i="2"/>
  <c r="I14" i="2" s="1"/>
  <c r="J14" i="2" s="1"/>
  <c r="H10" i="2"/>
  <c r="I10" i="2" s="1"/>
  <c r="J10" i="2" s="1"/>
  <c r="H28" i="2"/>
  <c r="I28" i="2" s="1"/>
  <c r="J28" i="2" s="1"/>
  <c r="H24" i="2"/>
  <c r="I24" i="2" s="1"/>
  <c r="J24" i="2" s="1"/>
  <c r="H20" i="2"/>
  <c r="I20" i="2" s="1"/>
  <c r="J20" i="2" s="1"/>
  <c r="H16" i="2"/>
  <c r="I16" i="2" s="1"/>
  <c r="J16" i="2" s="1"/>
  <c r="H12" i="2"/>
  <c r="I12" i="2" s="1"/>
  <c r="J12" i="2" s="1"/>
  <c r="H9" i="2"/>
  <c r="I9" i="2" s="1"/>
  <c r="J9" i="2" s="1"/>
  <c r="C26" i="1"/>
  <c r="C27" i="1"/>
  <c r="B27" i="1"/>
  <c r="B26" i="1"/>
  <c r="J75" i="3" l="1"/>
  <c r="J71" i="3"/>
  <c r="G45" i="2"/>
  <c r="G37" i="2"/>
  <c r="G41" i="2"/>
  <c r="G35" i="2"/>
  <c r="G39" i="2"/>
  <c r="G43" i="2"/>
  <c r="G48" i="2"/>
  <c r="F48" i="2"/>
  <c r="G50" i="2"/>
  <c r="F50" i="2"/>
  <c r="G52" i="2"/>
  <c r="F52" i="2"/>
  <c r="G36" i="2"/>
  <c r="F36" i="2"/>
  <c r="G40" i="2"/>
  <c r="F40" i="2"/>
  <c r="G44" i="2"/>
  <c r="F44" i="2"/>
  <c r="G47" i="2"/>
  <c r="F47" i="2"/>
  <c r="G49" i="2"/>
  <c r="F49" i="2"/>
  <c r="G51" i="2"/>
  <c r="F51" i="2"/>
  <c r="G53" i="2"/>
  <c r="F53" i="2"/>
  <c r="G38" i="2"/>
  <c r="F38" i="2"/>
  <c r="G42" i="2"/>
  <c r="F42" i="2"/>
  <c r="G46" i="2"/>
  <c r="F46" i="2"/>
  <c r="J30" i="2"/>
  <c r="J29" i="2"/>
  <c r="J77" i="3" l="1"/>
  <c r="J78" i="3"/>
  <c r="F55" i="2"/>
  <c r="F54" i="2"/>
  <c r="G34" i="2"/>
  <c r="G55" i="2" l="1"/>
  <c r="G54" i="2"/>
</calcChain>
</file>

<file path=xl/sharedStrings.xml><?xml version="1.0" encoding="utf-8"?>
<sst xmlns="http://schemas.openxmlformats.org/spreadsheetml/2006/main" count="115" uniqueCount="81">
  <si>
    <t>Выборки равномерно распределённых чисел</t>
  </si>
  <si>
    <t>a=</t>
  </si>
  <si>
    <t>b=</t>
  </si>
  <si>
    <t>№</t>
  </si>
  <si>
    <t>r(0;1)</t>
  </si>
  <si>
    <t>Xpp(a;b)</t>
  </si>
  <si>
    <t>Ф.О.Ф. - формула обратной функции</t>
  </si>
  <si>
    <r>
      <t>m</t>
    </r>
    <r>
      <rPr>
        <vertAlign val="subscript"/>
        <sz val="11"/>
        <color theme="1"/>
        <rFont val="Calibri"/>
        <family val="2"/>
        <charset val="204"/>
        <scheme val="minor"/>
      </rPr>
      <t>01</t>
    </r>
    <r>
      <rPr>
        <sz val="11"/>
        <color theme="1"/>
        <rFont val="Calibri"/>
        <family val="2"/>
        <scheme val="minor"/>
      </rPr>
      <t>=</t>
    </r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</si>
  <si>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charset val="204"/>
      </rPr>
      <t>01</t>
    </r>
    <r>
      <rPr>
        <vertAlign val="superscript"/>
        <sz val="11"/>
        <color theme="1"/>
        <rFont val="Calibri"/>
        <family val="2"/>
        <charset val="204"/>
      </rPr>
      <t>2</t>
    </r>
    <r>
      <rPr>
        <sz val="11"/>
        <color theme="1"/>
        <rFont val="Calibri"/>
        <family val="2"/>
      </rPr>
      <t>=</t>
    </r>
  </si>
  <si>
    <r>
      <t>m</t>
    </r>
    <r>
      <rPr>
        <vertAlign val="subscript"/>
        <sz val="11"/>
        <color theme="1"/>
        <rFont val="Calibri"/>
        <family val="2"/>
        <charset val="204"/>
        <scheme val="minor"/>
      </rPr>
      <t>ab</t>
    </r>
    <r>
      <rPr>
        <sz val="11"/>
        <color theme="1"/>
        <rFont val="Calibri"/>
        <family val="2"/>
        <scheme val="minor"/>
      </rPr>
      <t>=</t>
    </r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</si>
  <si>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charset val="204"/>
      </rPr>
      <t>ab</t>
    </r>
    <r>
      <rPr>
        <vertAlign val="superscript"/>
        <sz val="11"/>
        <color theme="1"/>
        <rFont val="Calibri"/>
        <family val="2"/>
        <charset val="204"/>
      </rPr>
      <t>2</t>
    </r>
    <r>
      <rPr>
        <sz val="11"/>
        <color theme="1"/>
        <rFont val="Calibri"/>
        <family val="2"/>
      </rPr>
      <t>=</t>
    </r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</si>
  <si>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>m</t>
    </r>
    <r>
      <rPr>
        <sz val="11"/>
        <color theme="1"/>
        <rFont val="Calibri"/>
        <family val="2"/>
        <charset val="204"/>
        <scheme val="minor"/>
      </rPr>
      <t>=</t>
    </r>
  </si>
  <si>
    <r>
      <t>S</t>
    </r>
    <r>
      <rPr>
        <vertAlign val="subscript"/>
        <sz val="11"/>
        <color theme="1"/>
        <rFont val="Calibri"/>
        <family val="2"/>
        <charset val="204"/>
        <scheme val="minor"/>
      </rPr>
      <t>X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</si>
  <si>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t>Моделирование чисел, распределённых непрерывно по нормальному закону</t>
  </si>
  <si>
    <r>
      <t>m</t>
    </r>
    <r>
      <rPr>
        <vertAlign val="subscript"/>
        <sz val="11"/>
        <color theme="1"/>
        <rFont val="Calibri"/>
        <family val="2"/>
        <charset val="204"/>
        <scheme val="minor"/>
      </rPr>
      <t>x</t>
    </r>
    <r>
      <rPr>
        <sz val="11"/>
        <color theme="1"/>
        <rFont val="Calibri"/>
        <family val="2"/>
        <scheme val="minor"/>
      </rPr>
      <t>=</t>
    </r>
  </si>
  <si>
    <r>
      <t>Ϭ</t>
    </r>
    <r>
      <rPr>
        <vertAlign val="subscript"/>
        <sz val="11"/>
        <color theme="1"/>
        <rFont val="Calibri"/>
        <family val="2"/>
        <charset val="204"/>
      </rPr>
      <t>x</t>
    </r>
    <r>
      <rPr>
        <sz val="11"/>
        <color theme="1"/>
        <rFont val="Calibri"/>
        <family val="2"/>
      </rPr>
      <t>=</t>
    </r>
  </si>
  <si>
    <r>
      <t>Ϭ</t>
    </r>
    <r>
      <rPr>
        <vertAlign val="subscript"/>
        <sz val="11"/>
        <color theme="1"/>
        <rFont val="Calibri"/>
        <family val="2"/>
        <charset val="204"/>
      </rPr>
      <t>x</t>
    </r>
    <r>
      <rPr>
        <vertAlign val="superscript"/>
        <sz val="11"/>
        <color theme="1"/>
        <rFont val="Calibri"/>
        <family val="2"/>
        <charset val="204"/>
      </rPr>
      <t>2</t>
    </r>
    <r>
      <rPr>
        <sz val="11"/>
        <color theme="1"/>
        <rFont val="Calibri"/>
        <family val="2"/>
      </rPr>
      <t>=</t>
    </r>
  </si>
  <si>
    <t>1. Метод ЦПТ - центральной предельной теоремы</t>
  </si>
  <si>
    <t>V</t>
  </si>
  <si>
    <t>Z</t>
  </si>
  <si>
    <t>X</t>
  </si>
  <si>
    <r>
      <t>Ϭ</t>
    </r>
    <r>
      <rPr>
        <vertAlign val="subscript"/>
        <sz val="11"/>
        <color theme="1"/>
        <rFont val="Calibri"/>
        <family val="2"/>
        <charset val="204"/>
      </rPr>
      <t>V</t>
    </r>
    <r>
      <rPr>
        <sz val="11"/>
        <color theme="1"/>
        <rFont val="Calibri"/>
        <family val="2"/>
      </rPr>
      <t>=</t>
    </r>
  </si>
  <si>
    <r>
      <t>m</t>
    </r>
    <r>
      <rPr>
        <vertAlign val="subscript"/>
        <sz val="11"/>
        <color theme="1"/>
        <rFont val="Calibri"/>
        <family val="2"/>
        <charset val="204"/>
        <scheme val="minor"/>
      </rPr>
      <t>V</t>
    </r>
    <r>
      <rPr>
        <sz val="11"/>
        <color theme="1"/>
        <rFont val="Calibri"/>
        <family val="2"/>
        <scheme val="minor"/>
      </rPr>
      <t>=</t>
    </r>
  </si>
  <si>
    <t>n=6</t>
  </si>
  <si>
    <t>2. Метод Бокса-Мюллера</t>
  </si>
  <si>
    <t>Z1</t>
  </si>
  <si>
    <t>Z2</t>
  </si>
  <si>
    <t>X1</t>
  </si>
  <si>
    <t>X2</t>
  </si>
  <si>
    <t>r1</t>
  </si>
  <si>
    <t>r2</t>
  </si>
  <si>
    <t>Смоделировать непрерывно распределённые числа по заданному закону методом усечения Неймана</t>
  </si>
  <si>
    <t>Функция плотности распределения параболического закона</t>
  </si>
  <si>
    <t>m=</t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</si>
  <si>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>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</si>
  <si>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t>f(x)</t>
  </si>
  <si>
    <t>M=</t>
  </si>
  <si>
    <t>Y</t>
  </si>
  <si>
    <t>Ф.О.Ф. равномерного закона</t>
  </si>
  <si>
    <t>XX</t>
  </si>
  <si>
    <t>Смоделировать выборку по закону Рэлея методом обратных функций</t>
  </si>
  <si>
    <t>Функция плотности вероятности</t>
  </si>
  <si>
    <t>Функция вероятности</t>
  </si>
  <si>
    <t>Ф.О.Ф.</t>
  </si>
  <si>
    <r>
      <rPr>
        <sz val="11"/>
        <color theme="1"/>
        <rFont val="Calibri"/>
        <family val="2"/>
        <charset val="204"/>
      </rPr>
      <t>Ϭ</t>
    </r>
    <r>
      <rPr>
        <sz val="11"/>
        <color theme="1"/>
        <rFont val="Calibri"/>
        <family val="2"/>
      </rPr>
      <t>=</t>
    </r>
  </si>
  <si>
    <r>
      <t>Ϭ</t>
    </r>
    <r>
      <rPr>
        <vertAlign val="subscript"/>
        <sz val="11"/>
        <color theme="1"/>
        <rFont val="Calibri"/>
        <family val="2"/>
        <charset val="204"/>
      </rPr>
      <t>X</t>
    </r>
    <r>
      <rPr>
        <vertAlign val="superscript"/>
        <sz val="11"/>
        <color theme="1"/>
        <rFont val="Calibri"/>
        <family val="2"/>
        <charset val="204"/>
      </rPr>
      <t>2</t>
    </r>
    <r>
      <rPr>
        <sz val="11"/>
        <color theme="1"/>
        <rFont val="Calibri"/>
        <family val="2"/>
      </rPr>
      <t>=</t>
    </r>
  </si>
  <si>
    <r>
      <t>m</t>
    </r>
    <r>
      <rPr>
        <vertAlign val="subscript"/>
        <sz val="11"/>
        <color theme="1"/>
        <rFont val="Calibri"/>
        <family val="2"/>
        <charset val="204"/>
        <scheme val="minor"/>
      </rPr>
      <t>X</t>
    </r>
    <r>
      <rPr>
        <sz val="11"/>
        <color theme="1"/>
        <rFont val="Calibri"/>
        <family val="2"/>
        <scheme val="minor"/>
      </rPr>
      <t>=</t>
    </r>
  </si>
  <si>
    <r>
      <t>Ϭ</t>
    </r>
    <r>
      <rPr>
        <vertAlign val="subscript"/>
        <sz val="11"/>
        <color theme="1"/>
        <rFont val="Calibri"/>
        <family val="2"/>
        <charset val="204"/>
      </rPr>
      <t>X</t>
    </r>
    <r>
      <rPr>
        <sz val="11"/>
        <color theme="1"/>
        <rFont val="Calibri"/>
        <family val="2"/>
      </rPr>
      <t>=</t>
    </r>
  </si>
  <si>
    <t>Смоделировать диискретное геометрическое распределение</t>
  </si>
  <si>
    <t>Разметка отрезка 0;1</t>
  </si>
  <si>
    <r>
      <t>a+P</t>
    </r>
    <r>
      <rPr>
        <vertAlign val="subscript"/>
        <sz val="11"/>
        <color theme="1"/>
        <rFont val="Calibri"/>
        <family val="2"/>
        <charset val="204"/>
        <scheme val="minor"/>
      </rPr>
      <t>1</t>
    </r>
  </si>
  <si>
    <t>b</t>
  </si>
  <si>
    <r>
      <t>a+P</t>
    </r>
    <r>
      <rPr>
        <vertAlign val="subscript"/>
        <sz val="11"/>
        <color theme="1"/>
        <rFont val="Calibri"/>
        <family val="2"/>
        <charset val="204"/>
        <scheme val="minor"/>
      </rPr>
      <t>2</t>
    </r>
  </si>
  <si>
    <t>1-q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</si>
  <si>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1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</si>
  <si>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1</t>
    </r>
    <r>
      <rPr>
        <sz val="11"/>
        <color theme="1"/>
        <rFont val="Calibri"/>
        <family val="2"/>
        <scheme val="minor"/>
      </rPr>
      <t>+P</t>
    </r>
    <r>
      <rPr>
        <vertAlign val="subscript"/>
        <sz val="11"/>
        <color theme="1"/>
        <rFont val="Calibri"/>
        <family val="2"/>
        <charset val="204"/>
        <scheme val="minor"/>
      </rPr>
      <t>2</t>
    </r>
  </si>
  <si>
    <r>
      <t>1-q</t>
    </r>
    <r>
      <rPr>
        <vertAlign val="superscript"/>
        <sz val="11"/>
        <color theme="1"/>
        <rFont val="Calibri"/>
        <family val="2"/>
        <charset val="204"/>
        <scheme val="minor"/>
      </rPr>
      <t>2</t>
    </r>
  </si>
  <si>
    <t>k</t>
  </si>
  <si>
    <t>a</t>
  </si>
  <si>
    <r>
      <t>1-q</t>
    </r>
    <r>
      <rPr>
        <vertAlign val="superscript"/>
        <sz val="11"/>
        <color theme="1"/>
        <rFont val="Calibri"/>
        <family val="2"/>
        <charset val="204"/>
        <scheme val="minor"/>
      </rPr>
      <t>k-1</t>
    </r>
  </si>
  <si>
    <r>
      <t>1-q</t>
    </r>
    <r>
      <rPr>
        <vertAlign val="superscript"/>
        <sz val="11"/>
        <color theme="1"/>
        <rFont val="Calibri"/>
        <family val="2"/>
        <charset val="204"/>
        <scheme val="minor"/>
      </rPr>
      <t>k</t>
    </r>
  </si>
  <si>
    <t>r</t>
  </si>
  <si>
    <t>K</t>
  </si>
  <si>
    <r>
      <rPr>
        <sz val="11"/>
        <color theme="1"/>
        <rFont val="Calibri"/>
        <family val="2"/>
        <charset val="204"/>
      </rPr>
      <t>Δ</t>
    </r>
    <r>
      <rPr>
        <sz val="11"/>
        <color theme="1"/>
        <rFont val="Symbol"/>
        <family val="1"/>
        <charset val="2"/>
      </rPr>
      <t>t</t>
    </r>
    <r>
      <rPr>
        <sz val="11"/>
        <color theme="1"/>
        <rFont val="Calibri"/>
        <family val="2"/>
      </rPr>
      <t>=</t>
    </r>
  </si>
  <si>
    <r>
      <rPr>
        <sz val="11"/>
        <color theme="1"/>
        <rFont val="Calibri"/>
        <family val="2"/>
        <charset val="204"/>
      </rPr>
      <t>Δ</t>
    </r>
    <r>
      <rPr>
        <sz val="11"/>
        <color theme="1"/>
        <rFont val="Calibri"/>
        <family val="2"/>
      </rPr>
      <t>t</t>
    </r>
  </si>
  <si>
    <r>
      <t>1-q</t>
    </r>
    <r>
      <rPr>
        <vertAlign val="superscript"/>
        <sz val="18"/>
        <color theme="1"/>
        <rFont val="Calibri"/>
        <family val="2"/>
        <scheme val="minor"/>
      </rPr>
      <t>k-1</t>
    </r>
    <r>
      <rPr>
        <sz val="18"/>
        <color theme="1"/>
        <rFont val="Calibri"/>
        <family val="2"/>
        <scheme val="minor"/>
      </rPr>
      <t>&lt;r&lt;1-q</t>
    </r>
    <r>
      <rPr>
        <vertAlign val="superscript"/>
        <sz val="18"/>
        <color theme="1"/>
        <rFont val="Calibri"/>
        <family val="2"/>
        <scheme val="minor"/>
      </rPr>
      <t>k</t>
    </r>
  </si>
  <si>
    <t>Таблица графика</t>
  </si>
  <si>
    <t>x</t>
  </si>
  <si>
    <t>F(x)</t>
  </si>
  <si>
    <r>
      <rPr>
        <sz val="18"/>
        <color theme="1"/>
        <rFont val="Calibri"/>
        <family val="2"/>
        <charset val="204"/>
      </rPr>
      <t>←</t>
    </r>
    <r>
      <rPr>
        <sz val="18"/>
        <color theme="1"/>
        <rFont val="Calibri"/>
        <family val="2"/>
        <scheme val="minor"/>
      </rPr>
      <t>нормализованное нормальное число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</si>
  <si>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K</t>
    </r>
  </si>
  <si>
    <t>t</t>
  </si>
  <si>
    <r>
      <t>45</t>
    </r>
    <r>
      <rPr>
        <sz val="11"/>
        <color theme="1"/>
        <rFont val="Calibri"/>
        <family val="2"/>
        <charset val="204"/>
      </rPr>
      <t>±</t>
    </r>
    <r>
      <rPr>
        <sz val="11"/>
        <color theme="1"/>
        <rFont val="Calibri"/>
        <family val="2"/>
      </rPr>
      <t>1,5</t>
    </r>
  </si>
  <si>
    <t>разметка отрезка [0;1]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</si>
  <si>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scheme val="minor"/>
      </rPr>
      <t>+P</t>
    </r>
    <r>
      <rPr>
        <vertAlign val="subscript"/>
        <sz val="11"/>
        <color theme="1"/>
        <rFont val="Calibri"/>
        <family val="2"/>
        <charset val="204"/>
        <scheme val="minor"/>
      </rPr>
      <t>3</t>
    </r>
  </si>
  <si>
    <t>- формула разметки</t>
  </si>
  <si>
    <t>для реализации метода розыгрыша жребия</t>
  </si>
  <si>
    <t>случайное значение ГПСЧ указывает случайно точку внутри какого-нибудь отрезка, моделируя выбор, соответствующий вероятности=длина отрезка</t>
  </si>
  <si>
    <t>мат ожидание</t>
  </si>
  <si>
    <t>дисперсия</t>
  </si>
  <si>
    <t>Среднее квадратическое отклонение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</si>
</sst>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vertAlign val="superscript"/>
      <sz val="18"/>
      <color theme="1"/>
      <name val="Calibri"/>
      <family val="2"/>
      <scheme val="minor"/>
    </font>
    <font>
      <sz val="18"/>
      <color theme="1"/>
      <name val="Calibri"/>
      <family val="2"/>
      <charset val="204"/>
    </font>
    <font>
      <sz val="18"/>
      <color theme="1"/>
      <name val="Calibri"/>
      <family val="2"/>
      <charset val="204"/>
      <scheme val="minor"/>
    </font>
    <font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2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15" fillId="0" borderId="0" xfId="0" applyFont="1"/>
    <xf numFmtId="0" fontId="0" fillId="0" borderId="0" xfId="0" applyFill="1" applyBorder="1" applyAlignment="1">
      <alignment horizontal="center" vertical="center" wrapText="1"/>
    </xf>
    <xf numFmtId="0" fontId="0" fillId="0" borderId="1" xfId="0" applyBorder="1"/>
    <xf numFmtId="0" fontId="0" fillId="0" borderId="0" xfId="0" applyAlignment="1">
      <alignment horizontal="left"/>
    </xf>
    <xf numFmtId="0" fontId="0" fillId="5" borderId="1" xfId="0" applyFill="1" applyBorder="1" applyAlignment="1">
      <alignment horizontal="center" vertical="center" wrapText="1"/>
    </xf>
    <xf numFmtId="0" fontId="18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right"/>
    </xf>
    <xf numFmtId="49" fontId="0" fillId="0" borderId="0" xfId="0" applyNumberForma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Border="1" applyAlignment="1">
      <alignment horizontal="left" vertical="center" wrapText="1"/>
    </xf>
    <xf numFmtId="0" fontId="19" fillId="0" borderId="0" xfId="0" applyFon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Лист3!$A$20:$A$60</c:f>
              <c:numCache>
                <c:formatCode>General</c:formatCode>
                <c:ptCount val="41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  <c:pt idx="27">
                  <c:v>18.5</c:v>
                </c:pt>
                <c:pt idx="28">
                  <c:v>19</c:v>
                </c:pt>
                <c:pt idx="29">
                  <c:v>19.5</c:v>
                </c:pt>
                <c:pt idx="30">
                  <c:v>20</c:v>
                </c:pt>
                <c:pt idx="31">
                  <c:v>20.5</c:v>
                </c:pt>
                <c:pt idx="32">
                  <c:v>21</c:v>
                </c:pt>
                <c:pt idx="33">
                  <c:v>21.5</c:v>
                </c:pt>
                <c:pt idx="34">
                  <c:v>22</c:v>
                </c:pt>
                <c:pt idx="35">
                  <c:v>22.5</c:v>
                </c:pt>
                <c:pt idx="36">
                  <c:v>23</c:v>
                </c:pt>
                <c:pt idx="37">
                  <c:v>23.5</c:v>
                </c:pt>
                <c:pt idx="38">
                  <c:v>24</c:v>
                </c:pt>
                <c:pt idx="39">
                  <c:v>24.5</c:v>
                </c:pt>
                <c:pt idx="40">
                  <c:v>25</c:v>
                </c:pt>
              </c:numCache>
            </c:numRef>
          </c:cat>
          <c:val>
            <c:numRef>
              <c:f>Лист3!$B$20:$B$60</c:f>
              <c:numCache>
                <c:formatCode>General</c:formatCode>
                <c:ptCount val="41"/>
                <c:pt idx="0">
                  <c:v>0</c:v>
                </c:pt>
                <c:pt idx="1">
                  <c:v>7.3125000000000022E-3</c:v>
                </c:pt>
                <c:pt idx="2">
                  <c:v>1.4249999999999995E-2</c:v>
                </c:pt>
                <c:pt idx="3">
                  <c:v>2.0812500000000005E-2</c:v>
                </c:pt>
                <c:pt idx="4">
                  <c:v>2.6999999999999989E-2</c:v>
                </c:pt>
                <c:pt idx="5">
                  <c:v>3.2812500000000001E-2</c:v>
                </c:pt>
                <c:pt idx="6">
                  <c:v>3.8249999999999999E-2</c:v>
                </c:pt>
                <c:pt idx="7">
                  <c:v>4.331249999999999E-2</c:v>
                </c:pt>
                <c:pt idx="8">
                  <c:v>4.8000000000000001E-2</c:v>
                </c:pt>
                <c:pt idx="9">
                  <c:v>5.2312499999999998E-2</c:v>
                </c:pt>
                <c:pt idx="10">
                  <c:v>5.6249999999999994E-2</c:v>
                </c:pt>
                <c:pt idx="11">
                  <c:v>5.9812499999999998E-2</c:v>
                </c:pt>
                <c:pt idx="12">
                  <c:v>6.3E-2</c:v>
                </c:pt>
                <c:pt idx="13">
                  <c:v>6.5812499999999996E-2</c:v>
                </c:pt>
                <c:pt idx="14">
                  <c:v>6.8250000000000005E-2</c:v>
                </c:pt>
                <c:pt idx="15">
                  <c:v>7.03125E-2</c:v>
                </c:pt>
                <c:pt idx="16">
                  <c:v>7.1999999999999995E-2</c:v>
                </c:pt>
                <c:pt idx="17">
                  <c:v>7.3312500000000003E-2</c:v>
                </c:pt>
                <c:pt idx="18">
                  <c:v>7.4249999999999997E-2</c:v>
                </c:pt>
                <c:pt idx="19">
                  <c:v>7.4812500000000004E-2</c:v>
                </c:pt>
                <c:pt idx="20">
                  <c:v>7.4999999999999997E-2</c:v>
                </c:pt>
                <c:pt idx="21">
                  <c:v>7.4812500000000004E-2</c:v>
                </c:pt>
                <c:pt idx="22">
                  <c:v>7.4249999999999997E-2</c:v>
                </c:pt>
                <c:pt idx="23">
                  <c:v>7.3312500000000003E-2</c:v>
                </c:pt>
                <c:pt idx="24">
                  <c:v>7.1999999999999995E-2</c:v>
                </c:pt>
                <c:pt idx="25">
                  <c:v>7.03125E-2</c:v>
                </c:pt>
                <c:pt idx="26">
                  <c:v>6.8250000000000005E-2</c:v>
                </c:pt>
                <c:pt idx="27">
                  <c:v>6.5812499999999996E-2</c:v>
                </c:pt>
                <c:pt idx="28">
                  <c:v>6.3E-2</c:v>
                </c:pt>
                <c:pt idx="29">
                  <c:v>5.9812499999999998E-2</c:v>
                </c:pt>
                <c:pt idx="30">
                  <c:v>5.6249999999999994E-2</c:v>
                </c:pt>
                <c:pt idx="31">
                  <c:v>5.2312499999999998E-2</c:v>
                </c:pt>
                <c:pt idx="32">
                  <c:v>4.8000000000000001E-2</c:v>
                </c:pt>
                <c:pt idx="33">
                  <c:v>4.331249999999999E-2</c:v>
                </c:pt>
                <c:pt idx="34">
                  <c:v>3.8249999999999999E-2</c:v>
                </c:pt>
                <c:pt idx="35">
                  <c:v>3.2812500000000001E-2</c:v>
                </c:pt>
                <c:pt idx="36">
                  <c:v>2.6999999999999989E-2</c:v>
                </c:pt>
                <c:pt idx="37">
                  <c:v>2.0812500000000005E-2</c:v>
                </c:pt>
                <c:pt idx="38">
                  <c:v>1.4249999999999995E-2</c:v>
                </c:pt>
                <c:pt idx="39">
                  <c:v>7.3125000000000022E-3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60-41DC-AEF4-12E1D46AA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3656704"/>
        <c:axId val="233658240"/>
      </c:lineChart>
      <c:catAx>
        <c:axId val="233656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3658240"/>
        <c:crosses val="autoZero"/>
        <c:auto val="1"/>
        <c:lblAlgn val="ctr"/>
        <c:lblOffset val="100"/>
        <c:noMultiLvlLbl val="0"/>
      </c:catAx>
      <c:valAx>
        <c:axId val="233658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65670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400"/>
              <a:t>Графики</a:t>
            </a:r>
            <a:r>
              <a:rPr lang="ru-RU" sz="1400" baseline="0"/>
              <a:t> функций плотности вероятности и вероятности распределения Рэлея</a:t>
            </a:r>
            <a:endParaRPr lang="ru-RU" sz="1400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График плотности вероятности</c:v>
          </c:tx>
          <c:marker>
            <c:symbol val="none"/>
          </c:marker>
          <c:xVal>
            <c:numRef>
              <c:f>Лист4!$K$19:$K$29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Лист4!$L$19:$L$29</c:f>
              <c:numCache>
                <c:formatCode>General</c:formatCode>
                <c:ptCount val="11"/>
                <c:pt idx="0">
                  <c:v>0</c:v>
                </c:pt>
                <c:pt idx="1">
                  <c:v>0.355883290185248</c:v>
                </c:pt>
                <c:pt idx="2">
                  <c:v>0.36543314711749991</c:v>
                </c:pt>
                <c:pt idx="3">
                  <c:v>0.18044704431548358</c:v>
                </c:pt>
                <c:pt idx="4">
                  <c:v>5.0783112505867332E-2</c:v>
                </c:pt>
                <c:pt idx="5">
                  <c:v>8.5909336432728987E-3</c:v>
                </c:pt>
                <c:pt idx="6">
                  <c:v>8.9456700774003157E-4</c:v>
                </c:pt>
                <c:pt idx="7">
                  <c:v>5.8067237242063896E-5</c:v>
                </c:pt>
                <c:pt idx="8">
                  <c:v>2.3674174115048229E-6</c:v>
                </c:pt>
                <c:pt idx="9">
                  <c:v>6.0919918978850517E-8</c:v>
                </c:pt>
                <c:pt idx="10">
                  <c:v>9.9272508275695922E-10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6A-4EE6-B496-F9B6383A9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22944"/>
        <c:axId val="233924864"/>
      </c:scatterChart>
      <c:scatterChart>
        <c:scatterStyle val="smoothMarker"/>
        <c:varyColors val="0"/>
        <c:ser>
          <c:idx val="1"/>
          <c:order val="1"/>
          <c:tx>
            <c:v>График функции вероятности</c:v>
          </c:tx>
          <c:marker>
            <c:symbol val="none"/>
          </c:marker>
          <c:xVal>
            <c:numRef>
              <c:f>Лист4!$K$19:$K$29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Лист4!$M$19:$M$29</c:f>
              <c:numCache>
                <c:formatCode>General</c:formatCode>
                <c:ptCount val="11"/>
                <c:pt idx="0">
                  <c:v>0</c:v>
                </c:pt>
                <c:pt idx="1">
                  <c:v>0.19926259708319194</c:v>
                </c:pt>
                <c:pt idx="2">
                  <c:v>0.58888770949281255</c:v>
                </c:pt>
                <c:pt idx="3">
                  <c:v>0.8646647167633873</c:v>
                </c:pt>
                <c:pt idx="4">
                  <c:v>0.97143449921544966</c:v>
                </c:pt>
                <c:pt idx="5">
                  <c:v>0.99613407986052716</c:v>
                </c:pt>
                <c:pt idx="6">
                  <c:v>0.99966453737209748</c:v>
                </c:pt>
                <c:pt idx="7">
                  <c:v>0.99998133553088653</c:v>
                </c:pt>
                <c:pt idx="8">
                  <c:v>0.999999334163853</c:v>
                </c:pt>
                <c:pt idx="9">
                  <c:v>0.99999998477002028</c:v>
                </c:pt>
                <c:pt idx="10">
                  <c:v>0.99999999977663689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6A-4EE6-B496-F9B6383A9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33056"/>
        <c:axId val="233931136"/>
      </c:scatterChart>
      <c:valAx>
        <c:axId val="23392294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 sz="1300"/>
                  <a:t>Диапазон распределения </a:t>
                </a:r>
                <a:r>
                  <a:rPr lang="en-US" sz="1300"/>
                  <a:t>[0;∞</a:t>
                </a:r>
                <a:r>
                  <a:rPr lang="ru-RU" sz="1300"/>
                  <a:t>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33924864"/>
        <c:crosses val="autoZero"/>
        <c:crossBetween val="midCat"/>
      </c:valAx>
      <c:valAx>
        <c:axId val="233924864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Плотность вероятности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33922944"/>
        <c:crosses val="autoZero"/>
        <c:crossBetween val="midCat"/>
      </c:valAx>
      <c:valAx>
        <c:axId val="233931136"/>
        <c:scaling>
          <c:orientation val="minMax"/>
        </c:scaling>
        <c:delete val="0"/>
        <c:axPos val="r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Функция вероятности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33933056"/>
        <c:crosses val="max"/>
        <c:crossBetween val="midCat"/>
      </c:valAx>
      <c:valAx>
        <c:axId val="23393305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33931136"/>
        <c:crosses val="max"/>
        <c:crossBetween val="midCat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jpe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19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7" Type="http://schemas.openxmlformats.org/officeDocument/2006/relationships/chart" Target="../charts/chart2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4" Type="http://schemas.openxmlformats.org/officeDocument/2006/relationships/image" Target="../media/image2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604836</xdr:colOff>
      <xdr:row>1</xdr:row>
      <xdr:rowOff>28575</xdr:rowOff>
    </xdr:from>
    <xdr:ext cx="2690814" cy="3822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5033961" y="219075"/>
              <a:ext cx="2690814" cy="3822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/>
                      </a:rPr>
                      <m:t>𝐹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/>
                          </a:rPr>
                          <m:t>𝑥</m:t>
                        </m:r>
                        <m:r>
                          <a:rPr lang="en-US" sz="1100" b="0" i="1">
                            <a:latin typeface="Cambria Math"/>
                          </a:rPr>
                          <m:t>−</m:t>
                        </m:r>
                        <m:r>
                          <a:rPr lang="en-US" sz="1100" b="0" i="1">
                            <a:latin typeface="Cambria Math"/>
                          </a:rPr>
                          <m:t>𝑎</m:t>
                        </m:r>
                      </m:num>
                      <m:den>
                        <m:r>
                          <a:rPr lang="en-US" sz="1100" b="0" i="1">
                            <a:latin typeface="Cambria Math"/>
                          </a:rPr>
                          <m:t>𝑏</m:t>
                        </m:r>
                        <m:r>
                          <a:rPr lang="en-US" sz="1100" b="0" i="1">
                            <a:latin typeface="Cambria Math"/>
                          </a:rPr>
                          <m:t>−</m:t>
                        </m:r>
                        <m:r>
                          <a:rPr lang="en-US" sz="1100" b="0" i="1">
                            <a:latin typeface="Cambria Math"/>
                          </a:rPr>
                          <m:t>𝑎</m:t>
                        </m:r>
                      </m:den>
                    </m:f>
                    <m:r>
                      <a:rPr lang="en-US" sz="1100" b="0" i="1">
                        <a:latin typeface="Cambria Math"/>
                      </a:rPr>
                      <m:t>=</m:t>
                    </m:r>
                    <m:r>
                      <a:rPr lang="en-US" sz="1100" b="0" i="1">
                        <a:latin typeface="Cambria Math"/>
                      </a:rPr>
                      <m:t>𝑟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→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𝑥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=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𝑎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+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𝑟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𝑏</m:t>
                        </m:r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−</m:t>
                        </m:r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𝑎</m:t>
                        </m:r>
                      </m:e>
                    </m:d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5033961" y="219075"/>
              <a:ext cx="2690814" cy="3822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100" b="0" i="0">
                  <a:latin typeface="Cambria Math"/>
                </a:rPr>
                <a:t>𝐹(𝑥)=(𝑥−𝑎)/(𝑏−𝑎)=𝑟</a:t>
              </a:r>
              <a:r>
                <a:rPr lang="en-US" sz="1100" b="0" i="0">
                  <a:latin typeface="Cambria Math"/>
                  <a:ea typeface="Cambria Math"/>
                </a:rPr>
                <a:t>→𝑥=𝑎+𝑟∙(𝑏−𝑎)</a:t>
              </a:r>
              <a:endParaRPr lang="ru-RU" sz="1100"/>
            </a:p>
          </xdr:txBody>
        </xdr:sp>
      </mc:Fallback>
    </mc:AlternateContent>
    <xdr:clientData/>
  </xdr:oneCellAnchor>
  <xdr:twoCellAnchor editAs="oneCell">
    <xdr:from>
      <xdr:col>13</xdr:col>
      <xdr:colOff>85725</xdr:colOff>
      <xdr:row>0</xdr:row>
      <xdr:rowOff>152400</xdr:rowOff>
    </xdr:from>
    <xdr:to>
      <xdr:col>14</xdr:col>
      <xdr:colOff>476125</xdr:colOff>
      <xdr:row>2</xdr:row>
      <xdr:rowOff>161870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34375" y="152400"/>
          <a:ext cx="1000000" cy="438095"/>
        </a:xfrm>
        <a:prstGeom prst="rect">
          <a:avLst/>
        </a:prstGeom>
      </xdr:spPr>
    </xdr:pic>
    <xdr:clientData/>
  </xdr:twoCellAnchor>
  <xdr:twoCellAnchor editAs="oneCell">
    <xdr:from>
      <xdr:col>13</xdr:col>
      <xdr:colOff>85725</xdr:colOff>
      <xdr:row>3</xdr:row>
      <xdr:rowOff>85725</xdr:rowOff>
    </xdr:from>
    <xdr:to>
      <xdr:col>15</xdr:col>
      <xdr:colOff>142716</xdr:colOff>
      <xdr:row>5</xdr:row>
      <xdr:rowOff>219006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34375" y="657225"/>
          <a:ext cx="1276191" cy="5523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335280</xdr:colOff>
          <xdr:row>3</xdr:row>
          <xdr:rowOff>182880</xdr:rowOff>
        </xdr:from>
        <xdr:to>
          <xdr:col>5</xdr:col>
          <xdr:colOff>190500</xdr:colOff>
          <xdr:row>5</xdr:row>
          <xdr:rowOff>121920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561975</xdr:colOff>
      <xdr:row>25</xdr:row>
      <xdr:rowOff>95250</xdr:rowOff>
    </xdr:from>
    <xdr:to>
      <xdr:col>11</xdr:col>
      <xdr:colOff>494679</xdr:colOff>
      <xdr:row>41</xdr:row>
      <xdr:rowOff>161525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14625" y="5076825"/>
          <a:ext cx="4971429" cy="3200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11</xdr:col>
      <xdr:colOff>466113</xdr:colOff>
      <xdr:row>25</xdr:row>
      <xdr:rowOff>85334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62250" y="1933575"/>
          <a:ext cx="4895238" cy="3133334"/>
        </a:xfrm>
        <a:prstGeom prst="rect">
          <a:avLst/>
        </a:prstGeom>
      </xdr:spPr>
    </xdr:pic>
    <xdr:clientData/>
  </xdr:twoCellAnchor>
  <xdr:twoCellAnchor>
    <xdr:from>
      <xdr:col>9</xdr:col>
      <xdr:colOff>593911</xdr:colOff>
      <xdr:row>1</xdr:row>
      <xdr:rowOff>44823</xdr:rowOff>
    </xdr:from>
    <xdr:to>
      <xdr:col>11</xdr:col>
      <xdr:colOff>549088</xdr:colOff>
      <xdr:row>3</xdr:row>
      <xdr:rowOff>11205</xdr:rowOff>
    </xdr:to>
    <xdr:sp macro="" textlink="">
      <xdr:nvSpPr>
        <xdr:cNvPr id="5" name="Прямоугольник 4"/>
        <xdr:cNvSpPr/>
      </xdr:nvSpPr>
      <xdr:spPr>
        <a:xfrm>
          <a:off x="6544235" y="280147"/>
          <a:ext cx="1165412" cy="347382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58079</xdr:colOff>
      <xdr:row>2</xdr:row>
      <xdr:rowOff>0</xdr:rowOff>
    </xdr:from>
    <xdr:to>
      <xdr:col>14</xdr:col>
      <xdr:colOff>486422</xdr:colOff>
      <xdr:row>5</xdr:row>
      <xdr:rowOff>133251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45244" y="499482"/>
          <a:ext cx="2240416" cy="795354"/>
        </a:xfrm>
        <a:prstGeom prst="rect">
          <a:avLst/>
        </a:prstGeom>
      </xdr:spPr>
    </xdr:pic>
    <xdr:clientData/>
  </xdr:twoCellAnchor>
  <xdr:twoCellAnchor editAs="oneCell">
    <xdr:from>
      <xdr:col>11</xdr:col>
      <xdr:colOff>69696</xdr:colOff>
      <xdr:row>8</xdr:row>
      <xdr:rowOff>104542</xdr:rowOff>
    </xdr:from>
    <xdr:to>
      <xdr:col>13</xdr:col>
      <xdr:colOff>602878</xdr:colOff>
      <xdr:row>10</xdr:row>
      <xdr:rowOff>4598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47775" y="1904999"/>
          <a:ext cx="1741230" cy="376306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13</xdr:col>
      <xdr:colOff>314134</xdr:colOff>
      <xdr:row>12</xdr:row>
      <xdr:rowOff>142833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91375" y="2371725"/>
          <a:ext cx="1533333" cy="3333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655320</xdr:colOff>
          <xdr:row>3</xdr:row>
          <xdr:rowOff>228600</xdr:rowOff>
        </xdr:from>
        <xdr:to>
          <xdr:col>9</xdr:col>
          <xdr:colOff>411480</xdr:colOff>
          <xdr:row>5</xdr:row>
          <xdr:rowOff>144780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0</xdr:colOff>
      <xdr:row>32</xdr:row>
      <xdr:rowOff>0</xdr:rowOff>
    </xdr:from>
    <xdr:to>
      <xdr:col>12</xdr:col>
      <xdr:colOff>361561</xdr:colOff>
      <xdr:row>34</xdr:row>
      <xdr:rowOff>38048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00650" y="6505575"/>
          <a:ext cx="3123810" cy="419048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35</xdr:row>
      <xdr:rowOff>0</xdr:rowOff>
    </xdr:from>
    <xdr:to>
      <xdr:col>12</xdr:col>
      <xdr:colOff>304418</xdr:colOff>
      <xdr:row>37</xdr:row>
      <xdr:rowOff>28524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00650" y="7077075"/>
          <a:ext cx="3066667" cy="40952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15</xdr:row>
      <xdr:rowOff>122464</xdr:rowOff>
    </xdr:from>
    <xdr:to>
      <xdr:col>18</xdr:col>
      <xdr:colOff>503182</xdr:colOff>
      <xdr:row>30</xdr:row>
      <xdr:rowOff>178643</xdr:rowOff>
    </xdr:to>
    <xdr:pic>
      <xdr:nvPicPr>
        <xdr:cNvPr id="8" name="Picture 2" descr="http://stom-vest.ru/standart/images/snormal.jp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6071" y="3279321"/>
          <a:ext cx="4789431" cy="30089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14</xdr:col>
      <xdr:colOff>576610</xdr:colOff>
      <xdr:row>8</xdr:row>
      <xdr:rowOff>135209</xdr:rowOff>
    </xdr:from>
    <xdr:ext cx="2815220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10066762" y="1935666"/>
              <a:ext cx="2815220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ru-RU" sz="18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800" b="0" i="1">
                          <a:latin typeface="Cambria Math"/>
                        </a:rPr>
                        <m:t>𝑚</m:t>
                      </m:r>
                    </m:e>
                    <m:sub>
                      <m:r>
                        <a:rPr lang="en-US" sz="1800" b="0" i="1">
                          <a:latin typeface="Cambria Math"/>
                        </a:rPr>
                        <m:t>𝑍</m:t>
                      </m:r>
                    </m:sub>
                  </m:sSub>
                  <m:r>
                    <a:rPr lang="ru-RU" sz="1800" b="0" i="1">
                      <a:latin typeface="Cambria Math"/>
                    </a:rPr>
                    <m:t>=0</m:t>
                  </m:r>
                </m:oMath>
              </a14:m>
              <a:r>
                <a:rPr lang="en-US" sz="1800"/>
                <a:t>     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8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800" i="1">
                          <a:latin typeface="Cambria Math"/>
                          <a:ea typeface="Cambria Math"/>
                        </a:rPr>
                        <m:t>𝜎</m:t>
                      </m:r>
                    </m:e>
                    <m:sub>
                      <m:r>
                        <a:rPr lang="en-US" sz="1800" b="0" i="1">
                          <a:latin typeface="Cambria Math"/>
                        </a:rPr>
                        <m:t>𝑍</m:t>
                      </m:r>
                    </m:sub>
                  </m:sSub>
                  <m:r>
                    <a:rPr lang="en-US" sz="1800" b="0" i="1">
                      <a:latin typeface="Cambria Math"/>
                    </a:rPr>
                    <m:t>=1</m:t>
                  </m:r>
                </m:oMath>
              </a14:m>
              <a:endParaRPr lang="ru-RU" sz="18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10066762" y="1935666"/>
              <a:ext cx="2815220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800" b="0" i="0">
                  <a:latin typeface="Cambria Math"/>
                </a:rPr>
                <a:t>𝑚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𝑍</a:t>
              </a:r>
              <a:r>
                <a:rPr lang="ru-RU" sz="1800" b="0" i="0">
                  <a:latin typeface="Cambria Math"/>
                </a:rPr>
                <a:t>=0</a:t>
              </a:r>
              <a:r>
                <a:rPr lang="en-US" sz="1800"/>
                <a:t>         </a:t>
              </a:r>
              <a:r>
                <a:rPr lang="en-US" sz="1800" i="0">
                  <a:latin typeface="Cambria Math"/>
                  <a:ea typeface="Cambria Math"/>
                </a:rPr>
                <a:t>𝜎_</a:t>
              </a:r>
              <a:r>
                <a:rPr lang="en-US" sz="1800" b="0" i="0">
                  <a:latin typeface="Cambria Math"/>
                </a:rPr>
                <a:t>𝑍=1</a:t>
              </a:r>
              <a:endParaRPr lang="ru-RU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11</xdr:row>
      <xdr:rowOff>0</xdr:rowOff>
    </xdr:from>
    <xdr:to>
      <xdr:col>4</xdr:col>
      <xdr:colOff>266591</xdr:colOff>
      <xdr:row>13</xdr:row>
      <xdr:rowOff>47571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8800" y="2152650"/>
          <a:ext cx="876191" cy="42857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7</xdr:col>
      <xdr:colOff>437923</xdr:colOff>
      <xdr:row>13</xdr:row>
      <xdr:rowOff>95191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52650"/>
          <a:ext cx="1819048" cy="476191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7</xdr:col>
      <xdr:colOff>466322</xdr:colOff>
      <xdr:row>17</xdr:row>
      <xdr:rowOff>95150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28800" y="2724150"/>
          <a:ext cx="3228572" cy="800000"/>
        </a:xfrm>
        <a:prstGeom prst="rect">
          <a:avLst/>
        </a:prstGeom>
      </xdr:spPr>
    </xdr:pic>
    <xdr:clientData/>
  </xdr:twoCellAnchor>
  <xdr:twoCellAnchor>
    <xdr:from>
      <xdr:col>2</xdr:col>
      <xdr:colOff>566737</xdr:colOff>
      <xdr:row>19</xdr:row>
      <xdr:rowOff>28575</xdr:rowOff>
    </xdr:from>
    <xdr:to>
      <xdr:col>10</xdr:col>
      <xdr:colOff>261937</xdr:colOff>
      <xdr:row>33</xdr:row>
      <xdr:rowOff>104775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11</xdr:col>
      <xdr:colOff>0</xdr:colOff>
      <xdr:row>31</xdr:row>
      <xdr:rowOff>0</xdr:rowOff>
    </xdr:from>
    <xdr:ext cx="2690814" cy="3822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6867525" y="6096000"/>
              <a:ext cx="2690814" cy="3822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/>
                      </a:rPr>
                      <m:t>𝐹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/>
                          </a:rPr>
                          <m:t>𝑥</m:t>
                        </m:r>
                        <m:r>
                          <a:rPr lang="en-US" sz="1100" b="0" i="1">
                            <a:latin typeface="Cambria Math"/>
                          </a:rPr>
                          <m:t>−</m:t>
                        </m:r>
                        <m:r>
                          <a:rPr lang="en-US" sz="1100" b="0" i="1">
                            <a:latin typeface="Cambria Math"/>
                          </a:rPr>
                          <m:t>𝑎</m:t>
                        </m:r>
                      </m:num>
                      <m:den>
                        <m:r>
                          <a:rPr lang="en-US" sz="1100" b="0" i="1">
                            <a:latin typeface="Cambria Math"/>
                          </a:rPr>
                          <m:t>𝑏</m:t>
                        </m:r>
                        <m:r>
                          <a:rPr lang="en-US" sz="1100" b="0" i="1">
                            <a:latin typeface="Cambria Math"/>
                          </a:rPr>
                          <m:t>−</m:t>
                        </m:r>
                        <m:r>
                          <a:rPr lang="en-US" sz="1100" b="0" i="1">
                            <a:latin typeface="Cambria Math"/>
                          </a:rPr>
                          <m:t>𝑎</m:t>
                        </m:r>
                      </m:den>
                    </m:f>
                    <m:r>
                      <a:rPr lang="en-US" sz="1100" b="0" i="1">
                        <a:latin typeface="Cambria Math"/>
                      </a:rPr>
                      <m:t>=</m:t>
                    </m:r>
                    <m:r>
                      <a:rPr lang="en-US" sz="1100" b="0" i="1">
                        <a:latin typeface="Cambria Math"/>
                      </a:rPr>
                      <m:t>𝑟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→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𝑥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=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𝑎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+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𝑟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𝑏</m:t>
                        </m:r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−</m:t>
                        </m:r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𝑎</m:t>
                        </m:r>
                      </m:e>
                    </m:d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6867525" y="6096000"/>
              <a:ext cx="2690814" cy="3822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100" b="0" i="0">
                  <a:latin typeface="Cambria Math"/>
                </a:rPr>
                <a:t>𝐹(𝑥)=(𝑥−𝑎)/(𝑏−𝑎)=𝑟</a:t>
              </a:r>
              <a:r>
                <a:rPr lang="en-US" sz="1100" b="0" i="0">
                  <a:latin typeface="Cambria Math"/>
                  <a:ea typeface="Cambria Math"/>
                </a:rPr>
                <a:t>→𝑥=𝑎+𝑟∙(𝑏−𝑎)</a:t>
              </a:r>
              <a:endParaRPr lang="ru-RU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50</xdr:row>
          <xdr:rowOff>0</xdr:rowOff>
        </xdr:from>
        <xdr:to>
          <xdr:col>12</xdr:col>
          <xdr:colOff>228600</xdr:colOff>
          <xdr:row>52</xdr:row>
          <xdr:rowOff>68580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0</xdr:colOff>
      <xdr:row>2</xdr:row>
      <xdr:rowOff>0</xdr:rowOff>
    </xdr:from>
    <xdr:to>
      <xdr:col>29</xdr:col>
      <xdr:colOff>323277</xdr:colOff>
      <xdr:row>19</xdr:row>
      <xdr:rowOff>47198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058900" y="438150"/>
          <a:ext cx="4590477" cy="3419048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285181</xdr:colOff>
      <xdr:row>19</xdr:row>
      <xdr:rowOff>47198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791700" y="438150"/>
          <a:ext cx="4552381" cy="34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27214</xdr:colOff>
      <xdr:row>3</xdr:row>
      <xdr:rowOff>68036</xdr:rowOff>
    </xdr:from>
    <xdr:to>
      <xdr:col>10</xdr:col>
      <xdr:colOff>108000</xdr:colOff>
      <xdr:row>9</xdr:row>
      <xdr:rowOff>10750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7214" y="707572"/>
          <a:ext cx="6857143" cy="1085714"/>
        </a:xfrm>
        <a:prstGeom prst="rect">
          <a:avLst/>
        </a:prstGeom>
      </xdr:spPr>
    </xdr:pic>
    <xdr:clientData/>
  </xdr:twoCellAnchor>
  <xdr:twoCellAnchor>
    <xdr:from>
      <xdr:col>6</xdr:col>
      <xdr:colOff>530679</xdr:colOff>
      <xdr:row>5</xdr:row>
      <xdr:rowOff>136071</xdr:rowOff>
    </xdr:from>
    <xdr:to>
      <xdr:col>10</xdr:col>
      <xdr:colOff>204107</xdr:colOff>
      <xdr:row>9</xdr:row>
      <xdr:rowOff>122464</xdr:rowOff>
    </xdr:to>
    <xdr:sp macro="" textlink="">
      <xdr:nvSpPr>
        <xdr:cNvPr id="2" name="Прямоугольник 1"/>
        <xdr:cNvSpPr/>
      </xdr:nvSpPr>
      <xdr:spPr>
        <a:xfrm>
          <a:off x="4367893" y="1156607"/>
          <a:ext cx="2612571" cy="748393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3</xdr:row>
      <xdr:rowOff>161925</xdr:rowOff>
    </xdr:from>
    <xdr:to>
      <xdr:col>6</xdr:col>
      <xdr:colOff>24067</xdr:colOff>
      <xdr:row>7</xdr:row>
      <xdr:rowOff>18973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809625"/>
          <a:ext cx="3409524" cy="6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600075</xdr:colOff>
      <xdr:row>9</xdr:row>
      <xdr:rowOff>76200</xdr:rowOff>
    </xdr:from>
    <xdr:to>
      <xdr:col>11</xdr:col>
      <xdr:colOff>157014</xdr:colOff>
      <xdr:row>12</xdr:row>
      <xdr:rowOff>76129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0075" y="1866900"/>
          <a:ext cx="6628572" cy="5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2</xdr:col>
      <xdr:colOff>590380</xdr:colOff>
      <xdr:row>16</xdr:row>
      <xdr:rowOff>114214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2552700"/>
          <a:ext cx="1361905" cy="685714"/>
        </a:xfrm>
        <a:prstGeom prst="rect">
          <a:avLst/>
        </a:prstGeom>
      </xdr:spPr>
    </xdr:pic>
    <xdr:clientData/>
  </xdr:twoCellAnchor>
  <xdr:twoCellAnchor editAs="oneCell">
    <xdr:from>
      <xdr:col>4</xdr:col>
      <xdr:colOff>9525</xdr:colOff>
      <xdr:row>13</xdr:row>
      <xdr:rowOff>95250</xdr:rowOff>
    </xdr:from>
    <xdr:to>
      <xdr:col>7</xdr:col>
      <xdr:colOff>266440</xdr:colOff>
      <xdr:row>16</xdr:row>
      <xdr:rowOff>47560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47925" y="2647950"/>
          <a:ext cx="2085714" cy="52381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18</xdr:row>
      <xdr:rowOff>85725</xdr:rowOff>
    </xdr:from>
    <xdr:to>
      <xdr:col>1</xdr:col>
      <xdr:colOff>609452</xdr:colOff>
      <xdr:row>21</xdr:row>
      <xdr:rowOff>47558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" y="3590925"/>
          <a:ext cx="1180952" cy="533333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21</xdr:row>
      <xdr:rowOff>104775</xdr:rowOff>
    </xdr:from>
    <xdr:to>
      <xdr:col>2</xdr:col>
      <xdr:colOff>247455</xdr:colOff>
      <xdr:row>24</xdr:row>
      <xdr:rowOff>171370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6675" y="4181475"/>
          <a:ext cx="1561905" cy="6380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30</xdr:row>
          <xdr:rowOff>60960</xdr:rowOff>
        </xdr:from>
        <xdr:to>
          <xdr:col>6</xdr:col>
          <xdr:colOff>251460</xdr:colOff>
          <xdr:row>32</xdr:row>
          <xdr:rowOff>30480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266700</xdr:colOff>
      <xdr:row>30</xdr:row>
      <xdr:rowOff>19049</xdr:rowOff>
    </xdr:from>
    <xdr:to>
      <xdr:col>16</xdr:col>
      <xdr:colOff>504825</xdr:colOff>
      <xdr:row>47</xdr:row>
      <xdr:rowOff>66674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7</xdr:col>
      <xdr:colOff>208991</xdr:colOff>
      <xdr:row>4</xdr:row>
      <xdr:rowOff>123762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81000"/>
          <a:ext cx="4476191" cy="50476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11</xdr:col>
      <xdr:colOff>503924</xdr:colOff>
      <xdr:row>9</xdr:row>
      <xdr:rowOff>38000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028700"/>
          <a:ext cx="7209524" cy="80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20</xdr:row>
          <xdr:rowOff>83820</xdr:rowOff>
        </xdr:from>
        <xdr:to>
          <xdr:col>6</xdr:col>
          <xdr:colOff>373380</xdr:colOff>
          <xdr:row>21</xdr:row>
          <xdr:rowOff>175260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448235</xdr:colOff>
      <xdr:row>10</xdr:row>
      <xdr:rowOff>44824</xdr:rowOff>
    </xdr:from>
    <xdr:to>
      <xdr:col>13</xdr:col>
      <xdr:colOff>33618</xdr:colOff>
      <xdr:row>12</xdr:row>
      <xdr:rowOff>11206</xdr:rowOff>
    </xdr:to>
    <xdr:sp macro="" textlink="">
      <xdr:nvSpPr>
        <xdr:cNvPr id="4" name="Стрелка вниз 3"/>
        <xdr:cNvSpPr/>
      </xdr:nvSpPr>
      <xdr:spPr>
        <a:xfrm>
          <a:off x="7709647" y="2028265"/>
          <a:ext cx="190500" cy="3473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7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I27"/>
  <sheetViews>
    <sheetView zoomScale="85" zoomScaleNormal="85" workbookViewId="0">
      <selection activeCell="C35" sqref="C35"/>
    </sheetView>
  </sheetViews>
  <sheetFormatPr defaultRowHeight="14.4" x14ac:dyDescent="0.3"/>
  <cols>
    <col min="2" max="3" width="11.5546875" bestFit="1" customWidth="1"/>
    <col min="9" max="9" width="11.5546875" bestFit="1" customWidth="1"/>
  </cols>
  <sheetData>
    <row r="1" spans="1:9" ht="18" x14ac:dyDescent="0.35">
      <c r="B1" s="6" t="s">
        <v>0</v>
      </c>
      <c r="I1" t="s">
        <v>6</v>
      </c>
    </row>
    <row r="2" spans="1:9" x14ac:dyDescent="0.3">
      <c r="C2" s="2" t="s">
        <v>1</v>
      </c>
      <c r="D2" s="2">
        <v>15</v>
      </c>
    </row>
    <row r="3" spans="1:9" x14ac:dyDescent="0.3">
      <c r="C3" s="2" t="s">
        <v>2</v>
      </c>
      <c r="D3" s="2">
        <v>45</v>
      </c>
    </row>
    <row r="5" spans="1:9" ht="15.6" x14ac:dyDescent="0.3">
      <c r="A5" s="2" t="s">
        <v>3</v>
      </c>
      <c r="B5" s="2" t="s">
        <v>4</v>
      </c>
      <c r="C5" s="2" t="s">
        <v>5</v>
      </c>
      <c r="H5" s="3" t="s">
        <v>9</v>
      </c>
      <c r="I5" s="3">
        <f>(D2+D3)/2</f>
        <v>30</v>
      </c>
    </row>
    <row r="6" spans="1:9" ht="16.8" x14ac:dyDescent="0.3">
      <c r="A6" s="2">
        <v>1</v>
      </c>
      <c r="B6" s="2">
        <f ca="1">RAND()</f>
        <v>0.47776366204454779</v>
      </c>
      <c r="C6" s="2">
        <f ca="1">$D$2+B6*($D$3-$D$2)</f>
        <v>29.332909861336432</v>
      </c>
      <c r="H6" s="3" t="s">
        <v>10</v>
      </c>
      <c r="I6" s="3">
        <f>((D3-D2)^2)/12</f>
        <v>75</v>
      </c>
    </row>
    <row r="7" spans="1:9" ht="15.6" x14ac:dyDescent="0.3">
      <c r="A7" s="2">
        <v>2</v>
      </c>
      <c r="B7" s="2">
        <f t="shared" ref="B7:B25" ca="1" si="0">RAND()</f>
        <v>0.62882471860880762</v>
      </c>
      <c r="C7" s="2">
        <f t="shared" ref="C7:C25" ca="1" si="1">$D$2+B7*($D$3-$D$2)</f>
        <v>33.864741558264228</v>
      </c>
      <c r="H7" s="3" t="s">
        <v>7</v>
      </c>
      <c r="I7" s="3">
        <f>1/2</f>
        <v>0.5</v>
      </c>
    </row>
    <row r="8" spans="1:9" ht="16.8" x14ac:dyDescent="0.3">
      <c r="A8" s="2">
        <v>3</v>
      </c>
      <c r="B8" s="2">
        <f t="shared" ca="1" si="0"/>
        <v>0.96465795063370074</v>
      </c>
      <c r="C8" s="2">
        <f t="shared" ca="1" si="1"/>
        <v>43.939738519011023</v>
      </c>
      <c r="H8" s="3" t="s">
        <v>8</v>
      </c>
      <c r="I8" s="3">
        <f>1/12</f>
        <v>8.3333333333333329E-2</v>
      </c>
    </row>
    <row r="9" spans="1:9" x14ac:dyDescent="0.3">
      <c r="A9" s="2">
        <v>4</v>
      </c>
      <c r="B9" s="2">
        <f t="shared" ca="1" si="0"/>
        <v>0.55806088784971319</v>
      </c>
      <c r="C9" s="2">
        <f t="shared" ca="1" si="1"/>
        <v>31.741826635491396</v>
      </c>
    </row>
    <row r="10" spans="1:9" x14ac:dyDescent="0.3">
      <c r="A10" s="2">
        <v>5</v>
      </c>
      <c r="B10" s="2">
        <f t="shared" ca="1" si="0"/>
        <v>0.56080110598355215</v>
      </c>
      <c r="C10" s="2">
        <f t="shared" ca="1" si="1"/>
        <v>31.824033179506564</v>
      </c>
    </row>
    <row r="11" spans="1:9" x14ac:dyDescent="0.3">
      <c r="A11" s="2">
        <v>6</v>
      </c>
      <c r="B11" s="2">
        <f t="shared" ca="1" si="0"/>
        <v>0.68718336950172165</v>
      </c>
      <c r="C11" s="2">
        <f t="shared" ca="1" si="1"/>
        <v>35.615501085051648</v>
      </c>
    </row>
    <row r="12" spans="1:9" x14ac:dyDescent="0.3">
      <c r="A12" s="2">
        <v>7</v>
      </c>
      <c r="B12" s="2">
        <f t="shared" ca="1" si="0"/>
        <v>0.97117650780618769</v>
      </c>
      <c r="C12" s="2">
        <f t="shared" ca="1" si="1"/>
        <v>44.135295234185634</v>
      </c>
    </row>
    <row r="13" spans="1:9" x14ac:dyDescent="0.3">
      <c r="A13" s="2">
        <v>8</v>
      </c>
      <c r="B13" s="2">
        <f t="shared" ca="1" si="0"/>
        <v>0.94349117806198535</v>
      </c>
      <c r="C13" s="2">
        <f t="shared" ca="1" si="1"/>
        <v>43.304735341859562</v>
      </c>
    </row>
    <row r="14" spans="1:9" x14ac:dyDescent="0.3">
      <c r="A14" s="2">
        <v>9</v>
      </c>
      <c r="B14" s="2">
        <f t="shared" ca="1" si="0"/>
        <v>0.24314111564490737</v>
      </c>
      <c r="C14" s="2">
        <f t="shared" ca="1" si="1"/>
        <v>22.294233469347219</v>
      </c>
    </row>
    <row r="15" spans="1:9" x14ac:dyDescent="0.3">
      <c r="A15" s="2">
        <v>10</v>
      </c>
      <c r="B15" s="2">
        <f t="shared" ca="1" si="0"/>
        <v>0.83591066442566109</v>
      </c>
      <c r="C15" s="2">
        <f t="shared" ca="1" si="1"/>
        <v>40.077319932769832</v>
      </c>
    </row>
    <row r="16" spans="1:9" x14ac:dyDescent="0.3">
      <c r="A16" s="2">
        <v>11</v>
      </c>
      <c r="B16" s="2">
        <f t="shared" ca="1" si="0"/>
        <v>9.8476405822423896E-2</v>
      </c>
      <c r="C16" s="2">
        <f t="shared" ca="1" si="1"/>
        <v>17.954292174672716</v>
      </c>
    </row>
    <row r="17" spans="1:3" x14ac:dyDescent="0.3">
      <c r="A17" s="2">
        <v>12</v>
      </c>
      <c r="B17" s="2">
        <f t="shared" ca="1" si="0"/>
        <v>0.66295667829609217</v>
      </c>
      <c r="C17" s="2">
        <f t="shared" ca="1" si="1"/>
        <v>34.888700348882765</v>
      </c>
    </row>
    <row r="18" spans="1:3" x14ac:dyDescent="0.3">
      <c r="A18" s="2">
        <v>13</v>
      </c>
      <c r="B18" s="2">
        <f t="shared" ca="1" si="0"/>
        <v>0.49112535686280134</v>
      </c>
      <c r="C18" s="2">
        <f t="shared" ca="1" si="1"/>
        <v>29.733760705884041</v>
      </c>
    </row>
    <row r="19" spans="1:3" x14ac:dyDescent="0.3">
      <c r="A19" s="2">
        <v>14</v>
      </c>
      <c r="B19" s="2">
        <f t="shared" ca="1" si="0"/>
        <v>0.54983234874893061</v>
      </c>
      <c r="C19" s="2">
        <f t="shared" ca="1" si="1"/>
        <v>31.494970462467919</v>
      </c>
    </row>
    <row r="20" spans="1:3" x14ac:dyDescent="0.3">
      <c r="A20" s="2">
        <v>15</v>
      </c>
      <c r="B20" s="2">
        <f t="shared" ca="1" si="0"/>
        <v>0.12953276459558205</v>
      </c>
      <c r="C20" s="2">
        <f t="shared" ca="1" si="1"/>
        <v>18.88598293786746</v>
      </c>
    </row>
    <row r="21" spans="1:3" x14ac:dyDescent="0.3">
      <c r="A21" s="2">
        <v>16</v>
      </c>
      <c r="B21" s="2">
        <f t="shared" ca="1" si="0"/>
        <v>0.43649576318455552</v>
      </c>
      <c r="C21" s="2">
        <f t="shared" ca="1" si="1"/>
        <v>28.094872895536668</v>
      </c>
    </row>
    <row r="22" spans="1:3" x14ac:dyDescent="0.3">
      <c r="A22" s="2">
        <v>17</v>
      </c>
      <c r="B22" s="2">
        <f t="shared" ca="1" si="0"/>
        <v>0.98243585426316737</v>
      </c>
      <c r="C22" s="2">
        <f t="shared" ca="1" si="1"/>
        <v>44.473075627895021</v>
      </c>
    </row>
    <row r="23" spans="1:3" x14ac:dyDescent="0.3">
      <c r="A23" s="2">
        <v>18</v>
      </c>
      <c r="B23" s="2">
        <f t="shared" ca="1" si="0"/>
        <v>0.52113785050649197</v>
      </c>
      <c r="C23" s="2">
        <f t="shared" ca="1" si="1"/>
        <v>30.634135515194757</v>
      </c>
    </row>
    <row r="24" spans="1:3" x14ac:dyDescent="0.3">
      <c r="A24" s="2">
        <v>19</v>
      </c>
      <c r="B24" s="2">
        <f t="shared" ca="1" si="0"/>
        <v>0.93861482840578581</v>
      </c>
      <c r="C24" s="2">
        <f t="shared" ca="1" si="1"/>
        <v>43.158444852173574</v>
      </c>
    </row>
    <row r="25" spans="1:3" x14ac:dyDescent="0.3">
      <c r="A25" s="2">
        <v>20</v>
      </c>
      <c r="B25" s="2">
        <f t="shared" ca="1" si="0"/>
        <v>0.48176668421226876</v>
      </c>
      <c r="C25" s="2">
        <f t="shared" ca="1" si="1"/>
        <v>29.453000526368065</v>
      </c>
    </row>
    <row r="26" spans="1:3" ht="15.6" x14ac:dyDescent="0.3">
      <c r="A26" s="18" t="s">
        <v>11</v>
      </c>
      <c r="B26" s="18">
        <f ca="1">AVERAGE(B6:B25)</f>
        <v>0.6081692847729443</v>
      </c>
      <c r="C26" s="18">
        <f ca="1">AVERAGE(C6:C25)</f>
        <v>33.245078543188335</v>
      </c>
    </row>
    <row r="27" spans="1:3" ht="16.8" x14ac:dyDescent="0.3">
      <c r="A27" s="18" t="s">
        <v>12</v>
      </c>
      <c r="B27" s="18">
        <f ca="1">_xlfn.VAR.S(B6:B25)</f>
        <v>7.3479919753277223E-2</v>
      </c>
      <c r="C27" s="18">
        <f ca="1">_xlfn.VAR.S(C6:C25)</f>
        <v>66.131927777949102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autoPict="0" r:id="rId4">
            <anchor moveWithCells="1">
              <from>
                <xdr:col>4</xdr:col>
                <xdr:colOff>335280</xdr:colOff>
                <xdr:row>3</xdr:row>
                <xdr:rowOff>182880</xdr:rowOff>
              </from>
              <to>
                <xdr:col>5</xdr:col>
                <xdr:colOff>190500</xdr:colOff>
                <xdr:row>5</xdr:row>
                <xdr:rowOff>121920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U55"/>
  <sheetViews>
    <sheetView tabSelected="1" zoomScale="82" zoomScaleNormal="82" workbookViewId="0">
      <selection activeCell="G5" sqref="G5"/>
    </sheetView>
  </sheetViews>
  <sheetFormatPr defaultRowHeight="14.4" x14ac:dyDescent="0.3"/>
  <cols>
    <col min="2" max="2" width="11.5546875" bestFit="1" customWidth="1"/>
    <col min="4" max="4" width="12.33203125" bestFit="1" customWidth="1"/>
    <col min="5" max="5" width="12.109375" bestFit="1" customWidth="1"/>
    <col min="6" max="6" width="11.5546875" bestFit="1" customWidth="1"/>
    <col min="8" max="10" width="11.5546875" bestFit="1" customWidth="1"/>
  </cols>
  <sheetData>
    <row r="1" spans="1:21" ht="21" x14ac:dyDescent="0.4">
      <c r="B1" s="7" t="s">
        <v>13</v>
      </c>
    </row>
    <row r="2" spans="1:21" ht="15.6" x14ac:dyDescent="0.3">
      <c r="B2" s="2" t="s">
        <v>14</v>
      </c>
      <c r="C2" s="2">
        <v>45</v>
      </c>
      <c r="D2" s="2" t="s">
        <v>72</v>
      </c>
      <c r="E2" t="s">
        <v>78</v>
      </c>
      <c r="H2" s="8" t="s">
        <v>22</v>
      </c>
      <c r="I2" s="8">
        <f>6/2</f>
        <v>3</v>
      </c>
    </row>
    <row r="3" spans="1:21" ht="15.6" x14ac:dyDescent="0.3">
      <c r="B3" s="8" t="s">
        <v>15</v>
      </c>
      <c r="C3" s="2">
        <v>0.5</v>
      </c>
      <c r="E3" t="s">
        <v>80</v>
      </c>
      <c r="H3" s="8" t="s">
        <v>21</v>
      </c>
      <c r="I3" s="8">
        <f>SQRT(6/12)</f>
        <v>0.70710678118654757</v>
      </c>
    </row>
    <row r="4" spans="1:21" ht="16.8" x14ac:dyDescent="0.3">
      <c r="B4" s="8" t="s">
        <v>16</v>
      </c>
      <c r="C4" s="2">
        <f>C3^2</f>
        <v>0.25</v>
      </c>
      <c r="E4" t="s">
        <v>79</v>
      </c>
    </row>
    <row r="6" spans="1:21" ht="21" x14ac:dyDescent="0.4">
      <c r="B6" s="7" t="s">
        <v>17</v>
      </c>
    </row>
    <row r="7" spans="1:21" x14ac:dyDescent="0.3">
      <c r="L7" s="8" t="s">
        <v>23</v>
      </c>
    </row>
    <row r="8" spans="1:21" x14ac:dyDescent="0.3">
      <c r="A8" s="2" t="s">
        <v>3</v>
      </c>
      <c r="B8" s="2">
        <v>1</v>
      </c>
      <c r="C8" s="2">
        <v>2</v>
      </c>
      <c r="D8" s="2">
        <v>3</v>
      </c>
      <c r="E8" s="2">
        <v>4</v>
      </c>
      <c r="F8" s="2">
        <v>5</v>
      </c>
      <c r="G8" s="2">
        <v>6</v>
      </c>
      <c r="H8" s="2" t="s">
        <v>18</v>
      </c>
      <c r="I8" s="2" t="s">
        <v>19</v>
      </c>
      <c r="J8" s="2" t="s">
        <v>20</v>
      </c>
    </row>
    <row r="9" spans="1:21" x14ac:dyDescent="0.3">
      <c r="A9" s="2">
        <v>1</v>
      </c>
      <c r="B9" s="13">
        <f ca="1">RAND()</f>
        <v>0.4199939845392443</v>
      </c>
      <c r="C9" s="13">
        <f t="shared" ref="C9:G24" ca="1" si="0">RAND()</f>
        <v>0.50778950032826775</v>
      </c>
      <c r="D9" s="13">
        <f t="shared" ca="1" si="0"/>
        <v>0.28870056559486923</v>
      </c>
      <c r="E9" s="13">
        <f t="shared" ca="1" si="0"/>
        <v>0.19282697321310904</v>
      </c>
      <c r="F9" s="13">
        <f t="shared" ca="1" si="0"/>
        <v>0.76644071257444135</v>
      </c>
      <c r="G9" s="13">
        <f t="shared" ca="1" si="0"/>
        <v>0.92612985750740473</v>
      </c>
      <c r="H9" s="11">
        <f ca="1">SUM(B9:G9)</f>
        <v>3.1018815937573363</v>
      </c>
      <c r="I9" s="2">
        <f ca="1">(H9-$I$2)/$I$3</f>
        <v>0.14408233164781103</v>
      </c>
      <c r="J9" s="2">
        <f ca="1">I9*$C$3+$C$2</f>
        <v>45.072041165823904</v>
      </c>
    </row>
    <row r="10" spans="1:21" ht="23.4" x14ac:dyDescent="0.45">
      <c r="A10" s="2">
        <v>2</v>
      </c>
      <c r="B10" s="2">
        <f t="shared" ref="B10:G28" ca="1" si="1">RAND()</f>
        <v>0.64333535492339311</v>
      </c>
      <c r="C10" s="2">
        <f t="shared" ca="1" si="0"/>
        <v>0.12492072729976733</v>
      </c>
      <c r="D10" s="2">
        <f t="shared" ca="1" si="0"/>
        <v>0.87050031660856575</v>
      </c>
      <c r="E10" s="2">
        <f t="shared" ca="1" si="0"/>
        <v>0.6368252174188439</v>
      </c>
      <c r="F10" s="2">
        <f t="shared" ca="1" si="0"/>
        <v>0.84891689064392895</v>
      </c>
      <c r="G10" s="2">
        <f t="shared" ca="1" si="0"/>
        <v>0.71101929762718297</v>
      </c>
      <c r="H10" s="2">
        <f t="shared" ref="H10:H28" ca="1" si="2">SUM(B10:G10)</f>
        <v>3.8355178045216816</v>
      </c>
      <c r="I10" s="2">
        <f t="shared" ref="I10:I28" ca="1" si="3">(H10-$I$2)/$I$3</f>
        <v>1.1816006107587544</v>
      </c>
      <c r="J10" s="2">
        <f t="shared" ref="J10:J28" ca="1" si="4">I10*$C$3+$C$2</f>
        <v>45.590800305379375</v>
      </c>
      <c r="U10" s="19" t="s">
        <v>69</v>
      </c>
    </row>
    <row r="11" spans="1:21" x14ac:dyDescent="0.3">
      <c r="A11" s="2">
        <v>3</v>
      </c>
      <c r="B11" s="2">
        <f t="shared" ca="1" si="1"/>
        <v>0.42865515546031019</v>
      </c>
      <c r="C11" s="2">
        <f t="shared" ca="1" si="0"/>
        <v>0.47863057353827609</v>
      </c>
      <c r="D11" s="2">
        <f t="shared" ca="1" si="0"/>
        <v>0.87882773138126891</v>
      </c>
      <c r="E11" s="2">
        <f t="shared" ca="1" si="0"/>
        <v>0.61292583372789666</v>
      </c>
      <c r="F11" s="2">
        <f t="shared" ca="1" si="0"/>
        <v>0.54145493813446732</v>
      </c>
      <c r="G11" s="2">
        <f t="shared" ca="1" si="0"/>
        <v>0.4189478438414167</v>
      </c>
      <c r="H11" s="2">
        <f t="shared" ca="1" si="2"/>
        <v>3.3594420760836359</v>
      </c>
      <c r="I11" s="2">
        <f t="shared" ca="1" si="3"/>
        <v>0.50832785888501975</v>
      </c>
      <c r="J11" s="2">
        <f t="shared" ca="1" si="4"/>
        <v>45.254163929442512</v>
      </c>
    </row>
    <row r="12" spans="1:21" x14ac:dyDescent="0.3">
      <c r="A12" s="2">
        <v>4</v>
      </c>
      <c r="B12" s="2">
        <f t="shared" ca="1" si="1"/>
        <v>0.76143171132726239</v>
      </c>
      <c r="C12" s="2">
        <f t="shared" ca="1" si="0"/>
        <v>3.2923688037630017E-2</v>
      </c>
      <c r="D12" s="2">
        <f t="shared" ca="1" si="0"/>
        <v>0.55189745358961217</v>
      </c>
      <c r="E12" s="2">
        <f t="shared" ca="1" si="0"/>
        <v>0.1855235991780928</v>
      </c>
      <c r="F12" s="2">
        <f t="shared" ca="1" si="0"/>
        <v>0.81962894006866438</v>
      </c>
      <c r="G12" s="2">
        <f t="shared" ca="1" si="0"/>
        <v>0.23059784920906967</v>
      </c>
      <c r="H12" s="2">
        <f t="shared" ca="1" si="2"/>
        <v>2.5820032414103316</v>
      </c>
      <c r="I12" s="2">
        <f t="shared" ca="1" si="3"/>
        <v>-0.59113668502550154</v>
      </c>
      <c r="J12" s="2">
        <f t="shared" ca="1" si="4"/>
        <v>44.704431657487248</v>
      </c>
    </row>
    <row r="13" spans="1:21" x14ac:dyDescent="0.3">
      <c r="A13" s="2">
        <v>5</v>
      </c>
      <c r="B13" s="2">
        <f t="shared" ca="1" si="1"/>
        <v>0.89788797919579744</v>
      </c>
      <c r="C13" s="2">
        <f t="shared" ca="1" si="0"/>
        <v>0.48783034786672774</v>
      </c>
      <c r="D13" s="2">
        <f t="shared" ca="1" si="0"/>
        <v>0.58981272805799734</v>
      </c>
      <c r="E13" s="2">
        <f t="shared" ca="1" si="0"/>
        <v>0.8223747225032022</v>
      </c>
      <c r="F13" s="2">
        <f t="shared" ca="1" si="0"/>
        <v>0.95172119360984664</v>
      </c>
      <c r="G13" s="2">
        <f t="shared" ca="1" si="0"/>
        <v>0.83400360835975906</v>
      </c>
      <c r="H13" s="2">
        <f t="shared" ca="1" si="2"/>
        <v>4.5836305795933301</v>
      </c>
      <c r="I13" s="2">
        <f t="shared" ca="1" si="3"/>
        <v>2.2395918434496522</v>
      </c>
      <c r="J13" s="2">
        <f t="shared" ca="1" si="4"/>
        <v>46.11979592172483</v>
      </c>
    </row>
    <row r="14" spans="1:21" x14ac:dyDescent="0.3">
      <c r="A14" s="2">
        <v>6</v>
      </c>
      <c r="B14" s="2">
        <f t="shared" ca="1" si="1"/>
        <v>0.11410622927878</v>
      </c>
      <c r="C14" s="2">
        <f t="shared" ca="1" si="0"/>
        <v>0.72047147109199328</v>
      </c>
      <c r="D14" s="2">
        <f t="shared" ca="1" si="0"/>
        <v>0.51976978295044696</v>
      </c>
      <c r="E14" s="2">
        <f t="shared" ca="1" si="0"/>
        <v>7.1617326943654191E-2</v>
      </c>
      <c r="F14" s="2">
        <f t="shared" ca="1" si="0"/>
        <v>0.10892296747944652</v>
      </c>
      <c r="G14" s="2">
        <f t="shared" ca="1" si="0"/>
        <v>0.38360317291976342</v>
      </c>
      <c r="H14" s="2">
        <f t="shared" ca="1" si="2"/>
        <v>1.9184909506640841</v>
      </c>
      <c r="I14" s="2">
        <f t="shared" ca="1" si="3"/>
        <v>-1.5294847654000849</v>
      </c>
      <c r="J14" s="2">
        <f t="shared" ca="1" si="4"/>
        <v>44.235257617299958</v>
      </c>
    </row>
    <row r="15" spans="1:21" x14ac:dyDescent="0.3">
      <c r="A15" s="2">
        <v>7</v>
      </c>
      <c r="B15" s="2">
        <f t="shared" ca="1" si="1"/>
        <v>0.4827680267733484</v>
      </c>
      <c r="C15" s="2">
        <f t="shared" ca="1" si="0"/>
        <v>0.78781075602447814</v>
      </c>
      <c r="D15" s="2">
        <f t="shared" ca="1" si="0"/>
        <v>0.70259884877456291</v>
      </c>
      <c r="E15" s="2">
        <f t="shared" ca="1" si="0"/>
        <v>0.84769596673655923</v>
      </c>
      <c r="F15" s="2">
        <f t="shared" ca="1" si="0"/>
        <v>0.33958982602818133</v>
      </c>
      <c r="G15" s="2">
        <f t="shared" ca="1" si="0"/>
        <v>0.99404205769876286</v>
      </c>
      <c r="H15" s="2">
        <f t="shared" ca="1" si="2"/>
        <v>4.1545054820358924</v>
      </c>
      <c r="I15" s="2">
        <f t="shared" ca="1" si="3"/>
        <v>1.6327173105292465</v>
      </c>
      <c r="J15" s="2">
        <f t="shared" ca="1" si="4"/>
        <v>45.816358655264622</v>
      </c>
    </row>
    <row r="16" spans="1:21" x14ac:dyDescent="0.3">
      <c r="A16" s="2">
        <v>8</v>
      </c>
      <c r="B16" s="2">
        <f t="shared" ca="1" si="1"/>
        <v>0.22295304249117898</v>
      </c>
      <c r="C16" s="2">
        <f t="shared" ca="1" si="0"/>
        <v>5.6349197477985613E-2</v>
      </c>
      <c r="D16" s="2">
        <f t="shared" ca="1" si="0"/>
        <v>0.1163403880699323</v>
      </c>
      <c r="E16" s="2">
        <f t="shared" ca="1" si="0"/>
        <v>0.75151382706418024</v>
      </c>
      <c r="F16" s="2">
        <f t="shared" ca="1" si="0"/>
        <v>0.98621222947489384</v>
      </c>
      <c r="G16" s="2">
        <f t="shared" ca="1" si="0"/>
        <v>0.40617521668718826</v>
      </c>
      <c r="H16" s="2">
        <f t="shared" ca="1" si="2"/>
        <v>2.5395439012653593</v>
      </c>
      <c r="I16" s="2">
        <f t="shared" ca="1" si="3"/>
        <v>-0.65118325970793367</v>
      </c>
      <c r="J16" s="2">
        <f t="shared" ca="1" si="4"/>
        <v>44.674408370146033</v>
      </c>
    </row>
    <row r="17" spans="1:10" x14ac:dyDescent="0.3">
      <c r="A17" s="2">
        <v>9</v>
      </c>
      <c r="B17" s="2">
        <f t="shared" ca="1" si="1"/>
        <v>0.81205715204468565</v>
      </c>
      <c r="C17" s="2">
        <f t="shared" ca="1" si="0"/>
        <v>0.90584016321320071</v>
      </c>
      <c r="D17" s="2">
        <f t="shared" ca="1" si="0"/>
        <v>0.36474814769440611</v>
      </c>
      <c r="E17" s="2">
        <f t="shared" ca="1" si="0"/>
        <v>0.4354773615435088</v>
      </c>
      <c r="F17" s="2">
        <f t="shared" ca="1" si="0"/>
        <v>0.31066030173756065</v>
      </c>
      <c r="G17" s="2">
        <f t="shared" ca="1" si="0"/>
        <v>0.33133963874603167</v>
      </c>
      <c r="H17" s="2">
        <f t="shared" ca="1" si="2"/>
        <v>3.1601227649793939</v>
      </c>
      <c r="I17" s="2">
        <f t="shared" ca="1" si="3"/>
        <v>0.22644778587853853</v>
      </c>
      <c r="J17" s="2">
        <f t="shared" ca="1" si="4"/>
        <v>45.113223892939267</v>
      </c>
    </row>
    <row r="18" spans="1:10" x14ac:dyDescent="0.3">
      <c r="A18" s="2">
        <v>10</v>
      </c>
      <c r="B18" s="2">
        <f t="shared" ca="1" si="1"/>
        <v>0.32134260651666047</v>
      </c>
      <c r="C18" s="2">
        <f t="shared" ca="1" si="0"/>
        <v>0.72059600250434208</v>
      </c>
      <c r="D18" s="2">
        <f t="shared" ca="1" si="0"/>
        <v>0.11406205955718318</v>
      </c>
      <c r="E18" s="2">
        <f t="shared" ca="1" si="0"/>
        <v>0.46035739003145093</v>
      </c>
      <c r="F18" s="2">
        <f t="shared" ca="1" si="0"/>
        <v>0.24625687219775794</v>
      </c>
      <c r="G18" s="2">
        <f t="shared" ca="1" si="0"/>
        <v>0.39820492660081908</v>
      </c>
      <c r="H18" s="2">
        <f t="shared" ca="1" si="2"/>
        <v>2.2608198574082135</v>
      </c>
      <c r="I18" s="2">
        <f t="shared" ca="1" si="3"/>
        <v>-1.0453585826901828</v>
      </c>
      <c r="J18" s="2">
        <f t="shared" ca="1" si="4"/>
        <v>44.477320708654908</v>
      </c>
    </row>
    <row r="19" spans="1:10" x14ac:dyDescent="0.3">
      <c r="A19" s="2">
        <v>11</v>
      </c>
      <c r="B19" s="2">
        <f t="shared" ca="1" si="1"/>
        <v>0.47257822930111582</v>
      </c>
      <c r="C19" s="2">
        <f t="shared" ca="1" si="0"/>
        <v>0.4791860076256873</v>
      </c>
      <c r="D19" s="2">
        <f t="shared" ca="1" si="0"/>
        <v>0.51232953525331326</v>
      </c>
      <c r="E19" s="2">
        <f t="shared" ca="1" si="0"/>
        <v>0.76689812898109855</v>
      </c>
      <c r="F19" s="2">
        <f t="shared" ca="1" si="0"/>
        <v>0.7235457055398925</v>
      </c>
      <c r="G19" s="2">
        <f t="shared" ca="1" si="0"/>
        <v>0.78321402497051151</v>
      </c>
      <c r="H19" s="2">
        <f t="shared" ca="1" si="2"/>
        <v>3.7377516316716188</v>
      </c>
      <c r="I19" s="2">
        <f t="shared" ca="1" si="3"/>
        <v>1.0433383631728834</v>
      </c>
      <c r="J19" s="2">
        <f t="shared" ca="1" si="4"/>
        <v>45.521669181586439</v>
      </c>
    </row>
    <row r="20" spans="1:10" x14ac:dyDescent="0.3">
      <c r="A20" s="2">
        <v>12</v>
      </c>
      <c r="B20" s="2">
        <f t="shared" ca="1" si="1"/>
        <v>0.42405845412928211</v>
      </c>
      <c r="C20" s="2">
        <f t="shared" ca="1" si="0"/>
        <v>0.55065327633357308</v>
      </c>
      <c r="D20" s="2">
        <f t="shared" ca="1" si="0"/>
        <v>0.84591345623489989</v>
      </c>
      <c r="E20" s="2">
        <f t="shared" ca="1" si="0"/>
        <v>0.45134924565366363</v>
      </c>
      <c r="F20" s="2">
        <f t="shared" ca="1" si="0"/>
        <v>0.95584821833522293</v>
      </c>
      <c r="G20" s="2">
        <f t="shared" ca="1" si="0"/>
        <v>0.3862129630848129</v>
      </c>
      <c r="H20" s="2">
        <f t="shared" ca="1" si="2"/>
        <v>3.6140356137714544</v>
      </c>
      <c r="I20" s="2">
        <f t="shared" ca="1" si="3"/>
        <v>0.86837749277567844</v>
      </c>
      <c r="J20" s="2">
        <f t="shared" ca="1" si="4"/>
        <v>45.434188746387839</v>
      </c>
    </row>
    <row r="21" spans="1:10" x14ac:dyDescent="0.3">
      <c r="A21" s="2">
        <v>13</v>
      </c>
      <c r="B21" s="2">
        <f t="shared" ca="1" si="1"/>
        <v>0.85131313352638605</v>
      </c>
      <c r="C21" s="2">
        <f t="shared" ca="1" si="0"/>
        <v>0.5828258796241943</v>
      </c>
      <c r="D21" s="2">
        <f t="shared" ca="1" si="0"/>
        <v>0.9732216050387773</v>
      </c>
      <c r="E21" s="2">
        <f t="shared" ca="1" si="0"/>
        <v>0.85814575653458613</v>
      </c>
      <c r="F21" s="2">
        <f t="shared" ca="1" si="0"/>
        <v>0.18962309255926701</v>
      </c>
      <c r="G21" s="2">
        <f t="shared" ca="1" si="0"/>
        <v>0.49146581775646814</v>
      </c>
      <c r="H21" s="2">
        <f t="shared" ca="1" si="2"/>
        <v>3.9465952850396788</v>
      </c>
      <c r="I21" s="2">
        <f t="shared" ca="1" si="3"/>
        <v>1.3386878901815393</v>
      </c>
      <c r="J21" s="2">
        <f t="shared" ca="1" si="4"/>
        <v>45.669343945090773</v>
      </c>
    </row>
    <row r="22" spans="1:10" x14ac:dyDescent="0.3">
      <c r="A22" s="2">
        <v>14</v>
      </c>
      <c r="B22" s="2">
        <f t="shared" ca="1" si="1"/>
        <v>0.82032317098453289</v>
      </c>
      <c r="C22" s="2">
        <f t="shared" ca="1" si="0"/>
        <v>0.58887362764029427</v>
      </c>
      <c r="D22" s="2">
        <f t="shared" ca="1" si="0"/>
        <v>0.95456953421417479</v>
      </c>
      <c r="E22" s="2">
        <f t="shared" ca="1" si="0"/>
        <v>0.49448646435004961</v>
      </c>
      <c r="F22" s="2">
        <f t="shared" ca="1" si="0"/>
        <v>1.7718085951468954E-2</v>
      </c>
      <c r="G22" s="2">
        <f t="shared" ca="1" si="0"/>
        <v>0.41433950024952881</v>
      </c>
      <c r="H22" s="2">
        <f t="shared" ca="1" si="2"/>
        <v>3.2903103833900498</v>
      </c>
      <c r="I22" s="2">
        <f t="shared" ca="1" si="3"/>
        <v>0.41056088148794129</v>
      </c>
      <c r="J22" s="2">
        <f t="shared" ca="1" si="4"/>
        <v>45.205280440743969</v>
      </c>
    </row>
    <row r="23" spans="1:10" x14ac:dyDescent="0.3">
      <c r="A23" s="2">
        <v>15</v>
      </c>
      <c r="B23" s="2">
        <f t="shared" ca="1" si="1"/>
        <v>0.33462588929331039</v>
      </c>
      <c r="C23" s="2">
        <f t="shared" ca="1" si="0"/>
        <v>2.4536666896222692E-2</v>
      </c>
      <c r="D23" s="2">
        <f t="shared" ca="1" si="0"/>
        <v>0.21578256110941541</v>
      </c>
      <c r="E23" s="2">
        <f t="shared" ca="1" si="0"/>
        <v>0.62256112634750427</v>
      </c>
      <c r="F23" s="2">
        <f t="shared" ca="1" si="0"/>
        <v>0.40474006619495717</v>
      </c>
      <c r="G23" s="2">
        <f t="shared" ca="1" si="0"/>
        <v>0.39796998820600349</v>
      </c>
      <c r="H23" s="2">
        <f t="shared" ca="1" si="2"/>
        <v>2.0002162980474134</v>
      </c>
      <c r="I23" s="2">
        <f t="shared" ca="1" si="3"/>
        <v>-1.4139076707409282</v>
      </c>
      <c r="J23" s="2">
        <f t="shared" ca="1" si="4"/>
        <v>44.293046164629537</v>
      </c>
    </row>
    <row r="24" spans="1:10" x14ac:dyDescent="0.3">
      <c r="A24" s="2">
        <v>16</v>
      </c>
      <c r="B24" s="2">
        <f t="shared" ca="1" si="1"/>
        <v>6.8341917532986241E-2</v>
      </c>
      <c r="C24" s="2">
        <f t="shared" ca="1" si="0"/>
        <v>3.5146241445476401E-2</v>
      </c>
      <c r="D24" s="2">
        <f t="shared" ca="1" si="0"/>
        <v>0.75959167782950177</v>
      </c>
      <c r="E24" s="2">
        <f t="shared" ca="1" si="0"/>
        <v>5.1270594725638774E-2</v>
      </c>
      <c r="F24" s="2">
        <f t="shared" ca="1" si="0"/>
        <v>0.13033386022106774</v>
      </c>
      <c r="G24" s="2">
        <f t="shared" ca="1" si="0"/>
        <v>0.84165116773053039</v>
      </c>
      <c r="H24" s="2">
        <f t="shared" ca="1" si="2"/>
        <v>1.8863354594852013</v>
      </c>
      <c r="I24" s="2">
        <f t="shared" ca="1" si="3"/>
        <v>-1.5749594971300294</v>
      </c>
      <c r="J24" s="2">
        <f t="shared" ca="1" si="4"/>
        <v>44.212520251434988</v>
      </c>
    </row>
    <row r="25" spans="1:10" x14ac:dyDescent="0.3">
      <c r="A25" s="2">
        <v>17</v>
      </c>
      <c r="B25" s="2">
        <f t="shared" ca="1" si="1"/>
        <v>0.99768290539958326</v>
      </c>
      <c r="C25" s="2">
        <f t="shared" ca="1" si="1"/>
        <v>0.62806845188870764</v>
      </c>
      <c r="D25" s="2">
        <f t="shared" ca="1" si="1"/>
        <v>0.4171219377828409</v>
      </c>
      <c r="E25" s="2">
        <f t="shared" ca="1" si="1"/>
        <v>0.42742423140034369</v>
      </c>
      <c r="F25" s="2">
        <f t="shared" ca="1" si="1"/>
        <v>4.1883218912468045E-2</v>
      </c>
      <c r="G25" s="2">
        <f t="shared" ca="1" si="1"/>
        <v>0.6688938700753313</v>
      </c>
      <c r="H25" s="2">
        <f t="shared" ca="1" si="2"/>
        <v>3.1810746154592744</v>
      </c>
      <c r="I25" s="2">
        <f t="shared" ca="1" si="3"/>
        <v>0.25607817698399871</v>
      </c>
      <c r="J25" s="2">
        <f t="shared" ca="1" si="4"/>
        <v>45.128039088492002</v>
      </c>
    </row>
    <row r="26" spans="1:10" x14ac:dyDescent="0.3">
      <c r="A26" s="2">
        <v>18</v>
      </c>
      <c r="B26" s="2">
        <f t="shared" ca="1" si="1"/>
        <v>0.13053758854074438</v>
      </c>
      <c r="C26" s="2">
        <f t="shared" ca="1" si="1"/>
        <v>0.64551277991040956</v>
      </c>
      <c r="D26" s="2">
        <f t="shared" ca="1" si="1"/>
        <v>0.9760793049570845</v>
      </c>
      <c r="E26" s="2">
        <f t="shared" ca="1" si="1"/>
        <v>0.30836048887756862</v>
      </c>
      <c r="F26" s="2">
        <f t="shared" ca="1" si="1"/>
        <v>0.282971913500633</v>
      </c>
      <c r="G26" s="2">
        <f t="shared" ca="1" si="1"/>
        <v>3.1738979810142842E-2</v>
      </c>
      <c r="H26" s="2">
        <f t="shared" ca="1" si="2"/>
        <v>2.375201055596583</v>
      </c>
      <c r="I26" s="2">
        <f t="shared" ca="1" si="3"/>
        <v>-0.88359914093170566</v>
      </c>
      <c r="J26" s="2">
        <f t="shared" ca="1" si="4"/>
        <v>44.558200429534146</v>
      </c>
    </row>
    <row r="27" spans="1:10" x14ac:dyDescent="0.3">
      <c r="A27" s="2">
        <v>19</v>
      </c>
      <c r="B27" s="2">
        <f t="shared" ca="1" si="1"/>
        <v>0.68056336512570759</v>
      </c>
      <c r="C27" s="2">
        <f t="shared" ca="1" si="1"/>
        <v>0.79885007485033077</v>
      </c>
      <c r="D27" s="2">
        <f t="shared" ca="1" si="1"/>
        <v>0.56634096231371833</v>
      </c>
      <c r="E27" s="2">
        <f t="shared" ca="1" si="1"/>
        <v>0.15031299623827554</v>
      </c>
      <c r="F27" s="2">
        <f t="shared" ca="1" si="1"/>
        <v>0.28738563009183749</v>
      </c>
      <c r="G27" s="2">
        <f t="shared" ca="1" si="1"/>
        <v>0.11437541304335452</v>
      </c>
      <c r="H27" s="2">
        <f t="shared" ca="1" si="2"/>
        <v>2.597828441663224</v>
      </c>
      <c r="I27" s="2">
        <f t="shared" ca="1" si="3"/>
        <v>-0.56875647220059089</v>
      </c>
      <c r="J27" s="2">
        <f t="shared" ca="1" si="4"/>
        <v>44.715621763899705</v>
      </c>
    </row>
    <row r="28" spans="1:10" x14ac:dyDescent="0.3">
      <c r="A28" s="2">
        <v>20</v>
      </c>
      <c r="B28" s="2">
        <f t="shared" ca="1" si="1"/>
        <v>0.40618753596451573</v>
      </c>
      <c r="C28" s="2">
        <f t="shared" ca="1" si="1"/>
        <v>0.14530299197291219</v>
      </c>
      <c r="D28" s="2">
        <f t="shared" ca="1" si="1"/>
        <v>0.27238339646894716</v>
      </c>
      <c r="E28" s="2">
        <f t="shared" ca="1" si="1"/>
        <v>0.6404437874636778</v>
      </c>
      <c r="F28" s="2">
        <f t="shared" ca="1" si="1"/>
        <v>0.94925019587266934</v>
      </c>
      <c r="G28" s="2">
        <f t="shared" ca="1" si="1"/>
        <v>0.44700600261391754</v>
      </c>
      <c r="H28" s="2">
        <f t="shared" ca="1" si="2"/>
        <v>2.8605739103566399</v>
      </c>
      <c r="I28" s="2">
        <f t="shared" ca="1" si="3"/>
        <v>-0.19717826692228679</v>
      </c>
      <c r="J28" s="2">
        <f t="shared" ca="1" si="4"/>
        <v>44.901410866538853</v>
      </c>
    </row>
    <row r="29" spans="1:10" ht="15.6" x14ac:dyDescent="0.3">
      <c r="I29" s="18" t="s">
        <v>11</v>
      </c>
      <c r="J29" s="18">
        <f ca="1">AVERAGE(J9:J28)</f>
        <v>45.034856155125041</v>
      </c>
    </row>
    <row r="30" spans="1:10" ht="16.8" x14ac:dyDescent="0.3">
      <c r="D30" s="15"/>
      <c r="I30" s="18" t="s">
        <v>12</v>
      </c>
      <c r="J30" s="18">
        <f ca="1">_xlfn.VAR.S(J9:J28)</f>
        <v>0.30273863401134288</v>
      </c>
    </row>
    <row r="32" spans="1:10" ht="18" x14ac:dyDescent="0.35">
      <c r="B32" s="6" t="s">
        <v>24</v>
      </c>
    </row>
    <row r="33" spans="1:7" x14ac:dyDescent="0.3">
      <c r="A33" s="2" t="s">
        <v>3</v>
      </c>
      <c r="B33" s="2" t="s">
        <v>29</v>
      </c>
      <c r="C33" s="2" t="s">
        <v>30</v>
      </c>
      <c r="D33" s="2" t="s">
        <v>25</v>
      </c>
      <c r="E33" s="2" t="s">
        <v>26</v>
      </c>
      <c r="F33" s="2" t="s">
        <v>27</v>
      </c>
      <c r="G33" s="2" t="s">
        <v>28</v>
      </c>
    </row>
    <row r="34" spans="1:7" x14ac:dyDescent="0.3">
      <c r="A34" s="2">
        <v>1</v>
      </c>
      <c r="B34" s="13">
        <f ca="1">RAND()</f>
        <v>0.85031155055809837</v>
      </c>
      <c r="C34" s="13">
        <f ca="1">RAND()</f>
        <v>0.21673369839615708</v>
      </c>
      <c r="D34" s="2">
        <f ca="1">SQRT(-2*LN(B34))*SIN(2*PI()*C34)</f>
        <v>0.55708313457722025</v>
      </c>
      <c r="E34" s="2">
        <f ca="1">SQRT(-2*LN(B34))*COS(2*PI()*C34)</f>
        <v>0.11816646876309292</v>
      </c>
      <c r="F34" s="2">
        <f ca="1">D34*$C$3+$C$2</f>
        <v>45.278541567288613</v>
      </c>
      <c r="G34" s="2">
        <f ca="1">E34*$C$3+$C$2</f>
        <v>45.059083234381546</v>
      </c>
    </row>
    <row r="35" spans="1:7" x14ac:dyDescent="0.3">
      <c r="A35" s="2">
        <v>2</v>
      </c>
      <c r="B35" s="2">
        <f t="shared" ref="B35:C53" ca="1" si="5">RAND()</f>
        <v>0.9405664286529537</v>
      </c>
      <c r="C35" s="2">
        <f t="shared" ca="1" si="5"/>
        <v>0.14809282324610795</v>
      </c>
      <c r="D35" s="2">
        <f t="shared" ref="D35:D53" ca="1" si="6">SQRT(-2*LN(B35))*SIN(2*PI()*C35)</f>
        <v>0.28072314257387754</v>
      </c>
      <c r="E35" s="2">
        <f t="shared" ref="E35:E53" ca="1" si="7">SQRT(-2*LN(B35))*COS(2*PI()*C35)</f>
        <v>0.20914234452686137</v>
      </c>
      <c r="F35" s="2">
        <f t="shared" ref="F35:F53" ca="1" si="8">D35*$C$3+$C$2</f>
        <v>45.140361571286938</v>
      </c>
      <c r="G35" s="2">
        <f t="shared" ref="G35:G53" ca="1" si="9">E35*$C$3+$C$2</f>
        <v>45.104571172263434</v>
      </c>
    </row>
    <row r="36" spans="1:7" x14ac:dyDescent="0.3">
      <c r="A36" s="2">
        <v>3</v>
      </c>
      <c r="B36" s="2">
        <f t="shared" ca="1" si="5"/>
        <v>0.98673883458036349</v>
      </c>
      <c r="C36" s="2">
        <f t="shared" ca="1" si="5"/>
        <v>0.83771441475157116</v>
      </c>
      <c r="D36" s="2">
        <f t="shared" ca="1" si="6"/>
        <v>-0.13920677750670546</v>
      </c>
      <c r="E36" s="2">
        <f t="shared" ca="1" si="7"/>
        <v>8.5564202787104526E-2</v>
      </c>
      <c r="F36" s="2">
        <f t="shared" ca="1" si="8"/>
        <v>44.93039661124665</v>
      </c>
      <c r="G36" s="2">
        <f t="shared" ca="1" si="9"/>
        <v>45.042782101393556</v>
      </c>
    </row>
    <row r="37" spans="1:7" x14ac:dyDescent="0.3">
      <c r="A37" s="2">
        <v>4</v>
      </c>
      <c r="B37" s="2">
        <f t="shared" ca="1" si="5"/>
        <v>0.35309210328546636</v>
      </c>
      <c r="C37" s="2">
        <f t="shared" ca="1" si="5"/>
        <v>0.55939417222341448</v>
      </c>
      <c r="D37" s="2">
        <f t="shared" ca="1" si="6"/>
        <v>-0.52606799710987717</v>
      </c>
      <c r="E37" s="2">
        <f t="shared" ca="1" si="7"/>
        <v>-1.3436164418962759</v>
      </c>
      <c r="F37" s="2">
        <f t="shared" ca="1" si="8"/>
        <v>44.736966001445062</v>
      </c>
      <c r="G37" s="2">
        <f t="shared" ca="1" si="9"/>
        <v>44.328191779051863</v>
      </c>
    </row>
    <row r="38" spans="1:7" x14ac:dyDescent="0.3">
      <c r="A38" s="2">
        <v>5</v>
      </c>
      <c r="B38" s="2">
        <f t="shared" ca="1" si="5"/>
        <v>0.42696731081005446</v>
      </c>
      <c r="C38" s="2">
        <f t="shared" ca="1" si="5"/>
        <v>0.3835163414183228</v>
      </c>
      <c r="D38" s="2">
        <f t="shared" ca="1" si="6"/>
        <v>0.87186172445907706</v>
      </c>
      <c r="E38" s="2">
        <f t="shared" ca="1" si="7"/>
        <v>-0.9705425192907533</v>
      </c>
      <c r="F38" s="2">
        <f t="shared" ca="1" si="8"/>
        <v>45.43593086222954</v>
      </c>
      <c r="G38" s="2">
        <f t="shared" ca="1" si="9"/>
        <v>44.51472874035462</v>
      </c>
    </row>
    <row r="39" spans="1:7" x14ac:dyDescent="0.3">
      <c r="A39" s="2">
        <v>6</v>
      </c>
      <c r="B39" s="2">
        <f t="shared" ca="1" si="5"/>
        <v>0.25566302304417321</v>
      </c>
      <c r="C39" s="2">
        <f t="shared" ca="1" si="5"/>
        <v>0.27040081588786358</v>
      </c>
      <c r="D39" s="2">
        <f t="shared" ca="1" si="6"/>
        <v>1.6380523798028537</v>
      </c>
      <c r="E39" s="2">
        <f t="shared" ca="1" si="7"/>
        <v>-0.21112658928991951</v>
      </c>
      <c r="F39" s="2">
        <f t="shared" ca="1" si="8"/>
        <v>45.819026189901429</v>
      </c>
      <c r="G39" s="2">
        <f t="shared" ca="1" si="9"/>
        <v>44.894436705355041</v>
      </c>
    </row>
    <row r="40" spans="1:7" x14ac:dyDescent="0.3">
      <c r="A40" s="2">
        <v>7</v>
      </c>
      <c r="B40" s="2">
        <f t="shared" ca="1" si="5"/>
        <v>0.91151609701917047</v>
      </c>
      <c r="C40" s="2">
        <f t="shared" ca="1" si="5"/>
        <v>0.64599921821664297</v>
      </c>
      <c r="D40" s="2">
        <f t="shared" ca="1" si="6"/>
        <v>-0.34177635256326</v>
      </c>
      <c r="E40" s="2">
        <f t="shared" ca="1" si="7"/>
        <v>-0.26168869869116468</v>
      </c>
      <c r="F40" s="2">
        <f t="shared" ca="1" si="8"/>
        <v>44.829111823718371</v>
      </c>
      <c r="G40" s="2">
        <f t="shared" ca="1" si="9"/>
        <v>44.86915565065442</v>
      </c>
    </row>
    <row r="41" spans="1:7" x14ac:dyDescent="0.3">
      <c r="A41" s="2">
        <v>8</v>
      </c>
      <c r="B41" s="2">
        <f t="shared" ca="1" si="5"/>
        <v>0.19379012206973667</v>
      </c>
      <c r="C41" s="2">
        <f t="shared" ca="1" si="5"/>
        <v>0.69424618003415872</v>
      </c>
      <c r="D41" s="2">
        <f t="shared" ca="1" si="6"/>
        <v>-1.7015907022812178</v>
      </c>
      <c r="E41" s="2">
        <f t="shared" ca="1" si="7"/>
        <v>-0.62172999202536183</v>
      </c>
      <c r="F41" s="2">
        <f t="shared" ca="1" si="8"/>
        <v>44.149204648859389</v>
      </c>
      <c r="G41" s="2">
        <f t="shared" ca="1" si="9"/>
        <v>44.689135003987317</v>
      </c>
    </row>
    <row r="42" spans="1:7" x14ac:dyDescent="0.3">
      <c r="A42" s="2">
        <v>9</v>
      </c>
      <c r="B42" s="2">
        <f t="shared" ca="1" si="5"/>
        <v>0.83234669413416429</v>
      </c>
      <c r="C42" s="2">
        <f t="shared" ca="1" si="5"/>
        <v>0.61887701432179332</v>
      </c>
      <c r="D42" s="2">
        <f t="shared" ca="1" si="6"/>
        <v>-0.41158292486504655</v>
      </c>
      <c r="E42" s="2">
        <f t="shared" ca="1" si="7"/>
        <v>-0.44453565268808354</v>
      </c>
      <c r="F42" s="2">
        <f t="shared" ca="1" si="8"/>
        <v>44.794208537567478</v>
      </c>
      <c r="G42" s="2">
        <f t="shared" ca="1" si="9"/>
        <v>44.777732173655956</v>
      </c>
    </row>
    <row r="43" spans="1:7" x14ac:dyDescent="0.3">
      <c r="A43" s="2">
        <v>10</v>
      </c>
      <c r="B43" s="2">
        <f t="shared" ca="1" si="5"/>
        <v>0.47855241996172171</v>
      </c>
      <c r="C43" s="2">
        <f t="shared" ca="1" si="5"/>
        <v>0.23328248163318899</v>
      </c>
      <c r="D43" s="2">
        <f t="shared" ca="1" si="6"/>
        <v>1.2073839464104954</v>
      </c>
      <c r="E43" s="2">
        <f t="shared" ca="1" si="7"/>
        <v>0.12729121309231448</v>
      </c>
      <c r="F43" s="2">
        <f t="shared" ca="1" si="8"/>
        <v>45.603691973205251</v>
      </c>
      <c r="G43" s="2">
        <f t="shared" ca="1" si="9"/>
        <v>45.06364560654616</v>
      </c>
    </row>
    <row r="44" spans="1:7" x14ac:dyDescent="0.3">
      <c r="A44" s="2">
        <v>11</v>
      </c>
      <c r="B44" s="2">
        <f t="shared" ca="1" si="5"/>
        <v>0.56783750011569523</v>
      </c>
      <c r="C44" s="2">
        <f t="shared" ca="1" si="5"/>
        <v>0.31600276912354031</v>
      </c>
      <c r="D44" s="2">
        <f t="shared" ca="1" si="6"/>
        <v>0.97369903273529657</v>
      </c>
      <c r="E44" s="2">
        <f t="shared" ca="1" si="7"/>
        <v>-0.4286609134588848</v>
      </c>
      <c r="F44" s="2">
        <f t="shared" ca="1" si="8"/>
        <v>45.486849516367649</v>
      </c>
      <c r="G44" s="2">
        <f t="shared" ca="1" si="9"/>
        <v>44.785669543270558</v>
      </c>
    </row>
    <row r="45" spans="1:7" x14ac:dyDescent="0.3">
      <c r="A45" s="2">
        <v>12</v>
      </c>
      <c r="B45" s="2">
        <f t="shared" ca="1" si="5"/>
        <v>0.74691628086979645</v>
      </c>
      <c r="C45" s="2">
        <f t="shared" ca="1" si="5"/>
        <v>8.9556238094227303E-2</v>
      </c>
      <c r="D45" s="2">
        <f t="shared" ca="1" si="6"/>
        <v>0.40753948344207858</v>
      </c>
      <c r="E45" s="2">
        <f t="shared" ca="1" si="7"/>
        <v>0.64615471622527998</v>
      </c>
      <c r="F45" s="2">
        <f t="shared" ca="1" si="8"/>
        <v>45.20376974172104</v>
      </c>
      <c r="G45" s="2">
        <f t="shared" ca="1" si="9"/>
        <v>45.323077358112641</v>
      </c>
    </row>
    <row r="46" spans="1:7" x14ac:dyDescent="0.3">
      <c r="A46" s="2">
        <v>13</v>
      </c>
      <c r="B46" s="2">
        <f t="shared" ca="1" si="5"/>
        <v>0.84405158971027028</v>
      </c>
      <c r="C46" s="2">
        <f t="shared" ca="1" si="5"/>
        <v>0.44073635918351362</v>
      </c>
      <c r="D46" s="2">
        <f t="shared" ca="1" si="6"/>
        <v>0.21185484948559188</v>
      </c>
      <c r="E46" s="2">
        <f t="shared" ca="1" si="7"/>
        <v>-0.5424028436131858</v>
      </c>
      <c r="F46" s="2">
        <f t="shared" ca="1" si="8"/>
        <v>45.105927424742795</v>
      </c>
      <c r="G46" s="2">
        <f t="shared" ca="1" si="9"/>
        <v>44.728798578193405</v>
      </c>
    </row>
    <row r="47" spans="1:7" x14ac:dyDescent="0.3">
      <c r="A47" s="2">
        <v>14</v>
      </c>
      <c r="B47" s="2">
        <f t="shared" ca="1" si="5"/>
        <v>0.97320822877202162</v>
      </c>
      <c r="C47" s="2">
        <f t="shared" ca="1" si="5"/>
        <v>0.24871909105833934</v>
      </c>
      <c r="D47" s="2">
        <f t="shared" ca="1" si="6"/>
        <v>0.23304700687708643</v>
      </c>
      <c r="E47" s="2">
        <f t="shared" ca="1" si="7"/>
        <v>1.8756466780706057E-3</v>
      </c>
      <c r="F47" s="2">
        <f t="shared" ca="1" si="8"/>
        <v>45.116523503438543</v>
      </c>
      <c r="G47" s="2">
        <f t="shared" ca="1" si="9"/>
        <v>45.000937823339036</v>
      </c>
    </row>
    <row r="48" spans="1:7" x14ac:dyDescent="0.3">
      <c r="A48" s="2">
        <v>15</v>
      </c>
      <c r="B48" s="2">
        <f t="shared" ca="1" si="5"/>
        <v>0.23341757305665645</v>
      </c>
      <c r="C48" s="2">
        <f t="shared" ca="1" si="5"/>
        <v>0.23617285009629274</v>
      </c>
      <c r="D48" s="2">
        <f t="shared" ca="1" si="6"/>
        <v>1.6993953399125017</v>
      </c>
      <c r="E48" s="2">
        <f t="shared" ca="1" si="7"/>
        <v>0.14801357855084279</v>
      </c>
      <c r="F48" s="2">
        <f t="shared" ca="1" si="8"/>
        <v>45.84969766995625</v>
      </c>
      <c r="G48" s="2">
        <f t="shared" ca="1" si="9"/>
        <v>45.074006789275423</v>
      </c>
    </row>
    <row r="49" spans="1:7" x14ac:dyDescent="0.3">
      <c r="A49" s="2">
        <v>16</v>
      </c>
      <c r="B49" s="2">
        <f t="shared" ca="1" si="5"/>
        <v>0.59528690498900483</v>
      </c>
      <c r="C49" s="2">
        <f t="shared" ca="1" si="5"/>
        <v>0.73303764753928646</v>
      </c>
      <c r="D49" s="2">
        <f t="shared" ca="1" si="6"/>
        <v>-1.0127607170053534</v>
      </c>
      <c r="E49" s="2">
        <f t="shared" ca="1" si="7"/>
        <v>-0.10834815587621298</v>
      </c>
      <c r="F49" s="2">
        <f t="shared" ca="1" si="8"/>
        <v>44.493619641497325</v>
      </c>
      <c r="G49" s="2">
        <f t="shared" ca="1" si="9"/>
        <v>44.945825922061893</v>
      </c>
    </row>
    <row r="50" spans="1:7" x14ac:dyDescent="0.3">
      <c r="A50" s="2">
        <v>17</v>
      </c>
      <c r="B50" s="2">
        <f t="shared" ca="1" si="5"/>
        <v>0.80778125614399188</v>
      </c>
      <c r="C50" s="2">
        <f t="shared" ca="1" si="5"/>
        <v>0.36683159475870653</v>
      </c>
      <c r="D50" s="2">
        <f t="shared" ca="1" si="6"/>
        <v>0.48511545348432644</v>
      </c>
      <c r="E50" s="2">
        <f t="shared" ca="1" si="7"/>
        <v>-0.43771104190421323</v>
      </c>
      <c r="F50" s="2">
        <f t="shared" ca="1" si="8"/>
        <v>45.242557726742163</v>
      </c>
      <c r="G50" s="2">
        <f t="shared" ca="1" si="9"/>
        <v>44.781144479047896</v>
      </c>
    </row>
    <row r="51" spans="1:7" x14ac:dyDescent="0.3">
      <c r="A51" s="2">
        <v>18</v>
      </c>
      <c r="B51" s="2">
        <f t="shared" ca="1" si="5"/>
        <v>0.56165209814452377</v>
      </c>
      <c r="C51" s="2">
        <f t="shared" ca="1" si="5"/>
        <v>0.19260881214737702</v>
      </c>
      <c r="D51" s="2">
        <f t="shared" ca="1" si="6"/>
        <v>1.0050435175365848</v>
      </c>
      <c r="E51" s="2">
        <f t="shared" ca="1" si="7"/>
        <v>0.37898925354327567</v>
      </c>
      <c r="F51" s="2">
        <f t="shared" ca="1" si="8"/>
        <v>45.502521758768296</v>
      </c>
      <c r="G51" s="2">
        <f t="shared" ca="1" si="9"/>
        <v>45.189494626771641</v>
      </c>
    </row>
    <row r="52" spans="1:7" x14ac:dyDescent="0.3">
      <c r="A52" s="2">
        <v>19</v>
      </c>
      <c r="B52" s="2">
        <f t="shared" ca="1" si="5"/>
        <v>0.21562677338452441</v>
      </c>
      <c r="C52" s="2">
        <f t="shared" ca="1" si="5"/>
        <v>0.56856387658367002</v>
      </c>
      <c r="D52" s="2">
        <f t="shared" ca="1" si="6"/>
        <v>-0.73150059959924318</v>
      </c>
      <c r="E52" s="2">
        <f t="shared" ca="1" si="7"/>
        <v>-1.5916404765092584</v>
      </c>
      <c r="F52" s="2">
        <f t="shared" ca="1" si="8"/>
        <v>44.634249700200378</v>
      </c>
      <c r="G52" s="2">
        <f t="shared" ca="1" si="9"/>
        <v>44.204179761745372</v>
      </c>
    </row>
    <row r="53" spans="1:7" x14ac:dyDescent="0.3">
      <c r="A53" s="2">
        <v>20</v>
      </c>
      <c r="B53" s="2">
        <f t="shared" ca="1" si="5"/>
        <v>0.12052296892516201</v>
      </c>
      <c r="C53" s="2">
        <f t="shared" ca="1" si="5"/>
        <v>0.26504635289476641</v>
      </c>
      <c r="D53" s="2">
        <f t="shared" ca="1" si="6"/>
        <v>2.047955051220252</v>
      </c>
      <c r="E53" s="2">
        <f t="shared" ca="1" si="7"/>
        <v>-0.19419054982040665</v>
      </c>
      <c r="F53" s="2">
        <f t="shared" ca="1" si="8"/>
        <v>46.023977525610128</v>
      </c>
      <c r="G53" s="2">
        <f t="shared" ca="1" si="9"/>
        <v>44.902904725089797</v>
      </c>
    </row>
    <row r="54" spans="1:7" ht="15.6" x14ac:dyDescent="0.3">
      <c r="E54" s="18" t="s">
        <v>11</v>
      </c>
      <c r="F54" s="18">
        <f ca="1">AVERAGE(F34:F53)</f>
        <v>45.168856699789664</v>
      </c>
      <c r="G54" s="18">
        <f ca="1">AVERAGE(G34:G53)</f>
        <v>44.863975088727592</v>
      </c>
    </row>
    <row r="55" spans="1:7" ht="16.8" x14ac:dyDescent="0.3">
      <c r="E55" s="18" t="s">
        <v>12</v>
      </c>
      <c r="F55" s="18">
        <f ca="1">_xlfn.VAR.S(F34:F53)</f>
        <v>0.23143008190894929</v>
      </c>
      <c r="G55" s="18">
        <f ca="1">_xlfn.VAR.S(G34:G53)</f>
        <v>7.7379611251061658E-2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autoPict="0" r:id="rId5">
            <anchor moveWithCells="1">
              <from>
                <xdr:col>8</xdr:col>
                <xdr:colOff>655320</xdr:colOff>
                <xdr:row>3</xdr:row>
                <xdr:rowOff>228600</xdr:rowOff>
              </from>
              <to>
                <xdr:col>9</xdr:col>
                <xdr:colOff>411480</xdr:colOff>
                <xdr:row>5</xdr:row>
                <xdr:rowOff>144780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M78"/>
  <sheetViews>
    <sheetView zoomScale="70" zoomScaleNormal="70" workbookViewId="0"/>
  </sheetViews>
  <sheetFormatPr defaultRowHeight="14.4" x14ac:dyDescent="0.3"/>
  <cols>
    <col min="5" max="5" width="11.5546875" bestFit="1" customWidth="1"/>
    <col min="7" max="9" width="11.5546875" bestFit="1" customWidth="1"/>
  </cols>
  <sheetData>
    <row r="1" spans="1:2" ht="18" x14ac:dyDescent="0.35">
      <c r="B1" s="6" t="s">
        <v>31</v>
      </c>
    </row>
    <row r="2" spans="1:2" ht="15.6" x14ac:dyDescent="0.3">
      <c r="B2" s="5" t="s">
        <v>32</v>
      </c>
    </row>
    <row r="12" spans="1:2" x14ac:dyDescent="0.3">
      <c r="A12" s="2" t="s">
        <v>1</v>
      </c>
      <c r="B12" s="2">
        <v>5</v>
      </c>
    </row>
    <row r="13" spans="1:2" x14ac:dyDescent="0.3">
      <c r="A13" s="2" t="s">
        <v>2</v>
      </c>
      <c r="B13" s="2">
        <v>25</v>
      </c>
    </row>
    <row r="14" spans="1:2" x14ac:dyDescent="0.3">
      <c r="A14" s="2" t="s">
        <v>33</v>
      </c>
      <c r="B14" s="2">
        <f>(B12+B13)/2</f>
        <v>15</v>
      </c>
    </row>
    <row r="15" spans="1:2" ht="15.6" x14ac:dyDescent="0.3">
      <c r="A15" s="2" t="s">
        <v>14</v>
      </c>
      <c r="B15" s="2">
        <f>B14</f>
        <v>15</v>
      </c>
    </row>
    <row r="16" spans="1:2" ht="16.8" x14ac:dyDescent="0.3">
      <c r="A16" s="2" t="s">
        <v>34</v>
      </c>
      <c r="B16" s="2">
        <f>(20*B14^2+(B13-B12)^2)/20</f>
        <v>245</v>
      </c>
    </row>
    <row r="17" spans="1:13" ht="16.8" x14ac:dyDescent="0.3">
      <c r="A17" s="8" t="s">
        <v>16</v>
      </c>
      <c r="B17" s="2">
        <f>B16-B15^2</f>
        <v>20</v>
      </c>
    </row>
    <row r="19" spans="1:13" x14ac:dyDescent="0.3">
      <c r="A19" s="1" t="s">
        <v>20</v>
      </c>
      <c r="B19" s="9" t="s">
        <v>35</v>
      </c>
    </row>
    <row r="20" spans="1:13" x14ac:dyDescent="0.3">
      <c r="A20" s="1">
        <v>5</v>
      </c>
      <c r="B20" s="2">
        <f>(6/4/($B$13-$B$12))*(1-4*((A20-$B$14)/($B$13-$B$12))^2)</f>
        <v>0</v>
      </c>
      <c r="L20" s="2" t="s">
        <v>36</v>
      </c>
      <c r="M20" s="2">
        <f>6/4/($B$13-$B$12)</f>
        <v>7.4999999999999997E-2</v>
      </c>
    </row>
    <row r="21" spans="1:13" x14ac:dyDescent="0.3">
      <c r="A21" s="1">
        <v>5.5</v>
      </c>
      <c r="B21" s="2">
        <f t="shared" ref="B21:B60" si="0">(6/4/($B$13-$B$12))*(1-4*((A21-$B$14)/($B$13-$B$12))^2)</f>
        <v>7.3125000000000022E-3</v>
      </c>
    </row>
    <row r="22" spans="1:13" x14ac:dyDescent="0.3">
      <c r="A22" s="1">
        <v>6</v>
      </c>
      <c r="B22" s="2">
        <f t="shared" si="0"/>
        <v>1.4249999999999995E-2</v>
      </c>
    </row>
    <row r="23" spans="1:13" x14ac:dyDescent="0.3">
      <c r="A23" s="1">
        <v>6.5</v>
      </c>
      <c r="B23" s="2">
        <f t="shared" si="0"/>
        <v>2.0812500000000005E-2</v>
      </c>
    </row>
    <row r="24" spans="1:13" x14ac:dyDescent="0.3">
      <c r="A24" s="1">
        <v>7</v>
      </c>
      <c r="B24" s="2">
        <f t="shared" si="0"/>
        <v>2.6999999999999989E-2</v>
      </c>
    </row>
    <row r="25" spans="1:13" x14ac:dyDescent="0.3">
      <c r="A25" s="1">
        <v>7.5</v>
      </c>
      <c r="B25" s="2">
        <f t="shared" si="0"/>
        <v>3.2812500000000001E-2</v>
      </c>
    </row>
    <row r="26" spans="1:13" x14ac:dyDescent="0.3">
      <c r="A26" s="1">
        <v>8</v>
      </c>
      <c r="B26" s="2">
        <f t="shared" si="0"/>
        <v>3.8249999999999999E-2</v>
      </c>
    </row>
    <row r="27" spans="1:13" x14ac:dyDescent="0.3">
      <c r="A27" s="1">
        <v>8.5</v>
      </c>
      <c r="B27" s="2">
        <f t="shared" si="0"/>
        <v>4.331249999999999E-2</v>
      </c>
    </row>
    <row r="28" spans="1:13" x14ac:dyDescent="0.3">
      <c r="A28" s="1">
        <v>9</v>
      </c>
      <c r="B28" s="2">
        <f t="shared" si="0"/>
        <v>4.8000000000000001E-2</v>
      </c>
    </row>
    <row r="29" spans="1:13" x14ac:dyDescent="0.3">
      <c r="A29" s="1">
        <v>9.5</v>
      </c>
      <c r="B29" s="2">
        <f t="shared" si="0"/>
        <v>5.2312499999999998E-2</v>
      </c>
    </row>
    <row r="30" spans="1:13" x14ac:dyDescent="0.3">
      <c r="A30" s="1">
        <v>10</v>
      </c>
      <c r="B30" s="2">
        <f t="shared" si="0"/>
        <v>5.6249999999999994E-2</v>
      </c>
      <c r="M30" s="4" t="s">
        <v>38</v>
      </c>
    </row>
    <row r="31" spans="1:13" x14ac:dyDescent="0.3">
      <c r="A31" s="1">
        <v>10.5</v>
      </c>
      <c r="B31" s="2">
        <f t="shared" si="0"/>
        <v>5.9812499999999998E-2</v>
      </c>
    </row>
    <row r="32" spans="1:13" x14ac:dyDescent="0.3">
      <c r="A32" s="1">
        <v>11</v>
      </c>
      <c r="B32" s="2">
        <f t="shared" si="0"/>
        <v>6.3E-2</v>
      </c>
    </row>
    <row r="33" spans="1:10" x14ac:dyDescent="0.3">
      <c r="A33" s="1">
        <v>11.5</v>
      </c>
      <c r="B33" s="2">
        <f t="shared" si="0"/>
        <v>6.5812499999999996E-2</v>
      </c>
    </row>
    <row r="34" spans="1:10" x14ac:dyDescent="0.3">
      <c r="A34" s="1">
        <v>12</v>
      </c>
      <c r="B34" s="2">
        <f t="shared" si="0"/>
        <v>6.8250000000000005E-2</v>
      </c>
    </row>
    <row r="35" spans="1:10" x14ac:dyDescent="0.3">
      <c r="A35" s="1">
        <v>12.5</v>
      </c>
      <c r="B35" s="2">
        <f t="shared" si="0"/>
        <v>7.03125E-2</v>
      </c>
    </row>
    <row r="36" spans="1:10" x14ac:dyDescent="0.3">
      <c r="A36" s="1">
        <v>13</v>
      </c>
      <c r="B36" s="2">
        <f t="shared" si="0"/>
        <v>7.1999999999999995E-2</v>
      </c>
      <c r="D36" s="2" t="s">
        <v>3</v>
      </c>
      <c r="E36" s="2" t="s">
        <v>29</v>
      </c>
      <c r="F36" s="2" t="s">
        <v>30</v>
      </c>
      <c r="G36" s="2" t="s">
        <v>20</v>
      </c>
      <c r="H36" s="2" t="s">
        <v>37</v>
      </c>
      <c r="I36" s="9" t="s">
        <v>35</v>
      </c>
      <c r="J36" s="2" t="s">
        <v>39</v>
      </c>
    </row>
    <row r="37" spans="1:10" x14ac:dyDescent="0.3">
      <c r="A37" s="1">
        <v>13.5</v>
      </c>
      <c r="B37" s="2">
        <f t="shared" si="0"/>
        <v>7.3312500000000003E-2</v>
      </c>
      <c r="D37" s="2">
        <v>1</v>
      </c>
      <c r="E37" s="13">
        <f ca="1">RAND()</f>
        <v>0.15879245140455978</v>
      </c>
      <c r="F37" s="13">
        <f ca="1">RAND()</f>
        <v>0.89113543075415502</v>
      </c>
      <c r="G37" s="2">
        <f ca="1">$B$12+E37*($B$13-$B$12)</f>
        <v>8.1758490280911964</v>
      </c>
      <c r="H37" s="2">
        <f ca="1">F37*$M$20</f>
        <v>6.6835157306561629E-2</v>
      </c>
      <c r="I37" s="2">
        <f ca="1">(6/4/($B$13-$B$12))*(1-4*((G37-$B$14)/($B$13-$B$12))^2)</f>
        <v>4.0073222634447098E-2</v>
      </c>
      <c r="J37" s="2" t="str">
        <f ca="1">IF(I37&gt;H37,G37,"")</f>
        <v/>
      </c>
    </row>
    <row r="38" spans="1:10" x14ac:dyDescent="0.3">
      <c r="A38" s="1">
        <v>14</v>
      </c>
      <c r="B38" s="2">
        <f t="shared" si="0"/>
        <v>7.4249999999999997E-2</v>
      </c>
      <c r="D38" s="2">
        <v>2</v>
      </c>
      <c r="E38" s="2">
        <f t="shared" ref="E38:F61" ca="1" si="1">RAND()</f>
        <v>0.11124508988808191</v>
      </c>
      <c r="F38" s="2">
        <f t="shared" ca="1" si="1"/>
        <v>0.21825309547125504</v>
      </c>
      <c r="G38" s="2">
        <f t="shared" ref="G38:G60" ca="1" si="2">$B$12+E38*($B$13-$B$12)</f>
        <v>7.2249017977616381</v>
      </c>
      <c r="H38" s="2">
        <f t="shared" ref="H38:H60" ca="1" si="3">F38*$M$20</f>
        <v>1.6368982160344128E-2</v>
      </c>
      <c r="I38" s="2">
        <f t="shared" ref="I38:I60" ca="1" si="4">(6/4/($B$13-$B$12))*(1-4*((G38-$B$14)/($B$13-$B$12))^2)</f>
        <v>2.9660885959162345E-2</v>
      </c>
      <c r="J38" s="2">
        <f t="shared" ref="J38:J60" ca="1" si="5">IF(I38&gt;H38,G38,"")</f>
        <v>7.2249017977616381</v>
      </c>
    </row>
    <row r="39" spans="1:10" x14ac:dyDescent="0.3">
      <c r="A39" s="1">
        <v>14.5</v>
      </c>
      <c r="B39" s="2">
        <f t="shared" si="0"/>
        <v>7.4812500000000004E-2</v>
      </c>
      <c r="D39" s="2">
        <v>3</v>
      </c>
      <c r="E39" s="2">
        <f t="shared" ca="1" si="1"/>
        <v>0.35431415909175101</v>
      </c>
      <c r="F39" s="2">
        <f t="shared" ca="1" si="1"/>
        <v>0.25371915881986007</v>
      </c>
      <c r="G39" s="2">
        <f t="shared" ca="1" si="2"/>
        <v>12.08628318183502</v>
      </c>
      <c r="H39" s="2">
        <f t="shared" ca="1" si="3"/>
        <v>1.9028936911489505E-2</v>
      </c>
      <c r="I39" s="2">
        <f t="shared" ca="1" si="4"/>
        <v>6.8632690727656903E-2</v>
      </c>
      <c r="J39" s="2">
        <f t="shared" ca="1" si="5"/>
        <v>12.08628318183502</v>
      </c>
    </row>
    <row r="40" spans="1:10" x14ac:dyDescent="0.3">
      <c r="A40" s="1">
        <v>15</v>
      </c>
      <c r="B40" s="2">
        <f t="shared" si="0"/>
        <v>7.4999999999999997E-2</v>
      </c>
      <c r="D40" s="2">
        <v>4</v>
      </c>
      <c r="E40" s="2">
        <f t="shared" ca="1" si="1"/>
        <v>0.43127553166886656</v>
      </c>
      <c r="F40" s="2">
        <f t="shared" ca="1" si="1"/>
        <v>0.96599705112993628</v>
      </c>
      <c r="G40" s="2">
        <f t="shared" ca="1" si="2"/>
        <v>13.625510633377331</v>
      </c>
      <c r="H40" s="2">
        <f t="shared" ca="1" si="3"/>
        <v>7.2449778834745224E-2</v>
      </c>
      <c r="I40" s="2">
        <f t="shared" ca="1" si="4"/>
        <v>7.3583084235780902E-2</v>
      </c>
      <c r="J40" s="2">
        <f t="shared" ca="1" si="5"/>
        <v>13.625510633377331</v>
      </c>
    </row>
    <row r="41" spans="1:10" x14ac:dyDescent="0.3">
      <c r="A41" s="1">
        <v>15.5</v>
      </c>
      <c r="B41" s="2">
        <f t="shared" si="0"/>
        <v>7.4812500000000004E-2</v>
      </c>
      <c r="D41" s="2">
        <v>5</v>
      </c>
      <c r="E41" s="2">
        <f t="shared" ca="1" si="1"/>
        <v>0.91402725970437804</v>
      </c>
      <c r="F41" s="2">
        <f t="shared" ca="1" si="1"/>
        <v>8.5041782510706043E-2</v>
      </c>
      <c r="G41" s="2">
        <f t="shared" ca="1" si="2"/>
        <v>23.280545194087562</v>
      </c>
      <c r="H41" s="2">
        <f t="shared" ca="1" si="3"/>
        <v>6.3781336883029531E-3</v>
      </c>
      <c r="I41" s="2">
        <f t="shared" ca="1" si="4"/>
        <v>2.3574428466505037E-2</v>
      </c>
      <c r="J41" s="2">
        <f t="shared" ca="1" si="5"/>
        <v>23.280545194087562</v>
      </c>
    </row>
    <row r="42" spans="1:10" x14ac:dyDescent="0.3">
      <c r="A42" s="1">
        <v>16</v>
      </c>
      <c r="B42" s="2">
        <f t="shared" si="0"/>
        <v>7.4249999999999997E-2</v>
      </c>
      <c r="D42" s="2">
        <v>6</v>
      </c>
      <c r="E42" s="2">
        <f t="shared" ca="1" si="1"/>
        <v>0.38697193770857274</v>
      </c>
      <c r="F42" s="2">
        <f t="shared" ca="1" si="1"/>
        <v>0.68514675555378346</v>
      </c>
      <c r="G42" s="2">
        <f t="shared" ca="1" si="2"/>
        <v>12.739438754171456</v>
      </c>
      <c r="H42" s="2">
        <f t="shared" ca="1" si="3"/>
        <v>5.1386006666533757E-2</v>
      </c>
      <c r="I42" s="2">
        <f t="shared" ca="1" si="4"/>
        <v>7.1167397140393565E-2</v>
      </c>
      <c r="J42" s="2">
        <f t="shared" ca="1" si="5"/>
        <v>12.739438754171456</v>
      </c>
    </row>
    <row r="43" spans="1:10" x14ac:dyDescent="0.3">
      <c r="A43" s="1">
        <v>16.5</v>
      </c>
      <c r="B43" s="2">
        <f t="shared" si="0"/>
        <v>7.3312500000000003E-2</v>
      </c>
      <c r="D43" s="2">
        <v>7</v>
      </c>
      <c r="E43" s="2">
        <f t="shared" ca="1" si="1"/>
        <v>0.27152946311018777</v>
      </c>
      <c r="F43" s="2">
        <f t="shared" ca="1" si="1"/>
        <v>0.75093360113250285</v>
      </c>
      <c r="G43" s="2">
        <f t="shared" ca="1" si="2"/>
        <v>10.430589262203755</v>
      </c>
      <c r="H43" s="2">
        <f t="shared" ca="1" si="3"/>
        <v>5.6320020084937708E-2</v>
      </c>
      <c r="I43" s="2">
        <f t="shared" ca="1" si="4"/>
        <v>5.9340364131984277E-2</v>
      </c>
      <c r="J43" s="2">
        <f t="shared" ca="1" si="5"/>
        <v>10.430589262203755</v>
      </c>
    </row>
    <row r="44" spans="1:10" x14ac:dyDescent="0.3">
      <c r="A44" s="1">
        <v>17</v>
      </c>
      <c r="B44" s="2">
        <f t="shared" si="0"/>
        <v>7.1999999999999995E-2</v>
      </c>
      <c r="D44" s="2">
        <v>8</v>
      </c>
      <c r="E44" s="2">
        <f t="shared" ca="1" si="1"/>
        <v>0.93255448613344616</v>
      </c>
      <c r="F44" s="2">
        <f t="shared" ca="1" si="1"/>
        <v>6.9511964361058221E-2</v>
      </c>
      <c r="G44" s="2">
        <f t="shared" ca="1" si="2"/>
        <v>23.651089722668925</v>
      </c>
      <c r="H44" s="2">
        <f t="shared" ca="1" si="3"/>
        <v>5.213397327079366E-3</v>
      </c>
      <c r="I44" s="2">
        <f t="shared" ca="1" si="4"/>
        <v>1.8868984957749083E-2</v>
      </c>
      <c r="J44" s="2">
        <f t="shared" ca="1" si="5"/>
        <v>23.651089722668925</v>
      </c>
    </row>
    <row r="45" spans="1:10" x14ac:dyDescent="0.3">
      <c r="A45" s="1">
        <v>17.5</v>
      </c>
      <c r="B45" s="2">
        <f t="shared" si="0"/>
        <v>7.03125E-2</v>
      </c>
      <c r="D45" s="2">
        <v>9</v>
      </c>
      <c r="E45" s="2">
        <f t="shared" ca="1" si="1"/>
        <v>0.70811609343284265</v>
      </c>
      <c r="F45" s="2">
        <f t="shared" ca="1" si="1"/>
        <v>0.5399826229468826</v>
      </c>
      <c r="G45" s="2">
        <f t="shared" ca="1" si="2"/>
        <v>19.162321868656853</v>
      </c>
      <c r="H45" s="2">
        <f t="shared" ca="1" si="3"/>
        <v>4.0498696721016192E-2</v>
      </c>
      <c r="I45" s="2">
        <f t="shared" ca="1" si="4"/>
        <v>6.2006307496275684E-2</v>
      </c>
      <c r="J45" s="2">
        <f t="shared" ca="1" si="5"/>
        <v>19.162321868656853</v>
      </c>
    </row>
    <row r="46" spans="1:10" x14ac:dyDescent="0.3">
      <c r="A46" s="1">
        <v>18</v>
      </c>
      <c r="B46" s="2">
        <f t="shared" si="0"/>
        <v>6.8250000000000005E-2</v>
      </c>
      <c r="D46" s="2">
        <v>10</v>
      </c>
      <c r="E46" s="2">
        <f t="shared" ca="1" si="1"/>
        <v>0.73455761132956388</v>
      </c>
      <c r="F46" s="2">
        <f t="shared" ca="1" si="1"/>
        <v>0.87953638166104897</v>
      </c>
      <c r="G46" s="2">
        <f t="shared" ca="1" si="2"/>
        <v>19.691152226591278</v>
      </c>
      <c r="H46" s="2">
        <f t="shared" ca="1" si="3"/>
        <v>6.5965228624578667E-2</v>
      </c>
      <c r="I46" s="2">
        <f t="shared" ca="1" si="4"/>
        <v>5.8494818090210766E-2</v>
      </c>
      <c r="J46" s="2" t="str">
        <f t="shared" ca="1" si="5"/>
        <v/>
      </c>
    </row>
    <row r="47" spans="1:10" x14ac:dyDescent="0.3">
      <c r="A47" s="1">
        <v>18.5</v>
      </c>
      <c r="B47" s="2">
        <f t="shared" si="0"/>
        <v>6.5812499999999996E-2</v>
      </c>
      <c r="D47" s="2">
        <v>11</v>
      </c>
      <c r="E47" s="2">
        <f t="shared" ca="1" si="1"/>
        <v>0.70215649927877555</v>
      </c>
      <c r="F47" s="2">
        <f t="shared" ca="1" si="1"/>
        <v>0.64154686012765272</v>
      </c>
      <c r="G47" s="2">
        <f t="shared" ca="1" si="2"/>
        <v>19.043129985575511</v>
      </c>
      <c r="H47" s="2">
        <f t="shared" ca="1" si="3"/>
        <v>4.8116014509573951E-2</v>
      </c>
      <c r="I47" s="2">
        <f t="shared" ca="1" si="4"/>
        <v>6.2739824939805122E-2</v>
      </c>
      <c r="J47" s="2">
        <f t="shared" ca="1" si="5"/>
        <v>19.043129985575511</v>
      </c>
    </row>
    <row r="48" spans="1:10" x14ac:dyDescent="0.3">
      <c r="A48" s="1">
        <v>19</v>
      </c>
      <c r="B48" s="2">
        <f t="shared" si="0"/>
        <v>6.3E-2</v>
      </c>
      <c r="D48" s="2">
        <v>12</v>
      </c>
      <c r="E48" s="2">
        <f t="shared" ca="1" si="1"/>
        <v>7.2913476172325353E-2</v>
      </c>
      <c r="F48" s="2">
        <f t="shared" ca="1" si="1"/>
        <v>0.643931325351911</v>
      </c>
      <c r="G48" s="2">
        <f t="shared" ca="1" si="2"/>
        <v>6.4582695234465071</v>
      </c>
      <c r="H48" s="2">
        <f t="shared" ca="1" si="3"/>
        <v>4.8294849401393322E-2</v>
      </c>
      <c r="I48" s="2">
        <f t="shared" ca="1" si="4"/>
        <v>2.0279130349437926E-2</v>
      </c>
      <c r="J48" s="2" t="str">
        <f t="shared" ca="1" si="5"/>
        <v/>
      </c>
    </row>
    <row r="49" spans="1:10" x14ac:dyDescent="0.3">
      <c r="A49" s="1">
        <v>19.5</v>
      </c>
      <c r="B49" s="2">
        <f t="shared" si="0"/>
        <v>5.9812499999999998E-2</v>
      </c>
      <c r="D49" s="2">
        <v>13</v>
      </c>
      <c r="E49" s="2">
        <f t="shared" ca="1" si="1"/>
        <v>0.44796651879285121</v>
      </c>
      <c r="F49" s="2">
        <f t="shared" ca="1" si="1"/>
        <v>0.77873552843251548</v>
      </c>
      <c r="G49" s="2">
        <f t="shared" ca="1" si="2"/>
        <v>13.959330375857025</v>
      </c>
      <c r="H49" s="2">
        <f t="shared" ca="1" si="3"/>
        <v>5.8405164632438659E-2</v>
      </c>
      <c r="I49" s="2">
        <f t="shared" ca="1" si="4"/>
        <v>7.4187755050039578E-2</v>
      </c>
      <c r="J49" s="2">
        <f t="shared" ca="1" si="5"/>
        <v>13.959330375857025</v>
      </c>
    </row>
    <row r="50" spans="1:10" x14ac:dyDescent="0.3">
      <c r="A50" s="1">
        <v>20</v>
      </c>
      <c r="B50" s="2">
        <f t="shared" si="0"/>
        <v>5.6249999999999994E-2</v>
      </c>
      <c r="D50" s="2">
        <v>14</v>
      </c>
      <c r="E50" s="2">
        <f t="shared" ca="1" si="1"/>
        <v>0.95035330801270623</v>
      </c>
      <c r="F50" s="2">
        <f t="shared" ca="1" si="1"/>
        <v>0.41775409907433747</v>
      </c>
      <c r="G50" s="2">
        <f t="shared" ca="1" si="2"/>
        <v>24.007066160254126</v>
      </c>
      <c r="H50" s="2">
        <f t="shared" ca="1" si="3"/>
        <v>3.1331557430575308E-2</v>
      </c>
      <c r="I50" s="2">
        <f t="shared" ca="1" si="4"/>
        <v>1.4154569388603731E-2</v>
      </c>
      <c r="J50" s="2" t="str">
        <f t="shared" ca="1" si="5"/>
        <v/>
      </c>
    </row>
    <row r="51" spans="1:10" x14ac:dyDescent="0.3">
      <c r="A51" s="1">
        <v>20.5</v>
      </c>
      <c r="B51" s="2">
        <f t="shared" si="0"/>
        <v>5.2312499999999998E-2</v>
      </c>
      <c r="D51" s="2">
        <v>15</v>
      </c>
      <c r="E51" s="2">
        <f t="shared" ca="1" si="1"/>
        <v>0.82132787386199135</v>
      </c>
      <c r="F51" s="2">
        <f t="shared" ca="1" si="1"/>
        <v>0.87003943334593237</v>
      </c>
      <c r="G51" s="2">
        <f t="shared" ca="1" si="2"/>
        <v>21.426557477239825</v>
      </c>
      <c r="H51" s="2">
        <f t="shared" ca="1" si="3"/>
        <v>6.5252957500944925E-2</v>
      </c>
      <c r="I51" s="2">
        <f t="shared" ca="1" si="4"/>
        <v>4.4024519243799673E-2</v>
      </c>
      <c r="J51" s="2" t="str">
        <f t="shared" ca="1" si="5"/>
        <v/>
      </c>
    </row>
    <row r="52" spans="1:10" x14ac:dyDescent="0.3">
      <c r="A52" s="1">
        <v>21</v>
      </c>
      <c r="B52" s="2">
        <f t="shared" si="0"/>
        <v>4.8000000000000001E-2</v>
      </c>
      <c r="D52" s="2">
        <v>16</v>
      </c>
      <c r="E52" s="2">
        <f t="shared" ca="1" si="1"/>
        <v>0.80568005060903747</v>
      </c>
      <c r="F52" s="2">
        <f t="shared" ca="1" si="1"/>
        <v>0.5917936925125763</v>
      </c>
      <c r="G52" s="2">
        <f t="shared" ca="1" si="2"/>
        <v>21.113601012180748</v>
      </c>
      <c r="H52" s="2">
        <f t="shared" ca="1" si="3"/>
        <v>4.438452693844322E-2</v>
      </c>
      <c r="I52" s="2">
        <f t="shared" ca="1" si="4"/>
        <v>4.6967911997896898E-2</v>
      </c>
      <c r="J52" s="2">
        <f t="shared" ca="1" si="5"/>
        <v>21.113601012180748</v>
      </c>
    </row>
    <row r="53" spans="1:10" x14ac:dyDescent="0.3">
      <c r="A53" s="1">
        <v>21.5</v>
      </c>
      <c r="B53" s="2">
        <f t="shared" si="0"/>
        <v>4.331249999999999E-2</v>
      </c>
      <c r="D53" s="2">
        <v>17</v>
      </c>
      <c r="E53" s="2">
        <f t="shared" ca="1" si="1"/>
        <v>0.45505535776151462</v>
      </c>
      <c r="F53" s="2">
        <f t="shared" ca="1" si="1"/>
        <v>0.63947299912670985</v>
      </c>
      <c r="G53" s="2">
        <f t="shared" ca="1" si="2"/>
        <v>14.101107155230292</v>
      </c>
      <c r="H53" s="2">
        <f t="shared" ca="1" si="3"/>
        <v>4.7960474934503235E-2</v>
      </c>
      <c r="I53" s="2">
        <f t="shared" ca="1" si="4"/>
        <v>7.4393993740216366E-2</v>
      </c>
      <c r="J53" s="2">
        <f t="shared" ca="1" si="5"/>
        <v>14.101107155230292</v>
      </c>
    </row>
    <row r="54" spans="1:10" x14ac:dyDescent="0.3">
      <c r="A54" s="1">
        <v>22</v>
      </c>
      <c r="B54" s="2">
        <f t="shared" si="0"/>
        <v>3.8249999999999999E-2</v>
      </c>
      <c r="D54" s="2">
        <v>18</v>
      </c>
      <c r="E54" s="2">
        <f t="shared" ca="1" si="1"/>
        <v>0.72706637270795804</v>
      </c>
      <c r="F54" s="2">
        <f t="shared" ca="1" si="1"/>
        <v>0.9110801994434834</v>
      </c>
      <c r="G54" s="2">
        <f t="shared" ca="1" si="2"/>
        <v>19.541327454159159</v>
      </c>
      <c r="H54" s="2">
        <f t="shared" ca="1" si="3"/>
        <v>6.8331014958261257E-2</v>
      </c>
      <c r="I54" s="2">
        <f t="shared" ca="1" si="4"/>
        <v>5.9532258715575215E-2</v>
      </c>
      <c r="J54" s="2" t="str">
        <f t="shared" ca="1" si="5"/>
        <v/>
      </c>
    </row>
    <row r="55" spans="1:10" x14ac:dyDescent="0.3">
      <c r="A55" s="1">
        <v>22.5</v>
      </c>
      <c r="B55" s="2">
        <f t="shared" si="0"/>
        <v>3.2812500000000001E-2</v>
      </c>
      <c r="D55" s="2">
        <v>19</v>
      </c>
      <c r="E55" s="2">
        <f t="shared" ca="1" si="1"/>
        <v>0.35804219799563719</v>
      </c>
      <c r="F55" s="2">
        <f t="shared" ca="1" si="1"/>
        <v>0.75778373627684925</v>
      </c>
      <c r="G55" s="2">
        <f t="shared" ca="1" si="2"/>
        <v>12.160843959912743</v>
      </c>
      <c r="H55" s="2">
        <f t="shared" ca="1" si="3"/>
        <v>5.6833780220763692E-2</v>
      </c>
      <c r="I55" s="2">
        <f t="shared" ca="1" si="4"/>
        <v>6.8954394735027028E-2</v>
      </c>
      <c r="J55" s="2">
        <f t="shared" ca="1" si="5"/>
        <v>12.160843959912743</v>
      </c>
    </row>
    <row r="56" spans="1:10" x14ac:dyDescent="0.3">
      <c r="A56" s="1">
        <v>23</v>
      </c>
      <c r="B56" s="2">
        <f t="shared" si="0"/>
        <v>2.6999999999999989E-2</v>
      </c>
      <c r="D56" s="2">
        <v>20</v>
      </c>
      <c r="E56" s="2">
        <f t="shared" ca="1" si="1"/>
        <v>0.37949796523571799</v>
      </c>
      <c r="F56" s="2">
        <f t="shared" ca="1" si="1"/>
        <v>0.39988569715160494</v>
      </c>
      <c r="G56" s="2">
        <f t="shared" ca="1" si="2"/>
        <v>12.589959304714359</v>
      </c>
      <c r="H56" s="2">
        <f t="shared" ca="1" si="3"/>
        <v>2.9991427286370369E-2</v>
      </c>
      <c r="I56" s="2">
        <f t="shared" ca="1" si="4"/>
        <v>7.0643777885300324E-2</v>
      </c>
      <c r="J56" s="2">
        <f t="shared" ca="1" si="5"/>
        <v>12.589959304714359</v>
      </c>
    </row>
    <row r="57" spans="1:10" x14ac:dyDescent="0.3">
      <c r="A57" s="1">
        <v>23.5</v>
      </c>
      <c r="B57" s="2">
        <f t="shared" si="0"/>
        <v>2.0812500000000005E-2</v>
      </c>
      <c r="D57" s="2">
        <v>21</v>
      </c>
      <c r="E57" s="2">
        <f t="shared" ca="1" si="1"/>
        <v>8.6019000251840949E-2</v>
      </c>
      <c r="F57" s="2">
        <f t="shared" ca="1" si="1"/>
        <v>0.13932437566861211</v>
      </c>
      <c r="G57" s="2">
        <f t="shared" ca="1" si="2"/>
        <v>6.7203800050368194</v>
      </c>
      <c r="H57" s="2">
        <f t="shared" ca="1" si="3"/>
        <v>1.0449328175145907E-2</v>
      </c>
      <c r="I57" s="2">
        <f t="shared" ca="1" si="4"/>
        <v>2.3585919554254417E-2</v>
      </c>
      <c r="J57" s="2">
        <f t="shared" ca="1" si="5"/>
        <v>6.7203800050368194</v>
      </c>
    </row>
    <row r="58" spans="1:10" x14ac:dyDescent="0.3">
      <c r="A58" s="1">
        <v>24</v>
      </c>
      <c r="B58" s="2">
        <f t="shared" si="0"/>
        <v>1.4249999999999995E-2</v>
      </c>
      <c r="D58" s="2">
        <v>22</v>
      </c>
      <c r="E58" s="2">
        <f t="shared" ca="1" si="1"/>
        <v>0.27832639542351567</v>
      </c>
      <c r="F58" s="2">
        <f t="shared" ca="1" si="1"/>
        <v>3.0258653597452168E-2</v>
      </c>
      <c r="G58" s="2">
        <f t="shared" ca="1" si="2"/>
        <v>10.566527908470313</v>
      </c>
      <c r="H58" s="2">
        <f t="shared" ca="1" si="3"/>
        <v>2.2693990198089124E-3</v>
      </c>
      <c r="I58" s="2">
        <f t="shared" ca="1" si="4"/>
        <v>6.0258243910220527E-2</v>
      </c>
      <c r="J58" s="2">
        <f t="shared" ca="1" si="5"/>
        <v>10.566527908470313</v>
      </c>
    </row>
    <row r="59" spans="1:10" x14ac:dyDescent="0.3">
      <c r="A59" s="1">
        <v>24.5</v>
      </c>
      <c r="B59" s="2">
        <f t="shared" si="0"/>
        <v>7.3125000000000022E-3</v>
      </c>
      <c r="D59" s="2">
        <v>23</v>
      </c>
      <c r="E59" s="2">
        <f t="shared" ca="1" si="1"/>
        <v>0.59687022356522135</v>
      </c>
      <c r="F59" s="2">
        <f t="shared" ca="1" si="1"/>
        <v>0.94710934044023654</v>
      </c>
      <c r="G59" s="2">
        <f t="shared" ca="1" si="2"/>
        <v>16.937404471304426</v>
      </c>
      <c r="H59" s="2">
        <f t="shared" ca="1" si="3"/>
        <v>7.1033200533017732E-2</v>
      </c>
      <c r="I59" s="2">
        <f t="shared" ca="1" si="4"/>
        <v>7.2184847935927221E-2</v>
      </c>
      <c r="J59" s="2">
        <f t="shared" ca="1" si="5"/>
        <v>16.937404471304426</v>
      </c>
    </row>
    <row r="60" spans="1:10" x14ac:dyDescent="0.3">
      <c r="A60" s="1">
        <v>25</v>
      </c>
      <c r="B60" s="2">
        <f t="shared" si="0"/>
        <v>0</v>
      </c>
      <c r="D60" s="2">
        <v>24</v>
      </c>
      <c r="E60" s="2">
        <f t="shared" ca="1" si="1"/>
        <v>0.84034788393590898</v>
      </c>
      <c r="F60" s="2">
        <f t="shared" ca="1" si="1"/>
        <v>0.84022198912006862</v>
      </c>
      <c r="G60" s="2">
        <f t="shared" ca="1" si="2"/>
        <v>21.806957678718181</v>
      </c>
      <c r="H60" s="2">
        <f t="shared" ca="1" si="3"/>
        <v>6.3016649184005138E-2</v>
      </c>
      <c r="I60" s="2">
        <f t="shared" ca="1" si="4"/>
        <v>4.02489953701047E-2</v>
      </c>
      <c r="J60" s="2" t="str">
        <f t="shared" ca="1" si="5"/>
        <v/>
      </c>
    </row>
    <row r="61" spans="1:10" x14ac:dyDescent="0.3">
      <c r="D61" s="2">
        <v>25</v>
      </c>
      <c r="E61" s="2">
        <f t="shared" ca="1" si="1"/>
        <v>0.5504185384511161</v>
      </c>
      <c r="F61" s="2">
        <f t="shared" ca="1" si="1"/>
        <v>0.58490279310443527</v>
      </c>
      <c r="G61" s="2">
        <f t="shared" ref="G61:G64" ca="1" si="6">$B$12+E61*($B$13-$B$12)</f>
        <v>16.008370769022321</v>
      </c>
      <c r="H61" s="2">
        <f t="shared" ref="H61:H64" ca="1" si="7">F61*$M$20</f>
        <v>4.3867709482832647E-2</v>
      </c>
      <c r="I61" s="2">
        <f t="shared" ref="I61:I64" ca="1" si="8">(6/4/($B$13-$B$12))*(1-4*((G61-$B$14)/($B$13-$B$12))^2)</f>
        <v>7.4237391294135993E-2</v>
      </c>
      <c r="J61" s="2">
        <f t="shared" ref="J61:J64" ca="1" si="9">IF(I61&gt;H61,G61,"")</f>
        <v>16.008370769022321</v>
      </c>
    </row>
    <row r="62" spans="1:10" x14ac:dyDescent="0.3">
      <c r="D62" s="2">
        <v>26</v>
      </c>
      <c r="E62" s="2">
        <f t="shared" ref="E62:F76" ca="1" si="10">RAND()</f>
        <v>0.16191955409206427</v>
      </c>
      <c r="F62" s="2">
        <f t="shared" ca="1" si="10"/>
        <v>1.457464339109571E-2</v>
      </c>
      <c r="G62" s="2">
        <f t="shared" ca="1" si="6"/>
        <v>8.2383910818412858</v>
      </c>
      <c r="H62" s="2">
        <f t="shared" ca="1" si="7"/>
        <v>1.0930982543321782E-3</v>
      </c>
      <c r="I62" s="2">
        <f t="shared" ca="1" si="8"/>
        <v>4.0710483628407401E-2</v>
      </c>
      <c r="J62" s="2">
        <f t="shared" ca="1" si="9"/>
        <v>8.2383910818412858</v>
      </c>
    </row>
    <row r="63" spans="1:10" x14ac:dyDescent="0.3">
      <c r="D63" s="2">
        <v>27</v>
      </c>
      <c r="E63" s="2">
        <f t="shared" ca="1" si="10"/>
        <v>0.12314361112459515</v>
      </c>
      <c r="F63" s="2">
        <f t="shared" ca="1" si="10"/>
        <v>0.27017168259415492</v>
      </c>
      <c r="G63" s="2">
        <f t="shared" ca="1" si="6"/>
        <v>7.4628722224919031</v>
      </c>
      <c r="H63" s="2">
        <f t="shared" ca="1" si="7"/>
        <v>2.0262876194561619E-2</v>
      </c>
      <c r="I63" s="2">
        <f t="shared" ca="1" si="8"/>
        <v>3.2393778649136888E-2</v>
      </c>
      <c r="J63" s="2">
        <f t="shared" ca="1" si="9"/>
        <v>7.4628722224919031</v>
      </c>
    </row>
    <row r="64" spans="1:10" x14ac:dyDescent="0.3">
      <c r="D64" s="2">
        <v>28</v>
      </c>
      <c r="E64" s="2">
        <f t="shared" ca="1" si="10"/>
        <v>0.84215440694400212</v>
      </c>
      <c r="F64" s="2">
        <f t="shared" ca="1" si="10"/>
        <v>0.17941528088157666</v>
      </c>
      <c r="G64" s="2">
        <f t="shared" ca="1" si="6"/>
        <v>21.843088138880042</v>
      </c>
      <c r="H64" s="2">
        <f t="shared" ca="1" si="7"/>
        <v>1.3456146066118248E-2</v>
      </c>
      <c r="I64" s="2">
        <f t="shared" ca="1" si="8"/>
        <v>3.9879108542639471E-2</v>
      </c>
      <c r="J64" s="2">
        <f t="shared" ca="1" si="9"/>
        <v>21.843088138880042</v>
      </c>
    </row>
    <row r="65" spans="4:10" x14ac:dyDescent="0.3">
      <c r="D65" s="2">
        <v>29</v>
      </c>
      <c r="E65" s="2">
        <f t="shared" ca="1" si="10"/>
        <v>0.96571693356564958</v>
      </c>
      <c r="F65" s="2">
        <f t="shared" ca="1" si="10"/>
        <v>0.60919536041242606</v>
      </c>
      <c r="G65" s="2">
        <f t="shared" ref="G65:G76" ca="1" si="11">$B$12+E65*($B$13-$B$12)</f>
        <v>24.314338671312992</v>
      </c>
      <c r="H65" s="2">
        <f t="shared" ref="H65:H76" ca="1" si="12">F65*$M$20</f>
        <v>4.5689652030931956E-2</v>
      </c>
      <c r="I65" s="2">
        <f t="shared" ref="I65:I76" ca="1" si="13">(6/4/($B$13-$B$12))*(1-4*((G65-$B$14)/($B$13-$B$12))^2)</f>
        <v>9.9323213370625021E-3</v>
      </c>
      <c r="J65" s="2" t="str">
        <f t="shared" ref="J65:J76" ca="1" si="14">IF(I65&gt;H65,G65,"")</f>
        <v/>
      </c>
    </row>
    <row r="66" spans="4:10" x14ac:dyDescent="0.3">
      <c r="D66" s="2">
        <v>30</v>
      </c>
      <c r="E66" s="2">
        <f t="shared" ca="1" si="10"/>
        <v>0.46168065554781612</v>
      </c>
      <c r="F66" s="2">
        <f t="shared" ca="1" si="10"/>
        <v>0.62881229893884005</v>
      </c>
      <c r="G66" s="2">
        <f t="shared" ca="1" si="11"/>
        <v>14.233613110956323</v>
      </c>
      <c r="H66" s="2">
        <f t="shared" ca="1" si="12"/>
        <v>4.7160922420413004E-2</v>
      </c>
      <c r="I66" s="2">
        <f t="shared" ca="1" si="13"/>
        <v>7.4559488352226463E-2</v>
      </c>
      <c r="J66" s="2">
        <f t="shared" ca="1" si="14"/>
        <v>14.233613110956323</v>
      </c>
    </row>
    <row r="67" spans="4:10" x14ac:dyDescent="0.3">
      <c r="D67" s="2">
        <v>31</v>
      </c>
      <c r="E67" s="2">
        <f t="shared" ca="1" si="10"/>
        <v>0.35134463485305611</v>
      </c>
      <c r="F67" s="2">
        <f t="shared" ca="1" si="10"/>
        <v>0.4058134638764459</v>
      </c>
      <c r="G67" s="2">
        <f t="shared" ca="1" si="11"/>
        <v>12.026892697061122</v>
      </c>
      <c r="H67" s="2">
        <f t="shared" ca="1" si="12"/>
        <v>3.0436009790733441E-2</v>
      </c>
      <c r="I67" s="2">
        <f t="shared" ca="1" si="13"/>
        <v>6.8370474723908628E-2</v>
      </c>
      <c r="J67" s="2">
        <f t="shared" ca="1" si="14"/>
        <v>12.026892697061122</v>
      </c>
    </row>
    <row r="68" spans="4:10" x14ac:dyDescent="0.3">
      <c r="D68" s="2">
        <v>32</v>
      </c>
      <c r="E68" s="2">
        <f t="shared" ca="1" si="10"/>
        <v>0.36296274311410337</v>
      </c>
      <c r="F68" s="2">
        <f t="shared" ca="1" si="10"/>
        <v>0.54638213092269439</v>
      </c>
      <c r="G68" s="2">
        <f t="shared" ca="1" si="11"/>
        <v>12.259254862282067</v>
      </c>
      <c r="H68" s="2">
        <f t="shared" ca="1" si="12"/>
        <v>4.0978659819202075E-2</v>
      </c>
      <c r="I68" s="2">
        <f t="shared" ca="1" si="13"/>
        <v>6.9366237067556624E-2</v>
      </c>
      <c r="J68" s="2">
        <f t="shared" ca="1" si="14"/>
        <v>12.259254862282067</v>
      </c>
    </row>
    <row r="69" spans="4:10" x14ac:dyDescent="0.3">
      <c r="D69" s="2">
        <v>33</v>
      </c>
      <c r="E69" s="2">
        <f t="shared" ca="1" si="10"/>
        <v>0.38552704438450058</v>
      </c>
      <c r="F69" s="2">
        <f t="shared" ca="1" si="10"/>
        <v>0.88593688676653393</v>
      </c>
      <c r="G69" s="2">
        <f t="shared" ca="1" si="11"/>
        <v>12.710540887690012</v>
      </c>
      <c r="H69" s="2">
        <f t="shared" ca="1" si="12"/>
        <v>6.6445266507490039E-2</v>
      </c>
      <c r="I69" s="2">
        <f t="shared" ca="1" si="13"/>
        <v>7.1068782729795568E-2</v>
      </c>
      <c r="J69" s="2">
        <f t="shared" ca="1" si="14"/>
        <v>12.710540887690012</v>
      </c>
    </row>
    <row r="70" spans="4:10" x14ac:dyDescent="0.3">
      <c r="D70" s="2">
        <v>34</v>
      </c>
      <c r="E70" s="2">
        <f t="shared" ca="1" si="10"/>
        <v>0.48485958171350607</v>
      </c>
      <c r="F70" s="2">
        <f t="shared" ca="1" si="10"/>
        <v>0.47797179805992407</v>
      </c>
      <c r="G70" s="2">
        <f t="shared" ca="1" si="11"/>
        <v>14.697191634270121</v>
      </c>
      <c r="H70" s="2">
        <f t="shared" ca="1" si="12"/>
        <v>3.5847884854494305E-2</v>
      </c>
      <c r="I70" s="2">
        <f t="shared" ca="1" si="13"/>
        <v>7.4931230320232994E-2</v>
      </c>
      <c r="J70" s="2">
        <f t="shared" ca="1" si="14"/>
        <v>14.697191634270121</v>
      </c>
    </row>
    <row r="71" spans="4:10" x14ac:dyDescent="0.3">
      <c r="D71" s="2">
        <v>35</v>
      </c>
      <c r="E71" s="2">
        <f t="shared" ca="1" si="10"/>
        <v>0.98961034577258777</v>
      </c>
      <c r="F71" s="2">
        <f t="shared" ca="1" si="10"/>
        <v>0.535192590304577</v>
      </c>
      <c r="G71" s="2">
        <f t="shared" ca="1" si="11"/>
        <v>24.792206915451757</v>
      </c>
      <c r="H71" s="2">
        <f t="shared" ca="1" si="12"/>
        <v>4.0139444272843272E-2</v>
      </c>
      <c r="I71" s="2">
        <f t="shared" ca="1" si="13"/>
        <v>3.0845127937340787E-3</v>
      </c>
      <c r="J71" s="2" t="str">
        <f t="shared" ca="1" si="14"/>
        <v/>
      </c>
    </row>
    <row r="72" spans="4:10" x14ac:dyDescent="0.3">
      <c r="D72" s="2">
        <v>36</v>
      </c>
      <c r="E72" s="2">
        <f t="shared" ca="1" si="10"/>
        <v>0.74257246954568745</v>
      </c>
      <c r="F72" s="2">
        <f t="shared" ca="1" si="10"/>
        <v>0.61664576985495123</v>
      </c>
      <c r="G72" s="2">
        <f t="shared" ca="1" si="11"/>
        <v>19.85144939091375</v>
      </c>
      <c r="H72" s="2">
        <f t="shared" ca="1" si="12"/>
        <v>4.624843273912134E-2</v>
      </c>
      <c r="I72" s="2">
        <f t="shared" ca="1" si="13"/>
        <v>5.7347579105551952E-2</v>
      </c>
      <c r="J72" s="2">
        <f t="shared" ca="1" si="14"/>
        <v>19.85144939091375</v>
      </c>
    </row>
    <row r="73" spans="4:10" x14ac:dyDescent="0.3">
      <c r="D73" s="2">
        <v>37</v>
      </c>
      <c r="E73" s="2">
        <f t="shared" ca="1" si="10"/>
        <v>1.1253161035085335E-2</v>
      </c>
      <c r="F73" s="2">
        <f t="shared" ca="1" si="10"/>
        <v>0.93304488025143306</v>
      </c>
      <c r="G73" s="2">
        <f t="shared" ca="1" si="11"/>
        <v>5.2250632207017063</v>
      </c>
      <c r="H73" s="2">
        <f t="shared" ca="1" si="12"/>
        <v>6.9978366018857471E-2</v>
      </c>
      <c r="I73" s="2">
        <f t="shared" ca="1" si="13"/>
        <v>3.3379582205411346E-3</v>
      </c>
      <c r="J73" s="2" t="str">
        <f t="shared" ca="1" si="14"/>
        <v/>
      </c>
    </row>
    <row r="74" spans="4:10" x14ac:dyDescent="0.3">
      <c r="D74" s="2">
        <v>38</v>
      </c>
      <c r="E74" s="2">
        <f t="shared" ca="1" si="10"/>
        <v>0.72101898554631971</v>
      </c>
      <c r="F74" s="2">
        <f t="shared" ca="1" si="10"/>
        <v>0.96440313433454528</v>
      </c>
      <c r="G74" s="2">
        <f t="shared" ca="1" si="11"/>
        <v>19.420379710926394</v>
      </c>
      <c r="H74" s="2">
        <f t="shared" ca="1" si="12"/>
        <v>7.2330235075090898E-2</v>
      </c>
      <c r="I74" s="2">
        <f t="shared" ca="1" si="13"/>
        <v>6.034518240842271E-2</v>
      </c>
      <c r="J74" s="2" t="str">
        <f t="shared" ca="1" si="14"/>
        <v/>
      </c>
    </row>
    <row r="75" spans="4:10" x14ac:dyDescent="0.3">
      <c r="D75" s="2">
        <v>39</v>
      </c>
      <c r="E75" s="2">
        <f t="shared" ca="1" si="10"/>
        <v>0.89192739898187867</v>
      </c>
      <c r="F75" s="2">
        <f t="shared" ca="1" si="10"/>
        <v>0.96567613111092776</v>
      </c>
      <c r="G75" s="2">
        <f t="shared" ca="1" si="11"/>
        <v>22.838547979637575</v>
      </c>
      <c r="H75" s="2">
        <f t="shared" ca="1" si="12"/>
        <v>7.2425709833319585E-2</v>
      </c>
      <c r="I75" s="2">
        <f t="shared" ca="1" si="13"/>
        <v>2.8917874178189768E-2</v>
      </c>
      <c r="J75" s="2" t="str">
        <f t="shared" ca="1" si="14"/>
        <v/>
      </c>
    </row>
    <row r="76" spans="4:10" x14ac:dyDescent="0.3">
      <c r="D76" s="2">
        <v>40</v>
      </c>
      <c r="E76" s="2">
        <f t="shared" ca="1" si="10"/>
        <v>0.24367375242971923</v>
      </c>
      <c r="F76" s="2">
        <f t="shared" ca="1" si="10"/>
        <v>0.92508220374457173</v>
      </c>
      <c r="G76" s="2">
        <f t="shared" ca="1" si="11"/>
        <v>9.8734750485943845</v>
      </c>
      <c r="H76" s="2">
        <f t="shared" ca="1" si="12"/>
        <v>6.9381165280842871E-2</v>
      </c>
      <c r="I76" s="2">
        <f t="shared" ca="1" si="13"/>
        <v>5.5289056441961734E-2</v>
      </c>
      <c r="J76" s="2" t="str">
        <f t="shared" ca="1" si="14"/>
        <v/>
      </c>
    </row>
    <row r="77" spans="4:10" ht="15.6" x14ac:dyDescent="0.3">
      <c r="I77" s="18" t="s">
        <v>11</v>
      </c>
      <c r="J77" s="18">
        <f ca="1">AVERAGE(J57:J76)</f>
        <v>13.350459783093886</v>
      </c>
    </row>
    <row r="78" spans="4:10" ht="16.8" x14ac:dyDescent="0.3">
      <c r="I78" s="18" t="s">
        <v>12</v>
      </c>
      <c r="J78" s="18">
        <f ca="1">_xlfn.VAR.S(J57:J76)</f>
        <v>21.06409451621073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autoPict="0" r:id="rId4">
            <anchor moveWithCells="1">
              <from>
                <xdr:col>11</xdr:col>
                <xdr:colOff>7620</xdr:colOff>
                <xdr:row>50</xdr:row>
                <xdr:rowOff>0</xdr:rowOff>
              </from>
              <to>
                <xdr:col>12</xdr:col>
                <xdr:colOff>228600</xdr:colOff>
                <xdr:row>52</xdr:row>
                <xdr:rowOff>68580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M55"/>
  <sheetViews>
    <sheetView topLeftCell="A31" zoomScale="70" zoomScaleNormal="70" workbookViewId="0"/>
  </sheetViews>
  <sheetFormatPr defaultRowHeight="14.4" x14ac:dyDescent="0.3"/>
  <cols>
    <col min="2" max="2" width="11.5546875" bestFit="1" customWidth="1"/>
    <col min="3" max="3" width="12.109375" bestFit="1" customWidth="1"/>
  </cols>
  <sheetData>
    <row r="1" spans="2:2" ht="21" x14ac:dyDescent="0.4">
      <c r="B1" s="7" t="s">
        <v>40</v>
      </c>
    </row>
    <row r="3" spans="2:2" x14ac:dyDescent="0.3">
      <c r="B3" t="s">
        <v>41</v>
      </c>
    </row>
    <row r="9" spans="2:2" x14ac:dyDescent="0.3">
      <c r="B9" t="s">
        <v>42</v>
      </c>
    </row>
    <row r="17" spans="1:13" x14ac:dyDescent="0.3">
      <c r="K17" t="s">
        <v>66</v>
      </c>
    </row>
    <row r="18" spans="1:13" ht="21" x14ac:dyDescent="0.3">
      <c r="A18" s="28" t="s">
        <v>43</v>
      </c>
      <c r="B18" s="28"/>
      <c r="K18" s="2" t="s">
        <v>67</v>
      </c>
      <c r="L18" s="2" t="s">
        <v>35</v>
      </c>
      <c r="M18" s="2" t="s">
        <v>68</v>
      </c>
    </row>
    <row r="19" spans="1:13" x14ac:dyDescent="0.3">
      <c r="K19" s="2">
        <v>0</v>
      </c>
      <c r="L19" s="2">
        <f>(K19/$B$27^2)*EXP(-((K19/$B$27)^2)/2)</f>
        <v>0</v>
      </c>
      <c r="M19" s="2">
        <f>1-EXP(-((K19/$B$27)^2)/2)</f>
        <v>0</v>
      </c>
    </row>
    <row r="20" spans="1:13" x14ac:dyDescent="0.3">
      <c r="K20" s="2">
        <v>1</v>
      </c>
      <c r="L20" s="2">
        <f t="shared" ref="L20:L29" si="0">(K20/$B$27^2)*EXP(-((K20/$B$27)^2)/2)</f>
        <v>0.355883290185248</v>
      </c>
      <c r="M20" s="2">
        <f t="shared" ref="M20:M29" si="1">1-EXP(-((K20/$B$27)^2)/2)</f>
        <v>0.19926259708319194</v>
      </c>
    </row>
    <row r="21" spans="1:13" x14ac:dyDescent="0.3">
      <c r="K21" s="2">
        <v>2</v>
      </c>
      <c r="L21" s="2">
        <f t="shared" si="0"/>
        <v>0.36543314711749991</v>
      </c>
      <c r="M21" s="2">
        <f t="shared" si="1"/>
        <v>0.58888770949281255</v>
      </c>
    </row>
    <row r="22" spans="1:13" x14ac:dyDescent="0.3">
      <c r="K22" s="2">
        <v>3</v>
      </c>
      <c r="L22" s="2">
        <f t="shared" si="0"/>
        <v>0.18044704431548358</v>
      </c>
      <c r="M22" s="2">
        <f t="shared" si="1"/>
        <v>0.8646647167633873</v>
      </c>
    </row>
    <row r="23" spans="1:13" x14ac:dyDescent="0.3">
      <c r="K23" s="2">
        <v>4</v>
      </c>
      <c r="L23" s="2">
        <f t="shared" si="0"/>
        <v>5.0783112505867332E-2</v>
      </c>
      <c r="M23" s="2">
        <f t="shared" si="1"/>
        <v>0.97143449921544966</v>
      </c>
    </row>
    <row r="24" spans="1:13" x14ac:dyDescent="0.3">
      <c r="K24" s="2">
        <v>5</v>
      </c>
      <c r="L24" s="2">
        <f t="shared" si="0"/>
        <v>8.5909336432728987E-3</v>
      </c>
      <c r="M24" s="2">
        <f t="shared" si="1"/>
        <v>0.99613407986052716</v>
      </c>
    </row>
    <row r="25" spans="1:13" x14ac:dyDescent="0.3">
      <c r="K25" s="2">
        <v>6</v>
      </c>
      <c r="L25" s="2">
        <f t="shared" si="0"/>
        <v>8.9456700774003157E-4</v>
      </c>
      <c r="M25" s="2">
        <f t="shared" si="1"/>
        <v>0.99966453737209748</v>
      </c>
    </row>
    <row r="26" spans="1:13" x14ac:dyDescent="0.3">
      <c r="K26" s="2">
        <v>7</v>
      </c>
      <c r="L26" s="2">
        <f t="shared" si="0"/>
        <v>5.8067237242063896E-5</v>
      </c>
      <c r="M26" s="2">
        <f t="shared" si="1"/>
        <v>0.99998133553088653</v>
      </c>
    </row>
    <row r="27" spans="1:13" x14ac:dyDescent="0.3">
      <c r="A27" s="2" t="s">
        <v>44</v>
      </c>
      <c r="B27" s="2">
        <v>1.5</v>
      </c>
      <c r="K27" s="2">
        <v>8</v>
      </c>
      <c r="L27" s="2">
        <f t="shared" si="0"/>
        <v>2.3674174115048229E-6</v>
      </c>
      <c r="M27" s="2">
        <f t="shared" si="1"/>
        <v>0.999999334163853</v>
      </c>
    </row>
    <row r="28" spans="1:13" ht="15.6" x14ac:dyDescent="0.3">
      <c r="A28" s="2" t="s">
        <v>46</v>
      </c>
      <c r="B28" s="2">
        <f>SQRT(PI()/2)*$B$27</f>
        <v>1.8799712059732503</v>
      </c>
      <c r="K28" s="2">
        <v>9</v>
      </c>
      <c r="L28" s="2">
        <f t="shared" si="0"/>
        <v>6.0919918978850517E-8</v>
      </c>
      <c r="M28" s="2">
        <f t="shared" si="1"/>
        <v>0.99999998477002028</v>
      </c>
    </row>
    <row r="29" spans="1:13" ht="16.8" x14ac:dyDescent="0.3">
      <c r="A29" s="8" t="s">
        <v>45</v>
      </c>
      <c r="B29" s="2">
        <f>(2-PI()/2)*$B$27^2</f>
        <v>0.96570826471148274</v>
      </c>
      <c r="K29" s="2">
        <v>10</v>
      </c>
      <c r="L29" s="2">
        <f t="shared" si="0"/>
        <v>9.9272508275695922E-10</v>
      </c>
      <c r="M29" s="2">
        <f t="shared" si="1"/>
        <v>0.99999999977663689</v>
      </c>
    </row>
    <row r="30" spans="1:13" ht="15.6" x14ac:dyDescent="0.3">
      <c r="A30" s="8" t="s">
        <v>47</v>
      </c>
      <c r="B30" s="2">
        <f>SQRT($B$29)</f>
        <v>0.98270456634305037</v>
      </c>
    </row>
    <row r="33" spans="1:3" x14ac:dyDescent="0.3">
      <c r="A33" s="2" t="s">
        <v>3</v>
      </c>
      <c r="B33" s="2" t="s">
        <v>29</v>
      </c>
      <c r="C33" s="2" t="s">
        <v>20</v>
      </c>
    </row>
    <row r="34" spans="1:3" x14ac:dyDescent="0.3">
      <c r="A34" s="2">
        <v>1</v>
      </c>
      <c r="B34" s="13">
        <f ca="1">RAND()</f>
        <v>0.17039979545821071</v>
      </c>
      <c r="C34" s="2">
        <f ca="1">$B$27*SQRT(2*LN(1/(1-B34)))</f>
        <v>0.91687032333074192</v>
      </c>
    </row>
    <row r="35" spans="1:3" x14ac:dyDescent="0.3">
      <c r="A35" s="2">
        <v>2</v>
      </c>
      <c r="B35" s="2">
        <f t="shared" ref="B35:B53" ca="1" si="2">RAND()</f>
        <v>0.54123954340366343</v>
      </c>
      <c r="C35" s="2">
        <f t="shared" ref="C35:C53" ca="1" si="3">$B$27*SQRT(2*LN(1/(1-B35)))</f>
        <v>1.8725709300082283</v>
      </c>
    </row>
    <row r="36" spans="1:3" x14ac:dyDescent="0.3">
      <c r="A36" s="2">
        <v>3</v>
      </c>
      <c r="B36" s="2">
        <f t="shared" ca="1" si="2"/>
        <v>7.7712594334999552E-2</v>
      </c>
      <c r="C36" s="2">
        <f t="shared" ca="1" si="3"/>
        <v>0.60335953531408593</v>
      </c>
    </row>
    <row r="37" spans="1:3" x14ac:dyDescent="0.3">
      <c r="A37" s="2">
        <v>4</v>
      </c>
      <c r="B37" s="2">
        <f t="shared" ca="1" si="2"/>
        <v>2.9252327839635162E-2</v>
      </c>
      <c r="C37" s="2">
        <f t="shared" ca="1" si="3"/>
        <v>0.36551222632370384</v>
      </c>
    </row>
    <row r="38" spans="1:3" x14ac:dyDescent="0.3">
      <c r="A38" s="2">
        <v>5</v>
      </c>
      <c r="B38" s="2">
        <f t="shared" ca="1" si="2"/>
        <v>0.43441852484345778</v>
      </c>
      <c r="C38" s="2">
        <f t="shared" ca="1" si="3"/>
        <v>1.6014225328429248</v>
      </c>
    </row>
    <row r="39" spans="1:3" x14ac:dyDescent="0.3">
      <c r="A39" s="2">
        <v>6</v>
      </c>
      <c r="B39" s="2">
        <f t="shared" ca="1" si="2"/>
        <v>0.8633529500102799</v>
      </c>
      <c r="C39" s="2">
        <f t="shared" ca="1" si="3"/>
        <v>2.9927567220067894</v>
      </c>
    </row>
    <row r="40" spans="1:3" x14ac:dyDescent="0.3">
      <c r="A40" s="2">
        <v>7</v>
      </c>
      <c r="B40" s="2">
        <f t="shared" ca="1" si="2"/>
        <v>0.54547515749113729</v>
      </c>
      <c r="C40" s="2">
        <f t="shared" ca="1" si="3"/>
        <v>1.8836831435855388</v>
      </c>
    </row>
    <row r="41" spans="1:3" x14ac:dyDescent="0.3">
      <c r="A41" s="2">
        <v>8</v>
      </c>
      <c r="B41" s="2">
        <f t="shared" ca="1" si="2"/>
        <v>0.61046258117964214</v>
      </c>
      <c r="C41" s="2">
        <f t="shared" ca="1" si="3"/>
        <v>2.0597521871386624</v>
      </c>
    </row>
    <row r="42" spans="1:3" x14ac:dyDescent="0.3">
      <c r="A42" s="2">
        <v>9</v>
      </c>
      <c r="B42" s="2">
        <f t="shared" ca="1" si="2"/>
        <v>0.14891172540848452</v>
      </c>
      <c r="C42" s="2">
        <f t="shared" ca="1" si="3"/>
        <v>0.85180832006743468</v>
      </c>
    </row>
    <row r="43" spans="1:3" x14ac:dyDescent="0.3">
      <c r="A43" s="2">
        <v>10</v>
      </c>
      <c r="B43" s="2">
        <f t="shared" ca="1" si="2"/>
        <v>0.35277730200047153</v>
      </c>
      <c r="C43" s="2">
        <f t="shared" ca="1" si="3"/>
        <v>1.3992111322104714</v>
      </c>
    </row>
    <row r="44" spans="1:3" x14ac:dyDescent="0.3">
      <c r="A44" s="2">
        <v>11</v>
      </c>
      <c r="B44" s="2">
        <f t="shared" ca="1" si="2"/>
        <v>0.90169156406849804</v>
      </c>
      <c r="C44" s="2">
        <f t="shared" ca="1" si="3"/>
        <v>3.230851972435222</v>
      </c>
    </row>
    <row r="45" spans="1:3" x14ac:dyDescent="0.3">
      <c r="A45" s="2">
        <v>12</v>
      </c>
      <c r="B45" s="2">
        <f t="shared" ca="1" si="2"/>
        <v>0.30459415883750018</v>
      </c>
      <c r="C45" s="2">
        <f t="shared" ca="1" si="3"/>
        <v>1.2785415397140929</v>
      </c>
    </row>
    <row r="46" spans="1:3" x14ac:dyDescent="0.3">
      <c r="A46" s="2">
        <v>13</v>
      </c>
      <c r="B46" s="2">
        <f t="shared" ca="1" si="2"/>
        <v>0.60647295992804273</v>
      </c>
      <c r="C46" s="2">
        <f t="shared" ca="1" si="3"/>
        <v>2.04859091449647</v>
      </c>
    </row>
    <row r="47" spans="1:3" x14ac:dyDescent="0.3">
      <c r="A47" s="2">
        <v>14</v>
      </c>
      <c r="B47" s="2">
        <f t="shared" ca="1" si="2"/>
        <v>0.45282131528729086</v>
      </c>
      <c r="C47" s="2">
        <f t="shared" ca="1" si="3"/>
        <v>1.6472429695214308</v>
      </c>
    </row>
    <row r="48" spans="1:3" x14ac:dyDescent="0.3">
      <c r="A48" s="2">
        <v>15</v>
      </c>
      <c r="B48" s="2">
        <f t="shared" ca="1" si="2"/>
        <v>0.90596125474228639</v>
      </c>
      <c r="C48" s="2">
        <f t="shared" ca="1" si="3"/>
        <v>3.2616280890372686</v>
      </c>
    </row>
    <row r="49" spans="1:3" x14ac:dyDescent="0.3">
      <c r="A49" s="2">
        <v>16</v>
      </c>
      <c r="B49" s="2">
        <f t="shared" ca="1" si="2"/>
        <v>0.41488099016372149</v>
      </c>
      <c r="C49" s="2">
        <f t="shared" ca="1" si="3"/>
        <v>1.5529745895226952</v>
      </c>
    </row>
    <row r="50" spans="1:3" x14ac:dyDescent="0.3">
      <c r="A50" s="2">
        <v>17</v>
      </c>
      <c r="B50" s="2">
        <f t="shared" ca="1" si="2"/>
        <v>0.21074348283250566</v>
      </c>
      <c r="C50" s="2">
        <f t="shared" ca="1" si="3"/>
        <v>1.0319823272317463</v>
      </c>
    </row>
    <row r="51" spans="1:3" x14ac:dyDescent="0.3">
      <c r="A51" s="2">
        <v>18</v>
      </c>
      <c r="B51" s="2">
        <f t="shared" ca="1" si="2"/>
        <v>0.71214133960284087</v>
      </c>
      <c r="C51" s="2">
        <f t="shared" ca="1" si="3"/>
        <v>2.3672316253774692</v>
      </c>
    </row>
    <row r="52" spans="1:3" x14ac:dyDescent="0.3">
      <c r="A52" s="2">
        <v>19</v>
      </c>
      <c r="B52" s="2">
        <f t="shared" ca="1" si="2"/>
        <v>0.91933369042361246</v>
      </c>
      <c r="C52" s="2">
        <f t="shared" ca="1" si="3"/>
        <v>3.3657769098813723</v>
      </c>
    </row>
    <row r="53" spans="1:3" x14ac:dyDescent="0.3">
      <c r="A53" s="2">
        <v>20</v>
      </c>
      <c r="B53" s="2">
        <f t="shared" ca="1" si="2"/>
        <v>0.57276494928253885</v>
      </c>
      <c r="C53" s="2">
        <f t="shared" ca="1" si="3"/>
        <v>1.9562449391986194</v>
      </c>
    </row>
    <row r="54" spans="1:3" ht="15.6" x14ac:dyDescent="0.3">
      <c r="B54" s="18" t="s">
        <v>11</v>
      </c>
      <c r="C54" s="18">
        <f ca="1">AVERAGE(C34:C53)</f>
        <v>1.8144006464622482</v>
      </c>
    </row>
    <row r="55" spans="1:3" ht="16.8" x14ac:dyDescent="0.3">
      <c r="B55" s="18" t="s">
        <v>12</v>
      </c>
      <c r="C55" s="18">
        <f ca="1">_xlfn.VAR.S(C34:C53)</f>
        <v>0.78191867194779785</v>
      </c>
    </row>
  </sheetData>
  <mergeCells count="1">
    <mergeCell ref="A18:B1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autoPict="0" r:id="rId4">
            <anchor moveWithCells="1">
              <from>
                <xdr:col>5</xdr:col>
                <xdr:colOff>228600</xdr:colOff>
                <xdr:row>30</xdr:row>
                <xdr:rowOff>60960</xdr:rowOff>
              </from>
              <to>
                <xdr:col>6</xdr:col>
                <xdr:colOff>251460</xdr:colOff>
                <xdr:row>32</xdr:row>
                <xdr:rowOff>30480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T40"/>
  <sheetViews>
    <sheetView zoomScale="85" zoomScaleNormal="85" workbookViewId="0"/>
  </sheetViews>
  <sheetFormatPr defaultRowHeight="14.4" x14ac:dyDescent="0.3"/>
  <cols>
    <col min="19" max="19" width="5.6640625" customWidth="1"/>
  </cols>
  <sheetData>
    <row r="1" spans="1:20" ht="21" x14ac:dyDescent="0.4">
      <c r="B1" s="7" t="s">
        <v>48</v>
      </c>
    </row>
    <row r="2" spans="1:20" x14ac:dyDescent="0.3">
      <c r="N2" s="16"/>
      <c r="O2" s="16"/>
      <c r="P2" s="17"/>
    </row>
    <row r="11" spans="1:20" x14ac:dyDescent="0.3">
      <c r="A11" t="s">
        <v>49</v>
      </c>
      <c r="K11" t="s">
        <v>73</v>
      </c>
      <c r="O11" t="s">
        <v>76</v>
      </c>
    </row>
    <row r="12" spans="1:20" x14ac:dyDescent="0.3">
      <c r="A12" s="2" t="s">
        <v>1</v>
      </c>
      <c r="B12" s="2">
        <v>0</v>
      </c>
    </row>
    <row r="13" spans="1:20" ht="16.2" thickBot="1" x14ac:dyDescent="0.35">
      <c r="A13" s="2" t="s">
        <v>2</v>
      </c>
      <c r="B13" s="2" t="s">
        <v>50</v>
      </c>
      <c r="C13" s="2" t="s">
        <v>54</v>
      </c>
      <c r="D13" s="26">
        <v>1</v>
      </c>
      <c r="H13">
        <v>0</v>
      </c>
      <c r="I13" s="21"/>
      <c r="J13" s="20"/>
      <c r="K13" s="20"/>
      <c r="L13" s="22"/>
      <c r="M13" s="20"/>
      <c r="N13" s="20"/>
      <c r="O13" s="22"/>
      <c r="P13" s="20"/>
      <c r="Q13" s="22"/>
      <c r="R13" s="23"/>
      <c r="S13" s="22"/>
      <c r="T13" s="17">
        <v>1</v>
      </c>
    </row>
    <row r="14" spans="1:20" ht="15.6" x14ac:dyDescent="0.35">
      <c r="A14" s="2" t="s">
        <v>1</v>
      </c>
      <c r="B14" s="2" t="s">
        <v>51</v>
      </c>
      <c r="C14" s="2" t="s">
        <v>54</v>
      </c>
      <c r="D14" s="2" t="s">
        <v>53</v>
      </c>
      <c r="L14" s="24" t="s">
        <v>54</v>
      </c>
      <c r="O14" s="24" t="s">
        <v>55</v>
      </c>
      <c r="Q14" s="24" t="s">
        <v>74</v>
      </c>
    </row>
    <row r="15" spans="1:20" ht="16.2" x14ac:dyDescent="0.3">
      <c r="A15" s="2" t="s">
        <v>2</v>
      </c>
      <c r="B15" s="2" t="s">
        <v>52</v>
      </c>
      <c r="C15" s="2" t="s">
        <v>55</v>
      </c>
      <c r="D15" s="2" t="s">
        <v>56</v>
      </c>
      <c r="E15" s="26">
        <v>2</v>
      </c>
      <c r="K15" t="s">
        <v>77</v>
      </c>
    </row>
    <row r="16" spans="1:20" x14ac:dyDescent="0.3">
      <c r="B16" s="2" t="s">
        <v>58</v>
      </c>
      <c r="C16" s="2" t="s">
        <v>51</v>
      </c>
    </row>
    <row r="17" spans="1:11" ht="16.2" x14ac:dyDescent="0.3">
      <c r="A17" s="2" t="s">
        <v>57</v>
      </c>
      <c r="B17" s="2" t="s">
        <v>59</v>
      </c>
      <c r="C17" s="2" t="s">
        <v>60</v>
      </c>
      <c r="D17" s="27" t="s">
        <v>57</v>
      </c>
    </row>
    <row r="19" spans="1:11" ht="26.4" x14ac:dyDescent="0.45">
      <c r="A19" s="14" t="s">
        <v>65</v>
      </c>
      <c r="C19" s="25" t="s">
        <v>75</v>
      </c>
      <c r="J19" s="2" t="s">
        <v>63</v>
      </c>
      <c r="K19" s="12">
        <v>2</v>
      </c>
    </row>
    <row r="20" spans="1:11" ht="15.6" x14ac:dyDescent="0.3">
      <c r="A20" s="2" t="s">
        <v>3</v>
      </c>
      <c r="B20" s="2" t="s">
        <v>61</v>
      </c>
      <c r="C20" s="2" t="s">
        <v>62</v>
      </c>
      <c r="D20" s="2" t="s">
        <v>70</v>
      </c>
      <c r="I20" s="11" t="s">
        <v>64</v>
      </c>
      <c r="J20" s="11" t="s">
        <v>71</v>
      </c>
    </row>
    <row r="21" spans="1:11" x14ac:dyDescent="0.3">
      <c r="A21" s="2">
        <v>1</v>
      </c>
      <c r="B21" s="10">
        <v>7.3953330516815186E-2</v>
      </c>
      <c r="C21" s="18">
        <v>1</v>
      </c>
      <c r="D21" s="2">
        <v>0.15000000000000002</v>
      </c>
      <c r="I21" s="11">
        <f t="shared" ref="I21:I40" si="0">C21*$K$19</f>
        <v>2</v>
      </c>
      <c r="J21" s="11">
        <f>I21</f>
        <v>2</v>
      </c>
    </row>
    <row r="22" spans="1:11" x14ac:dyDescent="0.3">
      <c r="A22" s="2">
        <v>2</v>
      </c>
      <c r="B22" s="10">
        <v>0.10545265674591064</v>
      </c>
      <c r="C22" s="18">
        <v>1</v>
      </c>
      <c r="D22" s="2">
        <v>0.15000000000000002</v>
      </c>
      <c r="I22" s="11">
        <f t="shared" si="0"/>
        <v>2</v>
      </c>
      <c r="J22" s="11">
        <f>J21+I22</f>
        <v>4</v>
      </c>
    </row>
    <row r="23" spans="1:11" x14ac:dyDescent="0.3">
      <c r="A23" s="2">
        <v>3</v>
      </c>
      <c r="B23" s="10">
        <v>0.33169442415237427</v>
      </c>
      <c r="C23" s="18">
        <v>3</v>
      </c>
      <c r="D23" s="2">
        <v>0.108375</v>
      </c>
      <c r="I23" s="11">
        <f t="shared" si="0"/>
        <v>6</v>
      </c>
      <c r="J23" s="11">
        <f t="shared" ref="J23:J40" si="1">J22+I23</f>
        <v>10</v>
      </c>
    </row>
    <row r="24" spans="1:11" x14ac:dyDescent="0.3">
      <c r="A24" s="2">
        <v>4</v>
      </c>
      <c r="B24" s="10">
        <v>0.1282498836517334</v>
      </c>
      <c r="C24" s="18">
        <v>1</v>
      </c>
      <c r="D24" s="2">
        <v>0.15000000000000002</v>
      </c>
      <c r="I24" s="11">
        <f t="shared" si="0"/>
        <v>2</v>
      </c>
      <c r="J24" s="11">
        <f t="shared" si="1"/>
        <v>12</v>
      </c>
    </row>
    <row r="25" spans="1:11" x14ac:dyDescent="0.3">
      <c r="A25" s="2">
        <v>5</v>
      </c>
      <c r="B25" s="10">
        <v>2.4121999740600586E-4</v>
      </c>
      <c r="C25" s="18">
        <v>1</v>
      </c>
      <c r="D25" s="2">
        <v>0.15000000000000002</v>
      </c>
      <c r="I25" s="11">
        <f t="shared" si="0"/>
        <v>2</v>
      </c>
      <c r="J25" s="11">
        <f t="shared" si="1"/>
        <v>14</v>
      </c>
    </row>
    <row r="26" spans="1:11" x14ac:dyDescent="0.3">
      <c r="A26" s="2">
        <v>6</v>
      </c>
      <c r="B26" s="10">
        <v>0.53679406642913818</v>
      </c>
      <c r="C26" s="18">
        <v>5</v>
      </c>
      <c r="D26" s="2">
        <v>7.8300937500000001E-2</v>
      </c>
      <c r="I26" s="11">
        <f t="shared" si="0"/>
        <v>10</v>
      </c>
      <c r="J26" s="11">
        <f t="shared" si="1"/>
        <v>24</v>
      </c>
    </row>
    <row r="27" spans="1:11" x14ac:dyDescent="0.3">
      <c r="A27" s="2">
        <v>7</v>
      </c>
      <c r="B27" s="10">
        <v>0.65705496072769165</v>
      </c>
      <c r="C27" s="18">
        <v>7</v>
      </c>
      <c r="D27" s="2">
        <v>5.6572427343749995E-2</v>
      </c>
      <c r="I27" s="11">
        <f t="shared" si="0"/>
        <v>14</v>
      </c>
      <c r="J27" s="11">
        <f t="shared" si="1"/>
        <v>38</v>
      </c>
    </row>
    <row r="28" spans="1:11" x14ac:dyDescent="0.3">
      <c r="A28" s="2">
        <v>8</v>
      </c>
      <c r="B28" s="10">
        <v>0.54401397705078125</v>
      </c>
      <c r="C28" s="18">
        <v>5</v>
      </c>
      <c r="D28" s="2">
        <v>7.8300937500000001E-2</v>
      </c>
      <c r="I28" s="11">
        <f t="shared" si="0"/>
        <v>10</v>
      </c>
      <c r="J28" s="11">
        <f t="shared" si="1"/>
        <v>48</v>
      </c>
    </row>
    <row r="29" spans="1:11" x14ac:dyDescent="0.3">
      <c r="A29" s="2">
        <v>9</v>
      </c>
      <c r="B29" s="10">
        <v>0.82741183042526245</v>
      </c>
      <c r="C29" s="18">
        <v>11</v>
      </c>
      <c r="D29" s="2">
        <v>2.9531160651108394E-2</v>
      </c>
      <c r="I29" s="11">
        <f t="shared" si="0"/>
        <v>22</v>
      </c>
      <c r="J29" s="11">
        <f t="shared" si="1"/>
        <v>70</v>
      </c>
    </row>
    <row r="30" spans="1:11" x14ac:dyDescent="0.3">
      <c r="A30" s="2">
        <v>10</v>
      </c>
      <c r="B30" s="10">
        <v>8.1893563270568848E-2</v>
      </c>
      <c r="C30" s="18">
        <v>1</v>
      </c>
      <c r="D30" s="2">
        <v>0.15000000000000002</v>
      </c>
      <c r="I30" s="11">
        <f t="shared" si="0"/>
        <v>2</v>
      </c>
      <c r="J30" s="11">
        <f t="shared" si="1"/>
        <v>72</v>
      </c>
    </row>
    <row r="31" spans="1:11" x14ac:dyDescent="0.3">
      <c r="A31" s="2">
        <v>11</v>
      </c>
      <c r="B31" s="10">
        <v>0.19192248582839966</v>
      </c>
      <c r="C31" s="18">
        <v>2</v>
      </c>
      <c r="D31" s="2">
        <v>0.1275</v>
      </c>
      <c r="I31" s="11">
        <f t="shared" si="0"/>
        <v>4</v>
      </c>
      <c r="J31" s="11">
        <f t="shared" si="1"/>
        <v>76</v>
      </c>
    </row>
    <row r="32" spans="1:11" x14ac:dyDescent="0.3">
      <c r="A32" s="2">
        <v>12</v>
      </c>
      <c r="B32" s="10">
        <v>0.67891335487365723</v>
      </c>
      <c r="C32" s="18">
        <v>7</v>
      </c>
      <c r="D32" s="2">
        <v>5.6572427343749995E-2</v>
      </c>
      <c r="I32" s="11">
        <f t="shared" si="0"/>
        <v>14</v>
      </c>
      <c r="J32" s="11">
        <f t="shared" si="1"/>
        <v>90</v>
      </c>
    </row>
    <row r="33" spans="1:10" x14ac:dyDescent="0.3">
      <c r="A33" s="2">
        <v>13</v>
      </c>
      <c r="B33" s="10">
        <v>0.45420783758163452</v>
      </c>
      <c r="C33" s="18">
        <v>4</v>
      </c>
      <c r="D33" s="2">
        <v>9.2118749999999999E-2</v>
      </c>
      <c r="I33" s="11">
        <f t="shared" si="0"/>
        <v>8</v>
      </c>
      <c r="J33" s="11">
        <f t="shared" si="1"/>
        <v>98</v>
      </c>
    </row>
    <row r="34" spans="1:10" x14ac:dyDescent="0.3">
      <c r="A34" s="2">
        <v>14</v>
      </c>
      <c r="B34" s="10">
        <v>0.35702311992645264</v>
      </c>
      <c r="C34" s="18">
        <v>3</v>
      </c>
      <c r="D34" s="2">
        <v>0.108375</v>
      </c>
      <c r="I34" s="11">
        <f t="shared" si="0"/>
        <v>6</v>
      </c>
      <c r="J34" s="11">
        <f t="shared" si="1"/>
        <v>104</v>
      </c>
    </row>
    <row r="35" spans="1:10" x14ac:dyDescent="0.3">
      <c r="A35" s="2">
        <v>15</v>
      </c>
      <c r="B35" s="10">
        <v>0.14998108148574829</v>
      </c>
      <c r="C35" s="18">
        <v>1</v>
      </c>
      <c r="D35" s="2">
        <v>0.15000000000000002</v>
      </c>
      <c r="I35" s="11">
        <f t="shared" si="0"/>
        <v>2</v>
      </c>
      <c r="J35" s="11">
        <f t="shared" si="1"/>
        <v>106</v>
      </c>
    </row>
    <row r="36" spans="1:10" x14ac:dyDescent="0.3">
      <c r="A36" s="2">
        <v>16</v>
      </c>
      <c r="B36" s="10">
        <v>0.70439577102661133</v>
      </c>
      <c r="C36" s="18">
        <v>8</v>
      </c>
      <c r="D36" s="2">
        <v>4.8086563242187498E-2</v>
      </c>
      <c r="I36" s="11">
        <f t="shared" si="0"/>
        <v>16</v>
      </c>
      <c r="J36" s="11">
        <f t="shared" si="1"/>
        <v>122</v>
      </c>
    </row>
    <row r="37" spans="1:10" x14ac:dyDescent="0.3">
      <c r="A37" s="2">
        <v>17</v>
      </c>
      <c r="B37" s="10">
        <v>0.92878597974777222</v>
      </c>
      <c r="C37" s="18">
        <v>17</v>
      </c>
      <c r="D37" s="2">
        <v>1.1137662935409588E-2</v>
      </c>
      <c r="I37" s="11">
        <f t="shared" si="0"/>
        <v>34</v>
      </c>
      <c r="J37" s="11">
        <f t="shared" si="1"/>
        <v>156</v>
      </c>
    </row>
    <row r="38" spans="1:10" x14ac:dyDescent="0.3">
      <c r="A38" s="2">
        <v>18</v>
      </c>
      <c r="B38" s="10">
        <v>0.53021252155303955</v>
      </c>
      <c r="C38" s="18">
        <v>5</v>
      </c>
      <c r="D38" s="2">
        <v>7.8300937500000001E-2</v>
      </c>
      <c r="I38" s="11">
        <f t="shared" si="0"/>
        <v>10</v>
      </c>
      <c r="J38" s="11">
        <f t="shared" si="1"/>
        <v>166</v>
      </c>
    </row>
    <row r="39" spans="1:10" x14ac:dyDescent="0.3">
      <c r="A39" s="2">
        <v>19</v>
      </c>
      <c r="B39" s="10">
        <v>8.9641392230987549E-2</v>
      </c>
      <c r="C39" s="18">
        <v>1</v>
      </c>
      <c r="D39" s="2">
        <v>0.15000000000000002</v>
      </c>
      <c r="I39" s="11">
        <f t="shared" si="0"/>
        <v>2</v>
      </c>
      <c r="J39" s="11">
        <f t="shared" si="1"/>
        <v>168</v>
      </c>
    </row>
    <row r="40" spans="1:10" x14ac:dyDescent="0.3">
      <c r="A40" s="2">
        <v>20</v>
      </c>
      <c r="B40" s="10">
        <v>0.75772929191589355</v>
      </c>
      <c r="C40" s="18">
        <v>9</v>
      </c>
      <c r="D40" s="2">
        <v>4.0873578755859376E-2</v>
      </c>
      <c r="I40" s="11">
        <f t="shared" si="0"/>
        <v>18</v>
      </c>
      <c r="J40" s="11">
        <f t="shared" si="1"/>
        <v>186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5</xdr:col>
                <xdr:colOff>266700</xdr:colOff>
                <xdr:row>20</xdr:row>
                <xdr:rowOff>83820</xdr:rowOff>
              </from>
              <to>
                <xdr:col>6</xdr:col>
                <xdr:colOff>373380</xdr:colOff>
                <xdr:row>21</xdr:row>
                <xdr:rowOff>175260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Лист1</vt:lpstr>
      <vt:lpstr>Лист2</vt:lpstr>
      <vt:lpstr>Лист3</vt:lpstr>
      <vt:lpstr>Лист4</vt:lpstr>
      <vt:lpstr>Лист5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2022-11-25T13:31:24Z</dcterms:modified>
</cp:coreProperties>
</file>